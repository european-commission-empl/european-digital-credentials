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Dev\EDCI\gitSrc\edci\edci-issuer\edci-issuer-web\src\main\resources-unfiltered\edci\"/>
    </mc:Choice>
  </mc:AlternateContent>
  <bookViews>
    <workbookView xWindow="0" yWindow="0" windowWidth="28800" windowHeight="12135" tabRatio="859" activeTab="1"/>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r:id="rId10"/>
    <sheet name="Service" sheetId="8" state="hidden" r:id="rId11"/>
    <sheet name="ToDo" sheetId="11" state="hidden" r:id="rId12"/>
  </sheets>
  <functionGroups builtInGroupCount="18"/>
  <definedNames>
    <definedName name="AchievementNames">Achievements[LearningAchievement.title.Property.content.en]</definedName>
    <definedName name="ActivityNames">Activities[LearningActivity.title.Property.content.en]</definedName>
    <definedName name="Albanian_Qualifications_Framework">References!$D$808:$D$815</definedName>
    <definedName name="AssessmentNames">Assessments[Assessment.title.Property.content.en]</definedName>
    <definedName name="assessmentTypeNames">References!$D$1231:$D$1244</definedName>
    <definedName name="Austrian_Qualifications_Framework">References!$D$816:$D$823</definedName>
    <definedName name="Belgian_Qualifications_Framework_Flemish">References!$D$906:$D$913</definedName>
    <definedName name="Belgian_Qualifications_Framework_French">References!$D$914:$D$921</definedName>
    <definedName name="Belgian_Qualifications_Framework_German">References!$D$922:$D$929</definedName>
    <definedName name="Bosnia_and_Herzegovina_Qualifications_Framework">References!$D$824:$D$831</definedName>
    <definedName name="Bulgarian_Qualifications_Framework">References!$D$832:$D$840</definedName>
    <definedName name="CountryNames">References!$D$44:$D$325</definedName>
    <definedName name="CredentialTypeNames">References!$D$39:$D$43</definedName>
    <definedName name="Croatian_Qualifications_Framework">References!$D$841:$D$851</definedName>
    <definedName name="Cypriot_Qualifications_Framework">References!$D$852:$D$863</definedName>
    <definedName name="Czech_Qualifications_Framework">References!$D$864:$D$871</definedName>
    <definedName name="Danish_Qualifications_Framework">References!$D$872:$D$879</definedName>
    <definedName name="Dutch_Qualifications_Framework">References!$D$880:$D$889</definedName>
    <definedName name="EntitlementNames">Entitlements[Column1]</definedName>
    <definedName name="EntitlementStatusNames">References!$D$1225:$D$1226</definedName>
    <definedName name="entitlementTypeNames">References!$D$1222:$D$1224</definedName>
    <definedName name="EQF_Levels">References!$D$757:$D$764</definedName>
    <definedName name="Estonian_Qualifications_Framework">References!$D$890:$D$897</definedName>
    <definedName name="EULanguageNames">References!$D$13:$D$38</definedName>
    <definedName name="Finnish_Qualifications_Framework">References!$D$898:$D$905</definedName>
    <definedName name="French_Qualifications_Framework">References!$D$930:$D$935</definedName>
    <definedName name="GenderNames">References!$D$1227:$D$1230</definedName>
    <definedName name="German_Qualifications_Framework">References!$D$936:$D$943</definedName>
    <definedName name="Greek_Qualifications_Framework">References!$D$944:$D$951</definedName>
    <definedName name="Hungarian_Qualifications_Framework">References!$D$952:$D$959</definedName>
    <definedName name="Icelandic_Qualifications_Framework">References!$D$960:$D$968</definedName>
    <definedName name="IDVerificationNames">References!$D$1218:$D$1221</definedName>
    <definedName name="Irish_Qualifications_Framework">References!$D$969:$D$978</definedName>
    <definedName name="ISCEDFLabels">References!$D$326:$D$544</definedName>
    <definedName name="Italian_Qualifications_Framework">References!$D$979:$D$986</definedName>
    <definedName name="Kosovo_Qualifications_Framework">References!$D$987:$D$994</definedName>
    <definedName name="LanguageNames">References!$D$545:$D$728</definedName>
    <definedName name="LanguageNamesFull">References!$D$545:$D$728</definedName>
    <definedName name="Latvian_Qualifications_Framework">References!$D$995:$D$1002</definedName>
    <definedName name="LearningActivityTypeNames">References!$D$1189:$D$1199</definedName>
    <definedName name="LearningOpportunityTypeNames">References!$D$1200:$D$1211</definedName>
    <definedName name="LearningOutcomeNames">LearningOutcomes[LearningOutcome.name.Property.content.en]</definedName>
    <definedName name="LearningSettingNames">References!$D$735:$D$736</definedName>
    <definedName name="Lichtenstein_Qualifications_Framework">References!$D$1040:$D$1047</definedName>
    <definedName name="Lithuanian_Qualifications_Framework">References!$D$1003:$D$1010</definedName>
    <definedName name="LOTypeNames">References!$D$1216:$D$1217</definedName>
    <definedName name="Luxembourg_Qualifications_Framework">References!$D$1011:$D$1018</definedName>
    <definedName name="Macedonian_Qualifications_Framework">References!$D$1056:$D$1069</definedName>
    <definedName name="Maltese_Qualifications_Framework">References!$D$1019:$D$1028</definedName>
    <definedName name="ModeOfLearningNames">References!$D$729:$D$734</definedName>
    <definedName name="Montenegrin_Qualifications_Framework">References!$D$1029:$D$1039</definedName>
    <definedName name="Norwegian_Qualifications_Framework">References!$D$1070:$D$1079</definedName>
    <definedName name="NQFLevels">References!$D$808:$D$1188</definedName>
    <definedName name="NQFNames">References!$D$765:$D$807</definedName>
    <definedName name="NQFSelector">Achievements!$BR$11</definedName>
    <definedName name="OrganisationNames">Organisations[Organisation.preferredName.Property.content.en]</definedName>
    <definedName name="PersonNames">Persons[Person.fullName.Property.content.en]</definedName>
    <definedName name="Polish_Qualifications_Framework">References!$D$1080:$D$1087</definedName>
    <definedName name="Portuguese_Qualifications_Framework">References!$D$1088:$D$1095</definedName>
    <definedName name="Qualifications_Framework_England_and_Northern_Ireland">References!$D$1096:$D$1105</definedName>
    <definedName name="Qualifications_Framework_Scotland">References!$D$1115:$D$1126</definedName>
    <definedName name="Qualifications_Framework_Wales">References!$D$1106:$D$1114</definedName>
    <definedName name="Romanian_Qualifications_Framework">References!$D$1127:$D$1134</definedName>
    <definedName name="Serbian_Qualifications_Framework">References!$D$1135:$D$1146</definedName>
    <definedName name="SkillReuseNames">References!$D$1212:$D$1215</definedName>
    <definedName name="Slovak_Qualifications_Framework">References!$D$1147:$D$1154</definedName>
    <definedName name="Slovenian_Qualifications_Framework">References!$D$1155:$D$1164</definedName>
    <definedName name="Spanish_Qualifications_Framework">References!$D$1165:$D$1172</definedName>
    <definedName name="Swedish_Qualifications_Framework">References!$D$1173:$D$1180</definedName>
    <definedName name="Swiss_Qualifications_Framework">References!$D$1048:$D$1055</definedName>
    <definedName name="TargetGroupNames">References!$D$737:$D$756</definedName>
    <definedName name="Turkish_Qualifications_Framework">References!$D$1181:$D$1188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4" i="4" l="1"/>
  <c r="AD14" i="4"/>
  <c r="AE14" i="4"/>
  <c r="BH14" i="4"/>
  <c r="BP14" i="4"/>
  <c r="BR14" i="4"/>
  <c r="BT14" i="4"/>
  <c r="BV14" i="4"/>
  <c r="BW14" i="4"/>
  <c r="BX14" i="4"/>
  <c r="BY14" i="4"/>
  <c r="BZ14" i="4"/>
  <c r="CA14" i="4"/>
  <c r="CB14" i="4"/>
  <c r="CC14" i="4"/>
  <c r="CD14" i="4"/>
  <c r="CE14" i="4"/>
  <c r="CF14" i="4"/>
  <c r="CG14" i="4"/>
  <c r="CH14" i="4"/>
  <c r="CI14" i="4"/>
  <c r="CJ14" i="4"/>
  <c r="CK14" i="4"/>
  <c r="CL14" i="4"/>
  <c r="CM14" i="4"/>
  <c r="CN14" i="4"/>
  <c r="CO14" i="4"/>
  <c r="CP14" i="4"/>
  <c r="CQ14" i="4"/>
  <c r="CR14" i="4"/>
  <c r="CS14" i="4"/>
  <c r="CT14" i="4"/>
  <c r="CU14" i="4"/>
  <c r="DV14" i="4"/>
  <c r="ED14" i="4"/>
  <c r="EF14" i="4"/>
  <c r="EH14" i="4"/>
  <c r="EJ14" i="4"/>
  <c r="EL14" i="4"/>
  <c r="FO14" i="4"/>
  <c r="FP14" i="4"/>
  <c r="FQ14" i="4"/>
  <c r="FR14" i="4"/>
  <c r="FS14" i="4"/>
  <c r="FT14" i="4"/>
  <c r="FU14" i="4"/>
  <c r="FV14" i="4"/>
  <c r="FW14" i="4"/>
  <c r="FX14" i="4"/>
  <c r="FY14" i="4"/>
  <c r="FZ14" i="4"/>
  <c r="GA14" i="4"/>
  <c r="GB14" i="4"/>
  <c r="GC14" i="4"/>
  <c r="GD14" i="4"/>
  <c r="GE14" i="4"/>
  <c r="GF14" i="4"/>
  <c r="GG14" i="4"/>
  <c r="GH14" i="4"/>
  <c r="GI14" i="4"/>
  <c r="GJ14" i="4"/>
  <c r="GK14" i="4"/>
  <c r="GL14" i="4"/>
  <c r="GM14" i="4"/>
  <c r="GN14" i="4"/>
  <c r="GO14" i="4"/>
  <c r="GP14" i="4"/>
  <c r="DF14" i="3"/>
  <c r="DL14" i="3"/>
  <c r="DN14" i="3"/>
  <c r="BN14" i="4" a="1"/>
  <c r="DG14" i="3" a="1"/>
  <c r="EG14" i="4" a="1"/>
  <c r="BL14" i="4" a="1"/>
  <c r="G13" i="2" a="1"/>
  <c r="EK14" i="4" a="1"/>
  <c r="BU14" i="4" a="1"/>
  <c r="EI14" i="4" a="1"/>
  <c r="EE14" i="4" a="1"/>
  <c r="DZ14" i="4" a="1"/>
  <c r="EM14" i="4" a="1"/>
  <c r="DS14" i="3" a="1"/>
  <c r="AF14" i="4" a="1"/>
  <c r="DQ14" i="3" a="1"/>
  <c r="BQ14" i="4" a="1"/>
  <c r="BS14" i="4" a="1"/>
  <c r="BJ14" i="4" a="1"/>
  <c r="EE14" i="4" l="1"/>
  <c r="EG14" i="4"/>
  <c r="BN14" i="4"/>
  <c r="BJ14" i="4"/>
  <c r="BU14" i="4"/>
  <c r="EI14" i="4"/>
  <c r="BQ14" i="4"/>
  <c r="EM14" i="4"/>
  <c r="AF14" i="4"/>
  <c r="EK14" i="4"/>
  <c r="DZ14" i="4"/>
  <c r="BS14" i="4"/>
  <c r="BL14" i="4"/>
  <c r="DS14" i="3"/>
  <c r="DG14" i="3"/>
  <c r="DQ14" i="3"/>
  <c r="G13" i="2"/>
  <c r="B13"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GP13" i="4" l="1"/>
  <c r="DU8" i="4" l="1"/>
  <c r="DO13" i="5"/>
  <c r="DP13" i="5"/>
  <c r="DQ13" i="5"/>
  <c r="DR13" i="5"/>
  <c r="DS13" i="5"/>
  <c r="DT13" i="5"/>
  <c r="DU13" i="5"/>
  <c r="DV13" i="5"/>
  <c r="DW13" i="5"/>
  <c r="DX13" i="5"/>
  <c r="DY13" i="5"/>
  <c r="DZ13" i="5"/>
  <c r="EA13" i="5"/>
  <c r="EB13" i="5"/>
  <c r="EC13" i="5"/>
  <c r="ED13" i="5"/>
  <c r="EE13" i="5"/>
  <c r="EF13" i="5"/>
  <c r="EG13" i="5"/>
  <c r="EH13" i="5"/>
  <c r="EI13" i="5"/>
  <c r="EJ13" i="5"/>
  <c r="EK13" i="5"/>
  <c r="EL13" i="5"/>
  <c r="EM13" i="5"/>
  <c r="DM13" i="5" l="1"/>
  <c r="CL13" i="6" l="1"/>
  <c r="DF13" i="3" l="1"/>
  <c r="AU13" i="2" l="1"/>
  <c r="AV13" i="2" a="1"/>
  <c r="AV13" i="2" l="1"/>
  <c r="BD13" i="6"/>
  <c r="BF13" i="6"/>
  <c r="BG13" i="5" l="1"/>
  <c r="BI13" i="5"/>
  <c r="EO13" i="6" l="1"/>
  <c r="EQ13" i="6"/>
  <c r="ES13" i="6"/>
  <c r="CI13" i="5"/>
  <c r="EF13" i="4" l="1"/>
  <c r="ED13" i="4"/>
  <c r="EE13" i="4" a="1"/>
  <c r="EE13" i="4" l="1"/>
  <c r="BP13" i="4"/>
  <c r="BR13" i="4"/>
  <c r="EX13" i="6" l="1"/>
  <c r="EY13" i="6"/>
  <c r="EZ13" i="6"/>
  <c r="FA13" i="6"/>
  <c r="FB13" i="6"/>
  <c r="FC13" i="6"/>
  <c r="FD13" i="6"/>
  <c r="FE13" i="6"/>
  <c r="FF13" i="6"/>
  <c r="FG13" i="6"/>
  <c r="FH13" i="6"/>
  <c r="FI13" i="6"/>
  <c r="FJ13" i="6"/>
  <c r="FK13" i="6"/>
  <c r="FL13" i="6"/>
  <c r="FM13" i="6"/>
  <c r="FN13" i="6"/>
  <c r="FO13" i="6"/>
  <c r="FP13" i="6"/>
  <c r="FQ13" i="6"/>
  <c r="FR13" i="6"/>
  <c r="FS13" i="6"/>
  <c r="FT13" i="6"/>
  <c r="FU13" i="6"/>
  <c r="FV13" i="6"/>
  <c r="HY13" i="5"/>
  <c r="FQ13" i="4"/>
  <c r="FR13" i="4"/>
  <c r="FS13" i="4"/>
  <c r="FT13" i="4"/>
  <c r="FU13" i="4"/>
  <c r="FV13" i="4"/>
  <c r="FW13" i="4"/>
  <c r="FX13" i="4"/>
  <c r="FY13" i="4"/>
  <c r="FZ13" i="4"/>
  <c r="GA13" i="4"/>
  <c r="GB13" i="4"/>
  <c r="GC13" i="4"/>
  <c r="GD13" i="4"/>
  <c r="GE13" i="4"/>
  <c r="GF13" i="4"/>
  <c r="GG13" i="4"/>
  <c r="GH13" i="4"/>
  <c r="GI13" i="4"/>
  <c r="GJ13" i="4"/>
  <c r="GK13" i="4"/>
  <c r="GL13" i="4"/>
  <c r="GM13" i="4"/>
  <c r="GN13" i="4"/>
  <c r="GO13" i="4"/>
  <c r="IA13" i="5" l="1"/>
  <c r="IB13" i="5"/>
  <c r="IC13" i="5"/>
  <c r="ID13" i="5"/>
  <c r="IE13" i="5"/>
  <c r="IF13" i="5"/>
  <c r="IG13" i="5"/>
  <c r="IH13" i="5"/>
  <c r="II13" i="5"/>
  <c r="IJ13" i="5"/>
  <c r="IK13" i="5"/>
  <c r="IL13" i="5"/>
  <c r="IM13" i="5"/>
  <c r="IN13" i="5"/>
  <c r="IO13" i="5"/>
  <c r="IP13" i="5"/>
  <c r="IQ13" i="5"/>
  <c r="IR13" i="5"/>
  <c r="IS13" i="5"/>
  <c r="IT13" i="5"/>
  <c r="IU13" i="5"/>
  <c r="IV13" i="5"/>
  <c r="IW13" i="5"/>
  <c r="IX13" i="5"/>
  <c r="IY13" i="5"/>
  <c r="IZ13" i="5"/>
  <c r="JA13" i="5"/>
  <c r="BL13" i="4" a="1"/>
  <c r="BL13" i="4" l="1"/>
  <c r="HZ13" i="5"/>
  <c r="BT13" i="4" l="1"/>
  <c r="BU13" i="4" a="1"/>
  <c r="BS13" i="4" a="1"/>
  <c r="BU13" i="4" l="1"/>
  <c r="BS13" i="4"/>
  <c r="DL13" i="5" a="1"/>
  <c r="DL13" i="5" l="1"/>
  <c r="DI13" i="5" l="1"/>
  <c r="DJ13" i="5" a="1"/>
  <c r="DJ13" i="5" l="1"/>
  <c r="BH13" i="6"/>
  <c r="IA13" i="6" l="1"/>
  <c r="IB13" i="6"/>
  <c r="IC13" i="6"/>
  <c r="ID13" i="6"/>
  <c r="IE13" i="6"/>
  <c r="IF13" i="6"/>
  <c r="IG13" i="6"/>
  <c r="IH13" i="6"/>
  <c r="II13" i="6"/>
  <c r="IJ13" i="6"/>
  <c r="IK13" i="6"/>
  <c r="IL13" i="6"/>
  <c r="IM13" i="6"/>
  <c r="IN13" i="6"/>
  <c r="IO13" i="6"/>
  <c r="IP13" i="6"/>
  <c r="IQ13" i="6"/>
  <c r="IR13" i="6"/>
  <c r="IS13" i="6"/>
  <c r="IT13" i="6"/>
  <c r="IU13" i="6"/>
  <c r="IV13" i="6"/>
  <c r="IW13" i="6"/>
  <c r="IX13" i="6"/>
  <c r="IY13" i="6"/>
  <c r="HZ13" i="6"/>
  <c r="HX13" i="6"/>
  <c r="GY13" i="6"/>
  <c r="GZ13" i="6"/>
  <c r="HA13" i="6"/>
  <c r="HB13" i="6"/>
  <c r="HC13" i="6"/>
  <c r="HD13" i="6"/>
  <c r="HE13" i="6"/>
  <c r="HF13" i="6"/>
  <c r="HG13" i="6"/>
  <c r="HH13" i="6"/>
  <c r="HI13" i="6"/>
  <c r="HJ13" i="6"/>
  <c r="HK13" i="6"/>
  <c r="HL13" i="6"/>
  <c r="HM13" i="6"/>
  <c r="HN13" i="6"/>
  <c r="HO13" i="6"/>
  <c r="HP13" i="6"/>
  <c r="HQ13" i="6"/>
  <c r="HR13" i="6"/>
  <c r="HS13" i="6"/>
  <c r="HT13" i="6"/>
  <c r="HU13" i="6"/>
  <c r="HV13" i="6"/>
  <c r="HW13" i="6"/>
  <c r="GX13" i="6"/>
  <c r="BV9" i="2"/>
  <c r="BU9" i="2" l="1"/>
  <c r="BT9" i="2"/>
  <c r="BS9" i="2"/>
  <c r="BR9" i="2"/>
  <c r="BQ9" i="2"/>
  <c r="BP9" i="2"/>
  <c r="BO9" i="2"/>
  <c r="BN9" i="2"/>
  <c r="BM9" i="2"/>
  <c r="BL9" i="2"/>
  <c r="BK9" i="2"/>
  <c r="BJ9" i="2"/>
  <c r="BI9" i="2"/>
  <c r="BH9" i="2"/>
  <c r="BG9" i="2"/>
  <c r="BF9" i="2"/>
  <c r="BE9" i="2"/>
  <c r="BD9" i="2"/>
  <c r="BC9" i="2"/>
  <c r="BE13" i="1" a="1"/>
  <c r="BE13" i="1" l="1"/>
  <c r="BC13" i="1" l="1"/>
  <c r="BK13" i="1"/>
  <c r="EP13" i="6" a="1"/>
  <c r="ER13" i="6" a="1"/>
  <c r="ER13" i="6" l="1"/>
  <c r="EP13" i="6"/>
  <c r="ET13" i="6" a="1"/>
  <c r="ET13" i="6" l="1"/>
  <c r="B13" i="2"/>
  <c r="BF13" i="1" l="1"/>
  <c r="BK13" i="6"/>
  <c r="CK8" i="6"/>
  <c r="CJ8" i="6"/>
  <c r="CI8" i="6"/>
  <c r="CH8" i="6"/>
  <c r="CG8" i="6"/>
  <c r="CF8" i="6"/>
  <c r="CE8" i="6"/>
  <c r="CD8" i="6"/>
  <c r="CC8" i="6"/>
  <c r="CB8" i="6"/>
  <c r="CA8" i="6"/>
  <c r="BZ8" i="6"/>
  <c r="BY8" i="6"/>
  <c r="BX8" i="6"/>
  <c r="BW8" i="6"/>
  <c r="BV8" i="6"/>
  <c r="BU8" i="6"/>
  <c r="BT8" i="6"/>
  <c r="BS8" i="6"/>
  <c r="BR8" i="6"/>
  <c r="BQ8" i="6"/>
  <c r="BP8" i="6"/>
  <c r="BO8" i="6"/>
  <c r="BN8" i="6"/>
  <c r="BM8" i="6"/>
  <c r="FW13" i="6"/>
  <c r="EW13" i="6"/>
  <c r="EV13" i="6"/>
  <c r="GW8" i="6"/>
  <c r="GV8" i="6"/>
  <c r="GU8" i="6"/>
  <c r="GT8" i="6"/>
  <c r="GS8" i="6"/>
  <c r="GR8" i="6"/>
  <c r="GQ8" i="6"/>
  <c r="GP8" i="6"/>
  <c r="GO8" i="6"/>
  <c r="GN8" i="6"/>
  <c r="GM8" i="6"/>
  <c r="GL8" i="6"/>
  <c r="GK8" i="6"/>
  <c r="GJ8" i="6"/>
  <c r="GI8" i="6"/>
  <c r="GH8" i="6"/>
  <c r="GG8" i="6"/>
  <c r="GF8" i="6"/>
  <c r="GE8" i="6"/>
  <c r="GD8" i="6"/>
  <c r="GC8" i="6"/>
  <c r="GB8" i="6"/>
  <c r="GA8" i="6"/>
  <c r="FZ8" i="6"/>
  <c r="FY8" i="6"/>
  <c r="FV8" i="6"/>
  <c r="FU8" i="6"/>
  <c r="FT8" i="6"/>
  <c r="FS8" i="6"/>
  <c r="FR8" i="6"/>
  <c r="FQ8" i="6"/>
  <c r="FP8" i="6"/>
  <c r="FO8" i="6"/>
  <c r="FN8" i="6"/>
  <c r="FM8" i="6"/>
  <c r="FL8" i="6"/>
  <c r="FK8" i="6"/>
  <c r="FJ8" i="6"/>
  <c r="FI8" i="6"/>
  <c r="FH8" i="6"/>
  <c r="FG8" i="6"/>
  <c r="FF8" i="6"/>
  <c r="FE8" i="6"/>
  <c r="FD8" i="6"/>
  <c r="FC8" i="6"/>
  <c r="FB8" i="6"/>
  <c r="FA8" i="6"/>
  <c r="EZ8" i="6"/>
  <c r="EY8" i="6"/>
  <c r="EX8" i="6"/>
  <c r="IW8" i="6"/>
  <c r="IB8" i="6"/>
  <c r="IN8" i="6"/>
  <c r="IS8" i="6"/>
  <c r="IA8" i="6"/>
  <c r="IL8" i="6"/>
  <c r="IG8" i="6"/>
  <c r="IV8" i="6"/>
  <c r="IE8" i="6"/>
  <c r="IT8" i="6"/>
  <c r="IF8" i="6"/>
  <c r="IO8" i="6"/>
  <c r="IR8" i="6"/>
  <c r="IM8" i="6"/>
  <c r="IQ8" i="6"/>
  <c r="IP8" i="6"/>
  <c r="IX8" i="6"/>
  <c r="ID8" i="6"/>
  <c r="IH8" i="6"/>
  <c r="IJ8" i="6"/>
  <c r="IK8" i="6"/>
  <c r="IY8" i="6"/>
  <c r="II8" i="6"/>
  <c r="IC8" i="6"/>
  <c r="IU8" i="6"/>
  <c r="BG13" i="1" a="1"/>
  <c r="BG13" i="1" l="1"/>
  <c r="KA8" i="5"/>
  <c r="JZ8" i="5"/>
  <c r="JY8" i="5"/>
  <c r="JX8" i="5"/>
  <c r="JW8" i="5"/>
  <c r="JV8" i="5"/>
  <c r="JU8" i="5"/>
  <c r="JT8" i="5"/>
  <c r="JS8" i="5"/>
  <c r="JR8" i="5"/>
  <c r="JQ8" i="5"/>
  <c r="JP8" i="5"/>
  <c r="JO8" i="5"/>
  <c r="JN8" i="5"/>
  <c r="JM8" i="5"/>
  <c r="JL8" i="5"/>
  <c r="JK8" i="5"/>
  <c r="JJ8" i="5"/>
  <c r="JI8" i="5"/>
  <c r="JH8" i="5"/>
  <c r="JG8" i="5"/>
  <c r="JF8" i="5"/>
  <c r="JE8" i="5"/>
  <c r="JD8" i="5"/>
  <c r="JC8" i="5"/>
  <c r="IZ8" i="5"/>
  <c r="IY8" i="5"/>
  <c r="IX8" i="5"/>
  <c r="IW8" i="5"/>
  <c r="IV8" i="5"/>
  <c r="IU8" i="5"/>
  <c r="IT8" i="5"/>
  <c r="IS8" i="5"/>
  <c r="IR8" i="5"/>
  <c r="IQ8" i="5"/>
  <c r="IP8" i="5"/>
  <c r="IO8" i="5"/>
  <c r="IN8" i="5"/>
  <c r="IM8" i="5"/>
  <c r="IL8" i="5"/>
  <c r="IK8" i="5"/>
  <c r="IJ8" i="5"/>
  <c r="II8" i="5"/>
  <c r="IH8" i="5"/>
  <c r="IG8" i="5"/>
  <c r="IF8" i="5"/>
  <c r="IE8" i="5"/>
  <c r="ID8" i="5"/>
  <c r="IC8" i="5"/>
  <c r="IB8" i="5"/>
  <c r="DN13" i="3" l="1"/>
  <c r="BH13" i="5" a="1"/>
  <c r="BH13" i="5" l="1"/>
  <c r="FP13" i="4"/>
  <c r="HW13" i="5" l="1"/>
  <c r="HR13" i="5"/>
  <c r="DN13" i="5"/>
  <c r="HS13" i="5" a="1"/>
  <c r="HS13" i="5" l="1"/>
  <c r="DL13" i="6"/>
  <c r="I13" i="2" l="1"/>
  <c r="K13" i="2"/>
  <c r="M13" i="2"/>
  <c r="L13" i="2" a="1"/>
  <c r="N13" i="2" a="1"/>
  <c r="L13" i="2" l="1"/>
  <c r="N13" i="2"/>
  <c r="AE13" i="7"/>
  <c r="AD13" i="7"/>
  <c r="AB13" i="7"/>
  <c r="BH11" i="1"/>
  <c r="BH13" i="1" l="1"/>
  <c r="DL13" i="3"/>
  <c r="Q13" i="2"/>
  <c r="O13" i="2"/>
  <c r="AD13" i="4"/>
  <c r="BI13" i="1" a="1"/>
  <c r="BI13" i="1" l="1"/>
  <c r="AW13" i="2"/>
  <c r="AX13" i="2" a="1"/>
  <c r="AX13" i="2" l="1"/>
  <c r="C18" i="10" l="1"/>
  <c r="AY13" i="2" l="1"/>
  <c r="AZ13" i="2" a="1"/>
  <c r="AZ13" i="2" l="1"/>
  <c r="CL13" i="7" l="1"/>
  <c r="BH13" i="7"/>
  <c r="DL8" i="7"/>
  <c r="AT8" i="7"/>
  <c r="CU8" i="7"/>
  <c r="AS8" i="7"/>
  <c r="CP8" i="7"/>
  <c r="W8" i="7"/>
  <c r="AK8" i="7"/>
  <c r="CR8" i="7"/>
  <c r="CQ8" i="7"/>
  <c r="BQ8" i="7"/>
  <c r="AG8" i="7"/>
  <c r="DD8" i="7"/>
  <c r="CD8" i="7"/>
  <c r="S8" i="7"/>
  <c r="BP8" i="7"/>
  <c r="DJ8" i="7"/>
  <c r="BO8" i="7"/>
  <c r="DI8" i="7"/>
  <c r="AU8" i="7"/>
  <c r="C8" i="7"/>
  <c r="CT8" i="7"/>
  <c r="CS8" i="7"/>
  <c r="BD8" i="7"/>
  <c r="BY8" i="7"/>
  <c r="BX8" i="7"/>
  <c r="AR8" i="7"/>
  <c r="BZ8" i="7"/>
  <c r="L8" i="7"/>
  <c r="BI8" i="7"/>
  <c r="K8" i="7"/>
  <c r="DB8" i="7"/>
  <c r="AQ8" i="7"/>
  <c r="T8" i="7"/>
  <c r="AM8" i="7"/>
  <c r="CX8" i="7"/>
  <c r="CW8" i="7"/>
  <c r="CA8" i="7"/>
  <c r="AW8" i="7"/>
  <c r="Z8" i="7"/>
  <c r="AA8" i="7"/>
  <c r="DM8" i="7"/>
  <c r="CZ8" i="7"/>
  <c r="I8" i="7"/>
  <c r="DC8" i="7"/>
  <c r="E8" i="7"/>
  <c r="CV8" i="7"/>
  <c r="BV8" i="7"/>
  <c r="BU8" i="7"/>
  <c r="DE8" i="7"/>
  <c r="N8" i="7"/>
  <c r="BS8" i="7"/>
  <c r="DF8" i="7"/>
  <c r="AN8" i="7"/>
  <c r="CF8" i="7"/>
  <c r="R8" i="7"/>
  <c r="CE8" i="7"/>
  <c r="Q8" i="7"/>
  <c r="BN8" i="7"/>
  <c r="BW8" i="7"/>
  <c r="BC8" i="7"/>
  <c r="BB8" i="7"/>
  <c r="P8" i="7"/>
  <c r="DK8" i="7"/>
  <c r="BR8" i="7"/>
  <c r="AX8" i="7"/>
  <c r="BJ8" i="7"/>
  <c r="DH8" i="7"/>
  <c r="AP8" i="7"/>
  <c r="DG8" i="7"/>
  <c r="AO8" i="7"/>
  <c r="CG8" i="7"/>
  <c r="CC8" i="7"/>
  <c r="CB8" i="7"/>
  <c r="BK8" i="7"/>
  <c r="V8" i="7"/>
  <c r="BL8" i="7"/>
  <c r="BE8" i="7"/>
  <c r="U8" i="7"/>
  <c r="CY8" i="7"/>
  <c r="AL8" i="7"/>
  <c r="BA8" i="7"/>
  <c r="AJ8" i="7"/>
  <c r="AI8" i="7"/>
  <c r="M8" i="7"/>
  <c r="AV8" i="7"/>
  <c r="DA8" i="7"/>
  <c r="J8" i="7"/>
  <c r="BT8" i="7"/>
  <c r="F8" i="7"/>
  <c r="AZ8" i="7"/>
  <c r="AY8" i="7"/>
  <c r="AH8" i="7"/>
  <c r="H8" i="7"/>
  <c r="BM8" i="7"/>
  <c r="D8" i="7"/>
  <c r="Y8" i="7"/>
  <c r="X8" i="7"/>
  <c r="G8" i="7"/>
  <c r="O8" i="7"/>
  <c r="CO8" i="7"/>
  <c r="CI13" i="7" a="1"/>
  <c r="DO13" i="7" a="1"/>
  <c r="BG13" i="7" a="1"/>
  <c r="DQ13" i="7" a="1"/>
  <c r="CK13" i="7" a="1"/>
  <c r="DQ13" i="7" l="1"/>
  <c r="DO13" i="7"/>
  <c r="CK13" i="7"/>
  <c r="CI13" i="7"/>
  <c r="BG13" i="7"/>
  <c r="AB13" i="6"/>
  <c r="EJ8" i="6"/>
  <c r="AN8" i="6"/>
  <c r="DS8" i="6"/>
  <c r="HS8" i="6"/>
  <c r="DK8" i="6"/>
  <c r="HR8" i="6"/>
  <c r="CQ8" i="6"/>
  <c r="AQ8" i="6"/>
  <c r="CV8" i="6"/>
  <c r="DJ8" i="6"/>
  <c r="CW8" i="6"/>
  <c r="ED8" i="6"/>
  <c r="HD8" i="6"/>
  <c r="CN8" i="6"/>
  <c r="EF8" i="6"/>
  <c r="AJ8" i="6"/>
  <c r="DO8" i="6"/>
  <c r="AI8" i="6"/>
  <c r="DA8" i="6"/>
  <c r="HJ8" i="6"/>
  <c r="HE8" i="6"/>
  <c r="HA8" i="6"/>
  <c r="HW8" i="6"/>
  <c r="DI8" i="6"/>
  <c r="DH8" i="6"/>
  <c r="DB8" i="6"/>
  <c r="HB8" i="6"/>
  <c r="DR8" i="6"/>
  <c r="HK8" i="6"/>
  <c r="CT8" i="6"/>
  <c r="AX8" i="6"/>
  <c r="DU8" i="6"/>
  <c r="AG8" i="6"/>
  <c r="DC8" i="6"/>
  <c r="DY8" i="6"/>
  <c r="DG8" i="6"/>
  <c r="EH8" i="6"/>
  <c r="EC8" i="6"/>
  <c r="EA8" i="6"/>
  <c r="GY8" i="6"/>
  <c r="DZ8" i="6"/>
  <c r="AL8" i="6"/>
  <c r="DF8" i="6"/>
  <c r="HI8" i="6"/>
  <c r="CS8" i="6"/>
  <c r="HH8" i="6"/>
  <c r="CR8" i="6"/>
  <c r="AE8" i="6"/>
  <c r="BA8" i="6"/>
  <c r="DQ8" i="6"/>
  <c r="BB8" i="6"/>
  <c r="CY8" i="6"/>
  <c r="CX8" i="6"/>
  <c r="AU8" i="6"/>
  <c r="DV8" i="6"/>
  <c r="AH8" i="6"/>
  <c r="HU8" i="6"/>
  <c r="AO8" i="6"/>
  <c r="AV8" i="6"/>
  <c r="EI8" i="6"/>
  <c r="AW8" i="6"/>
  <c r="EL8" i="6"/>
  <c r="AS8" i="6"/>
  <c r="AR8" i="6"/>
  <c r="HN8" i="6"/>
  <c r="EG8" i="6"/>
  <c r="HV8" i="6"/>
  <c r="EK8" i="6"/>
  <c r="HT8" i="6"/>
  <c r="DD8" i="6"/>
  <c r="HG8" i="6"/>
  <c r="AZ8" i="6"/>
  <c r="EE8" i="6"/>
  <c r="AY8" i="6"/>
  <c r="DE8" i="6"/>
  <c r="EM8" i="6"/>
  <c r="HL8" i="6"/>
  <c r="CO8" i="6"/>
  <c r="HM8" i="6"/>
  <c r="AM8" i="6"/>
  <c r="AP8" i="6"/>
  <c r="DT8" i="6"/>
  <c r="HP8" i="6"/>
  <c r="CZ8" i="6"/>
  <c r="HC8" i="6"/>
  <c r="CU8" i="6"/>
  <c r="HQ8" i="6"/>
  <c r="GZ8" i="6"/>
  <c r="BC8" i="6"/>
  <c r="HO8" i="6"/>
  <c r="DW8" i="6"/>
  <c r="AK8" i="6"/>
  <c r="AF8" i="6"/>
  <c r="DX8" i="6"/>
  <c r="EB8" i="6"/>
  <c r="HF8" i="6"/>
  <c r="CP8" i="6"/>
  <c r="AT8" i="6"/>
  <c r="DP8" i="6"/>
  <c r="CM8" i="6"/>
  <c r="BG13" i="6" a="1"/>
  <c r="BJ13" i="6" a="1"/>
  <c r="BE13" i="6" a="1"/>
  <c r="BJ13" i="6" l="1"/>
  <c r="BG13" i="6"/>
  <c r="BE13" i="6"/>
  <c r="GO13" i="5"/>
  <c r="AB13" i="5"/>
  <c r="HT13" i="5" l="1"/>
  <c r="FP13" i="5"/>
  <c r="FQ13" i="5"/>
  <c r="FR13" i="5"/>
  <c r="FS13" i="5"/>
  <c r="FT13" i="5"/>
  <c r="FU13" i="5"/>
  <c r="FV13" i="5"/>
  <c r="FW13" i="5"/>
  <c r="FX13" i="5"/>
  <c r="FY13" i="5"/>
  <c r="FZ13" i="5"/>
  <c r="GA13" i="5"/>
  <c r="GB13" i="5"/>
  <c r="GC13" i="5"/>
  <c r="GD13" i="5"/>
  <c r="GE13" i="5"/>
  <c r="GF13" i="5"/>
  <c r="GG13" i="5"/>
  <c r="GH13" i="5"/>
  <c r="GI13" i="5"/>
  <c r="GJ13" i="5"/>
  <c r="GK13" i="5"/>
  <c r="GL13" i="5"/>
  <c r="GM13" i="5"/>
  <c r="GN13" i="5"/>
  <c r="FO13" i="5"/>
  <c r="EN13" i="5"/>
  <c r="FN8" i="5"/>
  <c r="FM8" i="5"/>
  <c r="FL8" i="5"/>
  <c r="FK8" i="5"/>
  <c r="FJ8" i="5"/>
  <c r="FI8" i="5"/>
  <c r="FH8" i="5"/>
  <c r="FG8" i="5"/>
  <c r="FF8" i="5"/>
  <c r="FE8" i="5"/>
  <c r="FD8" i="5"/>
  <c r="FC8" i="5"/>
  <c r="FB8" i="5"/>
  <c r="FA8" i="5"/>
  <c r="EZ8" i="5"/>
  <c r="EY8" i="5"/>
  <c r="EX8" i="5"/>
  <c r="EW8" i="5"/>
  <c r="EV8" i="5"/>
  <c r="EU8" i="5"/>
  <c r="ET8" i="5"/>
  <c r="ES8" i="5"/>
  <c r="ER8" i="5"/>
  <c r="EQ8" i="5"/>
  <c r="EP8" i="5"/>
  <c r="EM8" i="5"/>
  <c r="EL8" i="5"/>
  <c r="EK8" i="5"/>
  <c r="EJ8" i="5"/>
  <c r="EI8" i="5"/>
  <c r="EH8" i="5"/>
  <c r="EG8" i="5"/>
  <c r="EF8" i="5"/>
  <c r="EE8" i="5"/>
  <c r="ED8" i="5"/>
  <c r="EC8" i="5"/>
  <c r="EB8" i="5"/>
  <c r="EA8" i="5"/>
  <c r="DZ8" i="5"/>
  <c r="DY8" i="5"/>
  <c r="DX8" i="5"/>
  <c r="DW8" i="5"/>
  <c r="DV8" i="5"/>
  <c r="DU8" i="5"/>
  <c r="DT8" i="5"/>
  <c r="DS8" i="5"/>
  <c r="DR8" i="5"/>
  <c r="DQ8" i="5"/>
  <c r="DP8" i="5"/>
  <c r="DO8" i="5"/>
  <c r="FU8" i="5"/>
  <c r="HA8" i="5"/>
  <c r="GR8" i="5"/>
  <c r="GV8" i="5"/>
  <c r="GL8" i="5"/>
  <c r="HF8" i="5"/>
  <c r="GF8" i="5"/>
  <c r="FZ8" i="5"/>
  <c r="FP8" i="5"/>
  <c r="GW8" i="5"/>
  <c r="HB8" i="5"/>
  <c r="FY8" i="5"/>
  <c r="FS8" i="5"/>
  <c r="HH8" i="5"/>
  <c r="GB8" i="5"/>
  <c r="GG8" i="5"/>
  <c r="GX8" i="5"/>
  <c r="HE8" i="5"/>
  <c r="FW8" i="5"/>
  <c r="HI8" i="5"/>
  <c r="GN8" i="5"/>
  <c r="HL8" i="5"/>
  <c r="FX8" i="5"/>
  <c r="GM8" i="5"/>
  <c r="FV8" i="5"/>
  <c r="FT8" i="5"/>
  <c r="HD8" i="5"/>
  <c r="FQ8" i="5"/>
  <c r="GH8" i="5"/>
  <c r="GT8" i="5"/>
  <c r="HN8" i="5"/>
  <c r="GU8" i="5"/>
  <c r="GY8" i="5"/>
  <c r="GE8" i="5"/>
  <c r="GC8" i="5"/>
  <c r="HJ8" i="5"/>
  <c r="GI8" i="5"/>
  <c r="HK8" i="5"/>
  <c r="HG8" i="5"/>
  <c r="HP8" i="5"/>
  <c r="FR8" i="5"/>
  <c r="HC8" i="5"/>
  <c r="GS8" i="5"/>
  <c r="GA8" i="5"/>
  <c r="GZ8" i="5"/>
  <c r="HM8" i="5"/>
  <c r="GJ8" i="5"/>
  <c r="GK8" i="5"/>
  <c r="HO8" i="5"/>
  <c r="GD8" i="5"/>
  <c r="HU13" i="5" a="1"/>
  <c r="HX13" i="5" a="1"/>
  <c r="HX13" i="5" l="1"/>
  <c r="HU13" i="5"/>
  <c r="BJ13" i="5" l="1"/>
  <c r="BK13" i="5"/>
  <c r="BL13" i="5"/>
  <c r="BM13" i="5"/>
  <c r="BN13" i="5"/>
  <c r="BO13" i="5"/>
  <c r="BP13" i="5"/>
  <c r="BQ13" i="5"/>
  <c r="BR13" i="5"/>
  <c r="BS13" i="5"/>
  <c r="BT13" i="5"/>
  <c r="BU13" i="5"/>
  <c r="BV13" i="5"/>
  <c r="BW13" i="5"/>
  <c r="BX13" i="5"/>
  <c r="BY13" i="5"/>
  <c r="BZ13" i="5"/>
  <c r="CA13" i="5"/>
  <c r="CB13" i="5"/>
  <c r="CC13" i="5"/>
  <c r="CD13" i="5"/>
  <c r="CE13" i="5"/>
  <c r="CF13" i="5"/>
  <c r="CG13" i="5"/>
  <c r="CH13" i="5"/>
  <c r="CJ13" i="5"/>
  <c r="CK13" i="5"/>
  <c r="CL13" i="5"/>
  <c r="CM13" i="5"/>
  <c r="CN13" i="5"/>
  <c r="CO13" i="5"/>
  <c r="CP13" i="5"/>
  <c r="CQ13" i="5"/>
  <c r="CR13" i="5"/>
  <c r="CS13" i="5"/>
  <c r="CT13" i="5"/>
  <c r="CU13" i="5"/>
  <c r="CV13" i="5"/>
  <c r="CW13" i="5"/>
  <c r="CX13" i="5"/>
  <c r="CY13" i="5"/>
  <c r="CZ13" i="5"/>
  <c r="DA13" i="5"/>
  <c r="DB13" i="5"/>
  <c r="DC13" i="5"/>
  <c r="DD13" i="5"/>
  <c r="DE13" i="5"/>
  <c r="DF13" i="5"/>
  <c r="DG13" i="5"/>
  <c r="DH13" i="5"/>
  <c r="DH8" i="5" l="1"/>
  <c r="DG8" i="5"/>
  <c r="DF8" i="5"/>
  <c r="DE8" i="5"/>
  <c r="DD8" i="5"/>
  <c r="DC8" i="5"/>
  <c r="DB8" i="5"/>
  <c r="DA8" i="5"/>
  <c r="CZ8" i="5"/>
  <c r="CY8" i="5"/>
  <c r="CX8" i="5"/>
  <c r="CW8" i="5"/>
  <c r="CV8" i="5"/>
  <c r="CU8" i="5"/>
  <c r="CT8" i="5"/>
  <c r="CS8" i="5"/>
  <c r="CR8" i="5"/>
  <c r="CQ8" i="5"/>
  <c r="CP8" i="5"/>
  <c r="CO8" i="5"/>
  <c r="CN8" i="5"/>
  <c r="CM8" i="5"/>
  <c r="CL8" i="5"/>
  <c r="CK8" i="5"/>
  <c r="CJ8" i="5"/>
  <c r="CH8" i="5"/>
  <c r="CG8" i="5"/>
  <c r="CF8" i="5"/>
  <c r="CE8" i="5"/>
  <c r="CD8" i="5"/>
  <c r="CC8" i="5"/>
  <c r="CB8" i="5"/>
  <c r="CA8" i="5"/>
  <c r="BZ8" i="5"/>
  <c r="BY8" i="5"/>
  <c r="BX8" i="5"/>
  <c r="BW8" i="5"/>
  <c r="BV8" i="5"/>
  <c r="BU8" i="5"/>
  <c r="BT8" i="5"/>
  <c r="BS8" i="5"/>
  <c r="BR8" i="5"/>
  <c r="BQ8" i="5"/>
  <c r="BP8" i="5"/>
  <c r="BO8" i="5"/>
  <c r="BN8" i="5"/>
  <c r="BM8" i="5"/>
  <c r="BL8" i="5"/>
  <c r="BK8" i="5"/>
  <c r="BJ8" i="5"/>
  <c r="E8" i="6"/>
  <c r="AA8" i="6"/>
  <c r="L8" i="6"/>
  <c r="O8" i="6"/>
  <c r="C8" i="6"/>
  <c r="X8" i="6"/>
  <c r="I8" i="6"/>
  <c r="R8" i="6"/>
  <c r="G8" i="6"/>
  <c r="M8" i="6"/>
  <c r="U8" i="6"/>
  <c r="V8" i="6"/>
  <c r="J8" i="6"/>
  <c r="D8" i="6"/>
  <c r="F8" i="6"/>
  <c r="S8" i="6"/>
  <c r="Y8" i="6"/>
  <c r="P8" i="6"/>
  <c r="T8" i="6"/>
  <c r="N8" i="6"/>
  <c r="Q8" i="6"/>
  <c r="W8" i="6"/>
  <c r="K8" i="6"/>
  <c r="Z8" i="6"/>
  <c r="H8" i="6"/>
  <c r="C8" i="1" l="1"/>
  <c r="B16" i="8"/>
  <c r="BC8" i="5"/>
  <c r="BB8" i="5"/>
  <c r="BA8" i="5"/>
  <c r="AZ8" i="5"/>
  <c r="AY8" i="5"/>
  <c r="AX8" i="5"/>
  <c r="AW8" i="5"/>
  <c r="AV8" i="5"/>
  <c r="AU8" i="5"/>
  <c r="AT8" i="5"/>
  <c r="AS8" i="5"/>
  <c r="AR8" i="5"/>
  <c r="AQ8" i="5"/>
  <c r="AP8" i="5"/>
  <c r="AO8" i="5"/>
  <c r="AN8" i="5"/>
  <c r="AM8" i="5"/>
  <c r="AL8" i="5"/>
  <c r="AK8" i="5"/>
  <c r="AJ8" i="5"/>
  <c r="AI8" i="5"/>
  <c r="AH8" i="5"/>
  <c r="AG8" i="5"/>
  <c r="AF8" i="5"/>
  <c r="AE8" i="5"/>
  <c r="AA8" i="5"/>
  <c r="Z8" i="5"/>
  <c r="Y8" i="5"/>
  <c r="X8" i="5"/>
  <c r="W8" i="5"/>
  <c r="V8" i="5"/>
  <c r="U8" i="5"/>
  <c r="T8" i="5"/>
  <c r="S8" i="5"/>
  <c r="R8" i="5"/>
  <c r="Q8" i="5"/>
  <c r="P8" i="5"/>
  <c r="O8" i="5"/>
  <c r="N8" i="5"/>
  <c r="M8" i="5"/>
  <c r="L8" i="5"/>
  <c r="K8" i="5"/>
  <c r="J8" i="5"/>
  <c r="I8" i="5"/>
  <c r="H8" i="5"/>
  <c r="G8" i="5"/>
  <c r="F8" i="5"/>
  <c r="E8" i="5"/>
  <c r="D8" i="5"/>
  <c r="C8" i="5"/>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A8" i="12"/>
  <c r="Z8" i="12"/>
  <c r="Y8" i="12"/>
  <c r="X8" i="12"/>
  <c r="W8" i="12"/>
  <c r="V8" i="12"/>
  <c r="U8" i="12"/>
  <c r="T8" i="12"/>
  <c r="S8" i="12"/>
  <c r="R8" i="12"/>
  <c r="Q8" i="12"/>
  <c r="P8" i="12"/>
  <c r="O8" i="12"/>
  <c r="N8" i="12"/>
  <c r="M8" i="12"/>
  <c r="L8" i="12"/>
  <c r="K8" i="12"/>
  <c r="J8" i="12"/>
  <c r="I8" i="12"/>
  <c r="H8" i="12"/>
  <c r="G8" i="12"/>
  <c r="F8" i="12"/>
  <c r="E8" i="12"/>
  <c r="D8" i="12"/>
  <c r="C8" i="12"/>
  <c r="HP8" i="4"/>
  <c r="HO8" i="4"/>
  <c r="HN8" i="4"/>
  <c r="HM8" i="4"/>
  <c r="HL8" i="4"/>
  <c r="HK8" i="4"/>
  <c r="HJ8" i="4"/>
  <c r="HI8" i="4"/>
  <c r="HH8" i="4"/>
  <c r="HG8" i="4"/>
  <c r="HF8" i="4"/>
  <c r="HE8" i="4"/>
  <c r="HD8" i="4"/>
  <c r="HC8" i="4"/>
  <c r="HB8" i="4"/>
  <c r="HA8" i="4"/>
  <c r="GZ8" i="4"/>
  <c r="GY8" i="4"/>
  <c r="GX8" i="4"/>
  <c r="GW8" i="4"/>
  <c r="GV8" i="4"/>
  <c r="GU8" i="4"/>
  <c r="GT8" i="4"/>
  <c r="GS8" i="4"/>
  <c r="GR8" i="4"/>
  <c r="GO8" i="4"/>
  <c r="GN8" i="4"/>
  <c r="GM8" i="4"/>
  <c r="GL8" i="4"/>
  <c r="GK8" i="4"/>
  <c r="GJ8" i="4"/>
  <c r="GI8" i="4"/>
  <c r="GH8" i="4"/>
  <c r="GG8" i="4"/>
  <c r="GF8" i="4"/>
  <c r="GE8" i="4"/>
  <c r="GD8" i="4"/>
  <c r="GC8" i="4"/>
  <c r="GB8" i="4"/>
  <c r="GA8" i="4"/>
  <c r="FZ8" i="4"/>
  <c r="FY8" i="4"/>
  <c r="FX8" i="4"/>
  <c r="FW8" i="4"/>
  <c r="FV8" i="4"/>
  <c r="FU8" i="4"/>
  <c r="FT8" i="4"/>
  <c r="FS8" i="4"/>
  <c r="FR8" i="4"/>
  <c r="FQ8" i="4"/>
  <c r="FM8" i="4"/>
  <c r="FL8" i="4"/>
  <c r="FK8" i="4"/>
  <c r="FJ8" i="4"/>
  <c r="FI8" i="4"/>
  <c r="FH8" i="4"/>
  <c r="FG8" i="4"/>
  <c r="FF8" i="4"/>
  <c r="FE8" i="4"/>
  <c r="FD8" i="4"/>
  <c r="FC8" i="4"/>
  <c r="FB8" i="4"/>
  <c r="FA8" i="4"/>
  <c r="EZ8" i="4"/>
  <c r="EY8" i="4"/>
  <c r="EX8" i="4"/>
  <c r="EW8" i="4"/>
  <c r="EV8" i="4"/>
  <c r="EU8" i="4"/>
  <c r="ET8" i="4"/>
  <c r="ES8" i="4"/>
  <c r="ER8" i="4"/>
  <c r="EQ8" i="4"/>
  <c r="EP8" i="4"/>
  <c r="EO8" i="4"/>
  <c r="DT8" i="4"/>
  <c r="DS8" i="4"/>
  <c r="DR8" i="4"/>
  <c r="DQ8" i="4"/>
  <c r="DP8" i="4"/>
  <c r="DO8" i="4"/>
  <c r="DN8" i="4"/>
  <c r="DM8" i="4"/>
  <c r="DL8" i="4"/>
  <c r="DK8" i="4"/>
  <c r="DJ8" i="4"/>
  <c r="DI8" i="4"/>
  <c r="DH8" i="4"/>
  <c r="DG8" i="4"/>
  <c r="DF8" i="4"/>
  <c r="DE8" i="4"/>
  <c r="DD8" i="4"/>
  <c r="DC8" i="4"/>
  <c r="DB8" i="4"/>
  <c r="DA8" i="4"/>
  <c r="CZ8" i="4"/>
  <c r="CY8" i="4"/>
  <c r="CX8" i="4"/>
  <c r="CW8" i="4"/>
  <c r="CU8" i="4"/>
  <c r="CT8" i="4"/>
  <c r="CS8" i="4"/>
  <c r="CR8" i="4"/>
  <c r="CQ8" i="4"/>
  <c r="CP8" i="4"/>
  <c r="CO8" i="4"/>
  <c r="CN8" i="4"/>
  <c r="CM8" i="4"/>
  <c r="CL8" i="4"/>
  <c r="CK8" i="4"/>
  <c r="CJ8" i="4"/>
  <c r="CI8" i="4"/>
  <c r="CH8" i="4"/>
  <c r="CG8" i="4"/>
  <c r="CF8" i="4"/>
  <c r="CE8" i="4"/>
  <c r="CD8" i="4"/>
  <c r="CC8" i="4"/>
  <c r="CB8" i="4"/>
  <c r="CA8" i="4"/>
  <c r="BZ8" i="4"/>
  <c r="BY8" i="4"/>
  <c r="BX8" i="4"/>
  <c r="BW8" i="4"/>
  <c r="BF8" i="4"/>
  <c r="BE8" i="4"/>
  <c r="BD8" i="4"/>
  <c r="BC8" i="4"/>
  <c r="BB8" i="4"/>
  <c r="BA8" i="4"/>
  <c r="AZ8" i="4"/>
  <c r="AY8" i="4"/>
  <c r="AX8" i="4"/>
  <c r="AW8" i="4"/>
  <c r="AV8" i="4"/>
  <c r="AU8" i="4"/>
  <c r="AT8" i="4"/>
  <c r="AS8" i="4"/>
  <c r="AR8" i="4"/>
  <c r="AQ8" i="4"/>
  <c r="AP8" i="4"/>
  <c r="AO8" i="4"/>
  <c r="AN8" i="4"/>
  <c r="AM8" i="4"/>
  <c r="AL8" i="4"/>
  <c r="AK8" i="4"/>
  <c r="AJ8" i="4"/>
  <c r="AI8" i="4"/>
  <c r="AH8" i="4"/>
  <c r="AA8" i="4"/>
  <c r="Z8" i="4"/>
  <c r="Y8" i="4"/>
  <c r="X8" i="4"/>
  <c r="W8" i="4"/>
  <c r="V8" i="4"/>
  <c r="U8" i="4"/>
  <c r="T8" i="4"/>
  <c r="S8" i="4"/>
  <c r="R8" i="4"/>
  <c r="Q8" i="4"/>
  <c r="P8" i="4"/>
  <c r="O8" i="4"/>
  <c r="N8" i="4"/>
  <c r="M8" i="4"/>
  <c r="L8" i="4"/>
  <c r="K8" i="4"/>
  <c r="J8" i="4"/>
  <c r="I8" i="4"/>
  <c r="H8" i="4"/>
  <c r="G8" i="4"/>
  <c r="F8" i="4"/>
  <c r="E8" i="4"/>
  <c r="D8" i="4"/>
  <c r="C8" i="4"/>
  <c r="DE8" i="3"/>
  <c r="DD8" i="3"/>
  <c r="DC8" i="3"/>
  <c r="DB8" i="3"/>
  <c r="DA8" i="3"/>
  <c r="CZ8" i="3"/>
  <c r="CY8" i="3"/>
  <c r="CX8" i="3"/>
  <c r="CW8" i="3"/>
  <c r="CV8" i="3"/>
  <c r="CU8" i="3"/>
  <c r="CT8" i="3"/>
  <c r="CS8" i="3"/>
  <c r="CR8" i="3"/>
  <c r="CQ8" i="3"/>
  <c r="CP8" i="3"/>
  <c r="CO8" i="3"/>
  <c r="CN8" i="3"/>
  <c r="CM8" i="3"/>
  <c r="CL8" i="3"/>
  <c r="CK8" i="3"/>
  <c r="CJ8" i="3"/>
  <c r="CI8" i="3"/>
  <c r="CH8" i="3"/>
  <c r="CG8" i="3"/>
  <c r="CE8" i="3"/>
  <c r="CD8" i="3"/>
  <c r="CC8" i="3"/>
  <c r="CB8" i="3"/>
  <c r="CA8" i="3"/>
  <c r="BZ8" i="3"/>
  <c r="BY8" i="3"/>
  <c r="BX8" i="3"/>
  <c r="BW8" i="3"/>
  <c r="BV8" i="3"/>
  <c r="BU8" i="3"/>
  <c r="BT8" i="3"/>
  <c r="BS8" i="3"/>
  <c r="BR8" i="3"/>
  <c r="BQ8" i="3"/>
  <c r="BP8" i="3"/>
  <c r="BO8" i="3"/>
  <c r="BN8" i="3"/>
  <c r="BM8" i="3"/>
  <c r="BL8" i="3"/>
  <c r="BK8" i="3"/>
  <c r="BJ8" i="3"/>
  <c r="BI8" i="3"/>
  <c r="BH8" i="3"/>
  <c r="BG8" i="3"/>
  <c r="BA8" i="3"/>
  <c r="AZ8" i="3"/>
  <c r="AY8" i="3"/>
  <c r="AX8" i="3"/>
  <c r="AW8" i="3"/>
  <c r="AV8" i="3"/>
  <c r="AU8" i="3"/>
  <c r="AT8" i="3"/>
  <c r="AS8" i="3"/>
  <c r="AR8" i="3"/>
  <c r="AQ8" i="3"/>
  <c r="AP8" i="3"/>
  <c r="AO8" i="3"/>
  <c r="AN8" i="3"/>
  <c r="AM8" i="3"/>
  <c r="AL8" i="3"/>
  <c r="AK8" i="3"/>
  <c r="AJ8" i="3"/>
  <c r="AI8" i="3"/>
  <c r="AH8" i="3"/>
  <c r="AG8" i="3"/>
  <c r="AF8" i="3"/>
  <c r="AE8" i="3"/>
  <c r="AD8" i="3"/>
  <c r="AC8" i="3"/>
  <c r="AA8" i="3"/>
  <c r="Z8" i="3"/>
  <c r="Y8" i="3"/>
  <c r="X8" i="3"/>
  <c r="W8" i="3"/>
  <c r="V8" i="3"/>
  <c r="U8" i="3"/>
  <c r="T8" i="3"/>
  <c r="S8" i="3"/>
  <c r="R8" i="3"/>
  <c r="Q8" i="3"/>
  <c r="P8" i="3"/>
  <c r="O8" i="3"/>
  <c r="N8" i="3"/>
  <c r="M8" i="3"/>
  <c r="L8" i="3"/>
  <c r="K8" i="3"/>
  <c r="J8" i="3"/>
  <c r="I8" i="3"/>
  <c r="H8" i="3"/>
  <c r="G8" i="3"/>
  <c r="F8" i="3"/>
  <c r="E8" i="3"/>
  <c r="D8" i="3"/>
  <c r="C8" i="3"/>
  <c r="AT8" i="2"/>
  <c r="AS8" i="2"/>
  <c r="AR8" i="2"/>
  <c r="AQ8" i="2"/>
  <c r="AP8" i="2"/>
  <c r="AO8" i="2"/>
  <c r="AN8" i="2"/>
  <c r="AM8" i="2"/>
  <c r="AL8" i="2"/>
  <c r="AK8" i="2"/>
  <c r="AJ8" i="2"/>
  <c r="AI8" i="2"/>
  <c r="AH8" i="2"/>
  <c r="AG8" i="2"/>
  <c r="AF8" i="2"/>
  <c r="AE8" i="2"/>
  <c r="AD8" i="2"/>
  <c r="AC8" i="2"/>
  <c r="AB8" i="2"/>
  <c r="AA8" i="2"/>
  <c r="Z8" i="2"/>
  <c r="Y8" i="2"/>
  <c r="X8" i="2"/>
  <c r="W8" i="2"/>
  <c r="V8" i="2"/>
  <c r="BA8" i="1"/>
  <c r="AZ8" i="1"/>
  <c r="AY8" i="1"/>
  <c r="AX8" i="1"/>
  <c r="AW8" i="1"/>
  <c r="AV8" i="1"/>
  <c r="AU8" i="1"/>
  <c r="AT8" i="1"/>
  <c r="AS8" i="1"/>
  <c r="AR8" i="1"/>
  <c r="AQ8" i="1"/>
  <c r="AP8" i="1"/>
  <c r="AO8" i="1"/>
  <c r="AN8" i="1"/>
  <c r="AM8" i="1"/>
  <c r="AL8" i="1"/>
  <c r="AK8" i="1"/>
  <c r="AJ8" i="1"/>
  <c r="AI8" i="1"/>
  <c r="AH8" i="1"/>
  <c r="AG8" i="1"/>
  <c r="AF8" i="1"/>
  <c r="AE8" i="1"/>
  <c r="AD8" i="1"/>
  <c r="AC8" i="1"/>
  <c r="AA8" i="1"/>
  <c r="Z8" i="1"/>
  <c r="Y8" i="1"/>
  <c r="X8" i="1"/>
  <c r="W8" i="1"/>
  <c r="V8" i="1"/>
  <c r="U8" i="1"/>
  <c r="T8" i="1"/>
  <c r="S8" i="1"/>
  <c r="R8" i="1"/>
  <c r="Q8" i="1"/>
  <c r="P8" i="1"/>
  <c r="O8" i="1"/>
  <c r="N8" i="1"/>
  <c r="M8" i="1"/>
  <c r="L8" i="1"/>
  <c r="K8" i="1"/>
  <c r="J8" i="1"/>
  <c r="I8" i="1"/>
  <c r="H8" i="1"/>
  <c r="G8" i="1"/>
  <c r="F8" i="1"/>
  <c r="E8" i="1"/>
  <c r="D8" i="1"/>
  <c r="AB13" i="12" l="1"/>
  <c r="BE13" i="12" a="1"/>
  <c r="DZ13" i="4" a="1"/>
  <c r="BG13" i="12" a="1"/>
  <c r="DZ13" i="4" l="1"/>
  <c r="BG13" i="12"/>
  <c r="BE13" i="12"/>
  <c r="DV13" i="4"/>
  <c r="BX13" i="4"/>
  <c r="BY13" i="4"/>
  <c r="BZ13" i="4"/>
  <c r="CA13" i="4"/>
  <c r="CB13" i="4"/>
  <c r="CC13" i="4"/>
  <c r="CD13" i="4"/>
  <c r="CE13" i="4"/>
  <c r="CF13" i="4"/>
  <c r="CG13" i="4"/>
  <c r="CH13" i="4"/>
  <c r="CI13" i="4"/>
  <c r="CJ13" i="4"/>
  <c r="CK13" i="4"/>
  <c r="CL13" i="4"/>
  <c r="CM13" i="4"/>
  <c r="CN13" i="4"/>
  <c r="CO13" i="4"/>
  <c r="CP13" i="4"/>
  <c r="CQ13" i="4"/>
  <c r="CR13" i="4"/>
  <c r="CS13" i="4"/>
  <c r="CT13" i="4"/>
  <c r="CU13" i="4"/>
  <c r="BW13" i="4"/>
  <c r="BV13" i="4"/>
  <c r="FO13" i="4"/>
  <c r="BQ13" i="4" a="1"/>
  <c r="BQ13" i="4" l="1"/>
  <c r="EL13" i="4"/>
  <c r="EJ13" i="4"/>
  <c r="EH13" i="4"/>
  <c r="J13" i="2"/>
  <c r="DG13" i="3" a="1"/>
  <c r="EI13" i="4" a="1"/>
  <c r="EK13" i="4" a="1"/>
  <c r="EG13" i="4" a="1"/>
  <c r="EM13" i="4" a="1"/>
  <c r="EK13" i="4" l="1"/>
  <c r="EG13" i="4"/>
  <c r="EM13" i="4"/>
  <c r="EI13" i="4"/>
  <c r="DG13" i="3"/>
  <c r="BH13" i="4" l="1"/>
  <c r="AE13" i="4"/>
  <c r="AB13" i="4"/>
  <c r="BJ13" i="4" a="1"/>
  <c r="DQ13" i="3" a="1"/>
  <c r="AF13" i="4" a="1"/>
  <c r="DS13" i="3" a="1"/>
  <c r="BN13" i="4" a="1"/>
  <c r="BN13" i="4" l="1"/>
  <c r="BJ13" i="4"/>
  <c r="AF13" i="4"/>
  <c r="DS13" i="3"/>
  <c r="DQ13" i="3"/>
  <c r="BA13" i="2" l="1"/>
  <c r="BB13" i="2" a="1"/>
  <c r="BB13" i="2" l="1"/>
</calcChain>
</file>

<file path=xl/comments1.xml><?xml version="1.0" encoding="utf-8"?>
<comments xmlns="http://schemas.openxmlformats.org/spreadsheetml/2006/main">
  <authors>
    <author>tc={32B5035F-EA23-413B-95DC-664103421DC4}</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comments2.xml><?xml version="1.0" encoding="utf-8"?>
<comments xmlns="http://schemas.openxmlformats.org/spreadsheetml/2006/main">
  <authors>
    <author>tc={0B10BC00-FACA-4066-8E30-F331E2FA6CB3}</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<sst xmlns="http://schemas.openxmlformats.org/spreadsheetml/2006/main" count="15120" uniqueCount="5388">
  <si>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</si>
  <si>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</si>
  <si>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</si>
  <si>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r>
      <t>All sheets have a "</t>
    </r>
    <r>
      <rPr>
        <b/>
        <sz val="11"/>
        <color theme="1"/>
        <rFont val="Calibri"/>
        <family val="2"/>
        <scheme val="minor"/>
      </rPr>
      <t>Deafult Value</t>
    </r>
    <r>
      <rPr>
        <sz val="11"/>
        <color theme="1"/>
        <rFont val="Calibri"/>
        <family val="2"/>
        <scheme val="minor"/>
      </rPr>
      <t>" row, where you can enter data (in the yellow cells) that will be automatically copied into each new row you add to speed up the data filling procedure.</t>
    </r>
  </si>
  <si>
    <t>Data fields marked in red are mandatory. These are:</t>
  </si>
  <si>
    <r>
      <t xml:space="preserve">(1) Credential Title; (2) Credential type; (3) Valid from date; (4) Full name of recipient; (5) Date of birth of recipient; (6) e-mail </t>
    </r>
    <r>
      <rPr>
        <b/>
        <u/>
        <sz val="11"/>
        <color theme="1"/>
        <rFont val="Calibri"/>
        <family val="2"/>
        <scheme val="minor"/>
      </rPr>
      <t>or</t>
    </r>
    <r>
      <rPr>
        <sz val="11"/>
        <color theme="1"/>
        <rFont val="Calibri"/>
        <family val="2"/>
        <scheme val="minor"/>
      </rPr>
      <t xml:space="preserve"> wallet address of recipient; (7) Name of issuing organisation.</t>
    </r>
  </si>
  <si>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</si>
  <si>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</si>
  <si>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</si>
  <si>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</si>
  <si>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</si>
  <si>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</si>
  <si>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</si>
  <si>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</si>
  <si>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</si>
  <si>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</si>
  <si>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</si>
  <si>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</si>
  <si>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</si>
  <si>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</si>
  <si>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</si>
  <si>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</si>
  <si>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</si>
  <si>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</si>
  <si>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</si>
  <si>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</si>
  <si>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</si>
  <si>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</si>
  <si>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</si>
  <si>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</si>
  <si>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</si>
  <si>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</si>
  <si>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</si>
  <si>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</si>
  <si>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</si>
  <si>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</si>
  <si>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</si>
  <si>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</si>
  <si>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</si>
  <si>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</si>
  <si>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</si>
  <si>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</si>
  <si>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</si>
  <si>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</si>
  <si>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</si>
  <si>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</si>
  <si>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</si>
  <si>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</si>
  <si>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</si>
  <si>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</si>
  <si>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</si>
  <si>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</si>
  <si>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</si>
  <si>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</si>
  <si>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</si>
  <si>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</si>
  <si>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</si>
  <si>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</si>
  <si>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</si>
  <si>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</si>
  <si>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</si>
  <si>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</si>
  <si>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</si>
  <si>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</si>
  <si>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</si>
  <si>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</si>
  <si>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</si>
  <si>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</si>
  <si>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</si>
  <si>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</si>
  <si>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</si>
  <si>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</si>
  <si>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</si>
  <si>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</si>
  <si>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</si>
  <si>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</si>
  <si>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HTML</t>
  </si>
  <si>
    <t>The full official title of the issued credential (maximum 50 characters).</t>
  </si>
  <si>
    <t>A summary of the claim or group of claims being made about a person (maximum 140 words). Typically should start with a verb, for example "has achieved", "is entitled to", "has attended", "knows".</t>
  </si>
  <si>
    <t>The earliest date when the information associated with the credentialSubject property became valid.
This date represents the earliest date when the information associated with the credentialSubject property became valid. A verifiable credential MUST have a validFrom property. This is not the date and time of generation of the credential.
Please provide a valid date of issuance.</t>
  </si>
  <si>
    <t>The expiration date. The value of the expirationDate property  represents the date and time the credential ceases to be valid (if applicable).
If the credential has an expiration date, please provide that specific date in a valid data format.</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</si>
  <si>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</si>
  <si>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</si>
  <si>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Smaller sub-credentials (micro-credentials), which when combined make up this  learning opportunity. Separate multiple entries with a semicolon.</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</si>
  <si>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</si>
  <si>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</si>
  <si>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</si>
  <si>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</si>
  <si>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</si>
  <si>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</si>
  <si>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</si>
  <si>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</si>
  <si>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</si>
  <si>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</si>
  <si>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</si>
  <si>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</si>
  <si>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</si>
  <si>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</si>
  <si>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</si>
  <si>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</si>
  <si>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</si>
  <si>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</si>
  <si>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</si>
  <si>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</si>
  <si>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</si>
  <si>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</si>
  <si>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</si>
  <si>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</si>
  <si>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t>Make sure to point to an existing credential via download endpoint.
Format: http://dev.everisdx.io:8000/europass2/edci-wallet/api/v1/wallets/WALLET_ADDRESS/credentials/CREDENTIAL_UUID</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</si>
  <si>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</si>
  <si>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</si>
  <si>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</si>
  <si>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</si>
  <si>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</si>
  <si>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</si>
  <si>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</si>
  <si>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</si>
  <si>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</si>
  <si>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</si>
  <si>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</si>
  <si>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</si>
  <si>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</si>
  <si>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</si>
  <si>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</si>
  <si>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</si>
  <si>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</si>
  <si>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</si>
  <si>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</si>
  <si>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</si>
  <si>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</si>
  <si>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</si>
  <si>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</si>
  <si>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</si>
  <si>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</si>
  <si>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</si>
  <si>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</si>
  <si>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</si>
  <si>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</si>
  <si>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</si>
  <si>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</si>
  <si>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</si>
  <si>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</si>
  <si>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</si>
  <si>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</si>
  <si>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</si>
  <si>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</si>
  <si>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</si>
  <si>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</si>
  <si>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</si>
  <si>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</si>
  <si>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</si>
  <si>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</si>
  <si>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</si>
  <si>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</si>
  <si>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</si>
  <si>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</si>
  <si>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</si>
  <si>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</si>
  <si>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</si>
  <si>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</si>
  <si>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</si>
  <si>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</si>
  <si>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</si>
  <si>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</si>
  <si>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</si>
  <si>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</si>
  <si>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</si>
  <si>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</si>
  <si>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</si>
  <si>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</si>
  <si>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</si>
  <si>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</si>
  <si>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</si>
  <si>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</si>
  <si>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</si>
  <si>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</si>
  <si>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</si>
  <si>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</si>
  <si>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</si>
  <si>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Person.contactPoint#1.walletAddress#1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</si>
  <si>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</si>
  <si>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</si>
  <si>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</si>
  <si>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</si>
  <si>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</si>
  <si>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</si>
  <si>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</si>
  <si>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</si>
  <si>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</si>
  <si>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</si>
  <si>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</si>
  <si>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</si>
  <si>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</si>
  <si>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</si>
  <si>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</si>
  <si>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</si>
  <si>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</si>
  <si>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</si>
  <si>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</si>
  <si>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</si>
  <si>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</si>
  <si>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</si>
  <si>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</si>
  <si>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</si>
  <si>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</si>
  <si>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</si>
  <si>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</si>
  <si>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</si>
  <si>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</si>
  <si>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National ID number</t>
  </si>
  <si>
    <t>National ID country</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</si>
  <si>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</si>
  <si>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</si>
  <si>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</si>
  <si>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</si>
  <si>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</si>
  <si>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</si>
  <si>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</si>
  <si>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</si>
  <si>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</si>
  <si>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</si>
  <si>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</si>
  <si>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</si>
  <si>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</si>
  <si>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</si>
  <si>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</si>
  <si>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</si>
  <si>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</si>
  <si>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</si>
  <si>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</si>
  <si>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</si>
  <si>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</si>
  <si>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</si>
  <si>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</si>
  <si>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</si>
  <si>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</si>
  <si>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</si>
  <si>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</si>
  <si>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</si>
  <si>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</si>
  <si>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</si>
  <si>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</si>
  <si>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</si>
  <si>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</si>
  <si>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</si>
  <si>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</si>
  <si>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</si>
  <si>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</si>
  <si>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</si>
  <si>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</si>
  <si>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</si>
  <si>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</si>
  <si>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</si>
  <si>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</si>
  <si>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</si>
  <si>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</si>
  <si>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</si>
  <si>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</si>
  <si>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</si>
  <si>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</si>
  <si>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</si>
  <si>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</si>
  <si>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</si>
  <si>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</si>
  <si>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</si>
  <si>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</si>
  <si>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</si>
  <si>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</si>
  <si>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</si>
  <si>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</si>
  <si>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</si>
  <si>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</si>
  <si>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</si>
  <si>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</si>
  <si>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</si>
  <si>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</si>
  <si>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</si>
  <si>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</si>
  <si>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</si>
  <si>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</si>
  <si>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</si>
  <si>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</si>
  <si>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</si>
  <si>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</si>
  <si>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</si>
  <si>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</si>
  <si>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</si>
  <si>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</si>
  <si>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</si>
  <si>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</si>
  <si>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</si>
  <si>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</si>
  <si>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</si>
  <si>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</si>
  <si>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</si>
  <si>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</si>
  <si>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</si>
  <si>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</si>
  <si>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</si>
  <si>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</si>
  <si>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</si>
  <si>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</si>
  <si>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</si>
  <si>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</si>
  <si>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</si>
  <si>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</si>
  <si>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</si>
  <si>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r>
      <rPr>
        <i/>
        <sz val="18"/>
        <color theme="1"/>
        <rFont val="Calibri"/>
        <family val="2"/>
        <scheme val="minor"/>
      </rPr>
      <t xml:space="preserve">Organisations   </t>
    </r>
    <r>
      <rPr>
        <i/>
        <sz val="11"/>
        <color theme="1"/>
        <rFont val="Calibri"/>
        <family val="2"/>
        <scheme val="minor"/>
      </rPr>
      <t xml:space="preserve">
This is the main sheet for describing legal persons / registered Organisation.</t>
    </r>
  </si>
  <si>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</si>
  <si>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</si>
  <si>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</si>
  <si>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</si>
  <si>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</si>
  <si>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</si>
  <si>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</si>
  <si>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</si>
  <si>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</si>
  <si>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</si>
  <si>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</si>
  <si>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</si>
  <si>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</si>
  <si>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</si>
  <si>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</si>
  <si>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</si>
  <si>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</si>
  <si>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</si>
  <si>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</si>
  <si>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</si>
  <si>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</si>
  <si>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</si>
  <si>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</si>
  <si>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</si>
  <si>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</si>
  <si>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</si>
  <si>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</si>
  <si>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</si>
  <si>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</si>
  <si>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</si>
  <si>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spatial ID.</t>
  </si>
  <si>
    <t>The official identification number of the organisation, as awarded by the relevant national authority.</t>
  </si>
  <si>
    <t>Provide a public URL to the organisation's logo in png or jpg format.</t>
  </si>
  <si>
    <t>This information is compulsory if you entered the Organisation's full address.</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</si>
  <si>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</si>
  <si>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</si>
  <si>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</si>
  <si>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</si>
  <si>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</si>
  <si>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</si>
  <si>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</si>
  <si>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</si>
  <si>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</si>
  <si>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</si>
  <si>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</si>
  <si>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</si>
  <si>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</si>
  <si>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</si>
  <si>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</si>
  <si>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</si>
  <si>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</si>
  <si>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</si>
  <si>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</si>
  <si>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</si>
  <si>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</si>
  <si>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</si>
  <si>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</si>
  <si>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</si>
  <si>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</si>
  <si>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</si>
  <si>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</si>
  <si>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</si>
  <si>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</si>
  <si>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</si>
  <si>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</si>
  <si>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</si>
  <si>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</si>
  <si>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</si>
  <si>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</si>
  <si>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</si>
  <si>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</si>
  <si>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</si>
  <si>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</si>
  <si>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</si>
  <si>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</si>
  <si>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</si>
  <si>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</si>
  <si>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</si>
  <si>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</si>
  <si>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</si>
  <si>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</si>
  <si>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</si>
  <si>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</si>
  <si>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Organisation.alternativeName.Property.content.18.mt</t>
  </si>
  <si>
    <t>Organisation.alternativeName.Property.content.19.nl</t>
  </si>
  <si>
    <t>Organisation.alternativeName.Property.content.20.no</t>
  </si>
  <si>
    <t>Organisation.alternativeName.Property.content.21.pl</t>
  </si>
  <si>
    <t>Organisation.alternativeName.Property.content.22.pt</t>
  </si>
  <si>
    <t>Organisation.alternativeName.Property.content.23.ro</t>
  </si>
  <si>
    <t>Organisation.alternativeName.Property.content.24.sk</t>
  </si>
  <si>
    <t>Organisation.alternativeName.Property.content.25.sl</t>
  </si>
  <si>
    <t>Organisation.alternativeName.Property.content.26.sv</t>
  </si>
  <si>
    <t>Organisation.legalIdentifier.SpatialId.NestedProperty.</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</si>
  <si>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</si>
  <si>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</si>
  <si>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</si>
  <si>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</si>
  <si>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</si>
  <si>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</si>
  <si>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</si>
  <si>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</si>
  <si>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</si>
  <si>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</si>
  <si>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</si>
  <si>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</si>
  <si>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</si>
  <si>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</si>
  <si>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</si>
  <si>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</si>
  <si>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</si>
  <si>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</si>
  <si>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</si>
  <si>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</si>
  <si>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Agent.hasLocation#18.geographicName.NestedProperty.content.mt</t>
  </si>
  <si>
    <t>Agent.hasLocation#19.geographicName.NestedProperty.content.nl</t>
  </si>
  <si>
    <t>Agent.hasLocation#20.geographicName.NestedProperty.content.no</t>
  </si>
  <si>
    <t>Agent.hasLocation#21.geographicName.NestedProperty.content.pl</t>
  </si>
  <si>
    <t>Agent.hasLocation#22.geographicName.NestedProperty.content.pt</t>
  </si>
  <si>
    <t>Agent.hasLocation#23.geographicName.NestedProperty.content.ro</t>
  </si>
  <si>
    <t>Agent.hasLocation#24.geographicName.NestedProperty.content.sk</t>
  </si>
  <si>
    <t>Agent.hasLocation#25.geographicName.NestedProperty.content.sl</t>
  </si>
  <si>
    <t>Agent.hasLocation#26.geographicName.NestedProperty.content.sv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</si>
  <si>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</si>
  <si>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</si>
  <si>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</si>
  <si>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</si>
  <si>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</si>
  <si>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</si>
  <si>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</si>
  <si>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</si>
  <si>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</si>
  <si>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</si>
  <si>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</si>
  <si>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</si>
  <si>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</si>
  <si>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</si>
  <si>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</si>
  <si>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</si>
  <si>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</si>
  <si>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Agent.hasLocation#1.hasAddress#18.fullAddress.NestedProperty.content.mt</t>
  </si>
  <si>
    <t>Agent.hasLocation#1.hasAddress#19.fullAddress.NestedProperty.content.nl</t>
  </si>
  <si>
    <t>Agent.hasLocation#1.hasAddress#20.fullAddress.NestedProperty.content.no</t>
  </si>
  <si>
    <t>Agent.hasLocation#1.hasAddress#21.fullAddress.NestedProperty.content.pl</t>
  </si>
  <si>
    <t>Agent.hasLocation#1.hasAddress#22.fullAddress.NestedProperty.content.pt</t>
  </si>
  <si>
    <t>Agent.hasLocation#1.hasAddress#23.fullAddress.NestedProperty.content.ro</t>
  </si>
  <si>
    <t>Agent.hasLocation#1.hasAddress#24.fullAddress.NestedProperty.content.sk</t>
  </si>
  <si>
    <t>Agent.hasLocation#1.hasAddress#25.fullAddress.NestedProperty.content.sl</t>
  </si>
  <si>
    <t>Agent.hasLocation#1.hasAddress#26.fullAddress.NestedProperty.content.sv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</si>
  <si>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</si>
  <si>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</si>
  <si>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</si>
  <si>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</si>
  <si>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</si>
  <si>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</si>
  <si>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</si>
  <si>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</si>
  <si>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</si>
  <si>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</si>
  <si>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</si>
  <si>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</si>
  <si>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</si>
  <si>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</si>
  <si>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</si>
  <si>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</si>
  <si>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</si>
  <si>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</si>
  <si>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</si>
  <si>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</si>
  <si>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</si>
  <si>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</si>
  <si>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</si>
  <si>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</si>
  <si>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</si>
  <si>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</si>
  <si>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</si>
  <si>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</si>
  <si>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</si>
  <si>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</si>
  <si>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</si>
  <si>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</si>
  <si>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</si>
  <si>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</si>
  <si>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</si>
  <si>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</si>
  <si>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</si>
  <si>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</si>
  <si>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</si>
  <si>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</si>
  <si>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</si>
  <si>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</si>
  <si>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</si>
  <si>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</si>
  <si>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</si>
  <si>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reference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</si>
  <si>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</si>
  <si>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</si>
  <si>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</si>
  <si>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</si>
  <si>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</si>
  <si>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</si>
  <si>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</si>
  <si>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</si>
  <si>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</si>
  <si>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</si>
  <si>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</si>
  <si>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</si>
  <si>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</si>
  <si>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</si>
  <si>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</si>
  <si>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</si>
  <si>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</si>
  <si>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</si>
  <si>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</si>
  <si>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</si>
  <si>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</si>
  <si>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</si>
  <si>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</si>
  <si>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</si>
  <si>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</si>
  <si>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</si>
  <si>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</si>
  <si>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</si>
  <si>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</si>
  <si>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</si>
  <si>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</si>
  <si>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</si>
  <si>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</si>
  <si>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</si>
  <si>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</si>
  <si>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title of the achievement.
In the case of Learning Credentials and Qualification Awards, this is often the same title as that of the credential.</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</si>
  <si>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</si>
  <si>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</si>
  <si>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t>This field should not be used to record information which is  captured by other parts of the model.</t>
  </si>
  <si>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</si>
  <si>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</si>
  <si>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</si>
  <si>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</si>
  <si>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</si>
  <si>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</si>
  <si>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The Awarding Body's National Qualification Framework</t>
  </si>
  <si>
    <t>Where the opportunity is a qualification, its level as mapped to the offering institution's National Qualifications Framework.</t>
  </si>
  <si>
    <t>Webpage describing the learning specification</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</si>
  <si>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</si>
  <si>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</si>
  <si>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</si>
  <si>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</si>
  <si>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</si>
  <si>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Other Web Document describing the learning specification</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</si>
  <si>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</si>
  <si>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</si>
  <si>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</si>
  <si>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</si>
  <si>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</si>
  <si>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</si>
  <si>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</si>
  <si>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</si>
  <si>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</si>
  <si>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</si>
  <si>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</si>
  <si>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</si>
  <si>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</si>
  <si>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</si>
  <si>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</si>
  <si>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</si>
  <si>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</si>
  <si>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</si>
  <si>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</si>
  <si>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</si>
  <si>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</si>
  <si>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</si>
  <si>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</si>
  <si>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</si>
  <si>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</si>
  <si>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</si>
  <si>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</si>
  <si>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</si>
  <si>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</si>
  <si>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</si>
  <si>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</si>
  <si>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</si>
  <si>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</si>
  <si>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</si>
  <si>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</si>
  <si>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</si>
  <si>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</si>
  <si>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</si>
  <si>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</si>
  <si>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</si>
  <si>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</si>
  <si>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</si>
  <si>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</si>
  <si>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</si>
  <si>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</si>
  <si>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</si>
  <si>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</si>
  <si>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</si>
  <si>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</si>
  <si>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</si>
  <si>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</si>
  <si>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</si>
  <si>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</si>
  <si>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</si>
  <si>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</si>
  <si>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</si>
  <si>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</si>
  <si>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</si>
  <si>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</si>
  <si>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</si>
  <si>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</si>
  <si>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</si>
  <si>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</si>
  <si>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</si>
  <si>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</si>
  <si>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</si>
  <si>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</si>
  <si>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</si>
  <si>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</si>
  <si>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</si>
  <si>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</si>
  <si>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</si>
  <si>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</si>
  <si>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</si>
  <si>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</si>
  <si>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</si>
  <si>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</si>
  <si>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</si>
  <si>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</si>
  <si>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</si>
  <si>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</si>
  <si>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</si>
  <si>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</si>
  <si>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</si>
  <si>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</si>
  <si>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</si>
  <si>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</si>
  <si>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</si>
  <si>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</si>
  <si>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</si>
  <si>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</si>
  <si>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</si>
  <si>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</si>
  <si>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</si>
  <si>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</si>
  <si>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</si>
  <si>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</si>
  <si>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</si>
  <si>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</si>
  <si>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</si>
  <si>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</si>
  <si>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</si>
  <si>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</si>
  <si>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</si>
  <si>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</si>
  <si>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</si>
  <si>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</si>
  <si>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</si>
  <si>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</si>
  <si>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</si>
  <si>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</si>
  <si>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</si>
  <si>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</si>
  <si>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</si>
  <si>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</si>
  <si>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</si>
  <si>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</si>
  <si>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</si>
  <si>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</si>
  <si>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</si>
  <si>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</si>
  <si>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</si>
  <si>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</si>
  <si>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</si>
  <si>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</si>
  <si>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</si>
  <si>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</si>
  <si>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</si>
  <si>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</si>
  <si>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</si>
  <si>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</si>
  <si>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</si>
  <si>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</si>
  <si>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</si>
  <si>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</si>
  <si>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</si>
  <si>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</si>
  <si>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</si>
  <si>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</si>
  <si>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</si>
  <si>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</si>
  <si>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</si>
  <si>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</si>
  <si>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</si>
  <si>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</si>
  <si>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</si>
  <si>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</si>
  <si>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</si>
  <si>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</si>
  <si>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</si>
  <si>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</si>
  <si>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</si>
  <si>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</si>
  <si>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</si>
  <si>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</si>
  <si>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</si>
  <si>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</si>
  <si>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</si>
  <si>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</si>
  <si>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</si>
  <si>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</si>
  <si>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</si>
  <si>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</si>
  <si>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</si>
  <si>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</si>
  <si>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</si>
  <si>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</si>
  <si>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</si>
  <si>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</si>
  <si>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</si>
  <si>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</si>
  <si>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</si>
  <si>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</si>
  <si>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</si>
  <si>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</si>
  <si>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</si>
  <si>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</si>
  <si>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</si>
  <si>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</si>
  <si>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</si>
  <si>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</si>
  <si>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</si>
  <si>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</si>
  <si>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</si>
  <si>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</si>
  <si>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</si>
  <si>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</si>
  <si>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</si>
  <si>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</si>
  <si>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</si>
  <si>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</si>
  <si>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</si>
  <si>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</si>
  <si>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</si>
  <si>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</si>
  <si>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</si>
  <si>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</si>
  <si>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</si>
  <si>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</si>
  <si>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</si>
  <si>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</si>
  <si>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</si>
  <si>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</si>
  <si>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</si>
  <si>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</si>
  <si>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</si>
  <si>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</si>
  <si>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</si>
  <si>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</si>
  <si>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</si>
  <si>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</si>
  <si>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</si>
  <si>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</si>
  <si>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</si>
  <si>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</si>
  <si>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</si>
  <si>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</si>
  <si>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</si>
  <si>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</si>
  <si>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</si>
  <si>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</si>
  <si>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</si>
  <si>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</si>
  <si>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</si>
  <si>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</si>
  <si>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</si>
  <si>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</si>
  <si>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</si>
  <si>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</si>
  <si>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targetUrl</t>
  </si>
  <si>
    <t>Learning Outcome Identifier Scheme</t>
  </si>
  <si>
    <t>Learning Outcome Identifier</t>
  </si>
  <si>
    <t>Learning Outcome Type</t>
  </si>
  <si>
    <t>Reusability Level</t>
  </si>
  <si>
    <t>Related ESCO Skill 1</t>
  </si>
  <si>
    <t>Related ESCO Skill 2</t>
  </si>
  <si>
    <t>Related ESCO Skill 3</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</si>
  <si>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</si>
  <si>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</si>
  <si>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</si>
  <si>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</si>
  <si>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</si>
  <si>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</si>
  <si>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</si>
  <si>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</si>
  <si>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</si>
  <si>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</si>
  <si>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</si>
  <si>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</si>
  <si>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</si>
  <si>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</si>
  <si>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</si>
  <si>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</si>
  <si>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</si>
  <si>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</si>
  <si>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</si>
  <si>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</si>
  <si>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</si>
  <si>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</si>
  <si>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</si>
  <si>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</si>
  <si>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</si>
  <si>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</si>
  <si>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</si>
  <si>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</si>
  <si>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</si>
  <si>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</si>
  <si>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</si>
  <si>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</si>
  <si>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</si>
  <si>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</si>
  <si>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</si>
  <si>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</si>
  <si>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</si>
  <si>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</si>
  <si>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</si>
  <si>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</si>
  <si>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</si>
  <si>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</si>
  <si>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</si>
  <si>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</si>
  <si>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</si>
  <si>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</si>
  <si>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</si>
  <si>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</si>
  <si>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</si>
  <si>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</si>
  <si>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</si>
  <si>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</si>
  <si>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</si>
  <si>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</si>
  <si>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</si>
  <si>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</si>
  <si>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</si>
  <si>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</si>
  <si>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</si>
  <si>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</si>
  <si>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t>LearningOutcome.relatedESCOSkill#1.targetResource.NestedProperty.</t>
  </si>
  <si>
    <t>LearningOutcome.relatedESCOSkill#2.targetResource.NestedProperty.</t>
  </si>
  <si>
    <t>LearningOutcome.relatedESCOSkill#3.targetResource.NestedProperty.</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</si>
  <si>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</si>
  <si>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</si>
  <si>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</si>
  <si>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</si>
  <si>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</si>
  <si>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</si>
  <si>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</si>
  <si>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</si>
  <si>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</si>
  <si>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</si>
  <si>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</si>
  <si>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</si>
  <si>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</si>
  <si>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</si>
  <si>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</si>
  <si>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</si>
  <si>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</si>
  <si>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</si>
  <si>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</si>
  <si>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</si>
  <si>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</si>
  <si>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</si>
  <si>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</si>
  <si>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</si>
  <si>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</si>
  <si>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</si>
  <si>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</si>
  <si>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</si>
  <si>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 xml:space="preserve">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</si>
  <si>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</si>
  <si>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</si>
  <si>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</si>
  <si>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</si>
  <si>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t>Webpage describing the learning activity specification</t>
  </si>
  <si>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</si>
  <si>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Any other web documents describing the activity specification</t>
  </si>
  <si>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</si>
  <si>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</si>
  <si>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</si>
  <si>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</si>
  <si>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</si>
  <si>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</si>
  <si>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</si>
  <si>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</si>
  <si>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</si>
  <si>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</si>
  <si>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</si>
  <si>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</si>
  <si>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</si>
  <si>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</si>
  <si>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</si>
  <si>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</si>
  <si>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</si>
  <si>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</si>
  <si>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</si>
  <si>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</si>
  <si>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</si>
  <si>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</si>
  <si>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</si>
  <si>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</si>
  <si>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</si>
  <si>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</si>
  <si>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</si>
  <si>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</si>
  <si>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</si>
  <si>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</si>
  <si>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</si>
  <si>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</si>
  <si>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</si>
  <si>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</si>
  <si>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</si>
  <si>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</si>
  <si>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</si>
  <si>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</si>
  <si>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</si>
  <si>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</si>
  <si>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</si>
  <si>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</si>
  <si>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</si>
  <si>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</si>
  <si>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</si>
  <si>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</si>
  <si>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</si>
  <si>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</si>
  <si>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</si>
  <si>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</si>
  <si>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</si>
  <si>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</si>
  <si>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</si>
  <si>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</si>
  <si>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</si>
  <si>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</si>
  <si>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</si>
  <si>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</si>
  <si>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</si>
  <si>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</si>
  <si>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</si>
  <si>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</si>
  <si>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</si>
  <si>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</si>
  <si>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</si>
  <si>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</si>
  <si>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</si>
  <si>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</si>
  <si>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</si>
  <si>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</si>
  <si>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</si>
  <si>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</si>
  <si>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</si>
  <si>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</si>
  <si>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</si>
  <si>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</si>
  <si>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</si>
  <si>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</si>
  <si>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</si>
  <si>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</si>
  <si>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</si>
  <si>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</si>
  <si>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</si>
  <si>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</si>
  <si>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</si>
  <si>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</si>
  <si>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</si>
  <si>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</si>
  <si>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</si>
  <si>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</si>
  <si>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</si>
  <si>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</si>
  <si>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</si>
  <si>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</si>
  <si>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</si>
  <si>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</si>
  <si>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</si>
  <si>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</si>
  <si>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</si>
  <si>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</si>
  <si>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</si>
  <si>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</si>
  <si>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</si>
  <si>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</si>
  <si>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</si>
  <si>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</si>
  <si>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</si>
  <si>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</si>
  <si>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</si>
  <si>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</si>
  <si>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</si>
  <si>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</si>
  <si>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</si>
  <si>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</si>
  <si>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</si>
  <si>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LearningActivity.additionalNote.NestedProperty.topic.1.</t>
  </si>
  <si>
    <t>LearningActivity.additionalNote.NestedProperty.content.1.en</t>
  </si>
  <si>
    <t>LearningActivity.additionalNote.NestedProperty.content.1.bg</t>
  </si>
  <si>
    <t>LearningActivity.additionalNote.NestedProperty.content.1.cs</t>
  </si>
  <si>
    <t>LearningActivity.additionalNote.NestedProperty.content.1.da</t>
  </si>
  <si>
    <t>LearningActivity.additionalNote.NestedProperty.content.1.de</t>
  </si>
  <si>
    <t>LearningActivity.additionalNote.NestedProperty.content.1.el</t>
  </si>
  <si>
    <t>LearningActivity.additionalNote.NestedProperty.content.1.es</t>
  </si>
  <si>
    <t>LearningActivity.additionalNote.NestedProperty.content.1.et</t>
  </si>
  <si>
    <t>LearningActivity.additionalNote.NestedProperty.content.1.fi</t>
  </si>
  <si>
    <t>LearningActivity.additionalNote.NestedProperty.content.1.fr</t>
  </si>
  <si>
    <t>LearningActivity.additionalNote.NestedProperty.content.1.ga</t>
  </si>
  <si>
    <t>LearningActivity.additionalNote.NestedProperty.content.1.hr</t>
  </si>
  <si>
    <t>LearningActivity.additionalNote.NestedProperty.content.1.hu</t>
  </si>
  <si>
    <t>LearningActivity.additionalNote.NestedProperty.content.1.is</t>
  </si>
  <si>
    <t>LearningActivity.additionalNote.NestedProperty.content.1.it</t>
  </si>
  <si>
    <t>LearningActivity.additionalNote.NestedProperty.content.1.lt</t>
  </si>
  <si>
    <t>LearningActivity.additionalNote.NestedProperty.content.1.lv</t>
  </si>
  <si>
    <t>LearningActivity.additionalNote.NestedProperty.content.1.mt</t>
  </si>
  <si>
    <t>LearningActivity.additionalNote.NestedProperty.content.1.nl</t>
  </si>
  <si>
    <t>LearningActivity.additionalNote.NestedProperty.content.1.no</t>
  </si>
  <si>
    <t>LearningActivity.additionalNote.NestedProperty.content.1.pl</t>
  </si>
  <si>
    <t>LearningActivity.additionalNote.NestedProperty.content.1.pt</t>
  </si>
  <si>
    <t>LearningActivity.additionalNote.NestedProperty.content.1.ro</t>
  </si>
  <si>
    <t>LearningActivity.additionalNote.NestedProperty.content.1.sk</t>
  </si>
  <si>
    <t>LearningActivity.additionalNote.NestedProperty.content.1.sl</t>
  </si>
  <si>
    <t>LearningActivity.additionalNote.NestedProperty.content.1.sv</t>
  </si>
  <si>
    <t>LearningActivity.additionalNote.NestedProperty.topic.2.</t>
  </si>
  <si>
    <t>LearningActivity.additionalNote.NestedProperty.content.2.en</t>
  </si>
  <si>
    <t>LearningActivity.additionalNote.NestedProperty.content.2.bg</t>
  </si>
  <si>
    <t>LearningActivity.additionalNote.NestedProperty.content.2.cs</t>
  </si>
  <si>
    <t>LearningActivity.additionalNote.NestedProperty.content.2.da</t>
  </si>
  <si>
    <t>LearningActivity.additionalNote.NestedProperty.content.2.de</t>
  </si>
  <si>
    <t>LearningActivity.additionalNote.NestedProperty.content.2.el</t>
  </si>
  <si>
    <t>LearningActivity.additionalNote.NestedProperty.content.2.es</t>
  </si>
  <si>
    <t>LearningActivity.additionalNote.NestedProperty.content.2.et</t>
  </si>
  <si>
    <t>LearningActivity.additionalNote.NestedProperty.content.2.fi</t>
  </si>
  <si>
    <t>LearningActivity.additionalNote.NestedProperty.content.2.fr</t>
  </si>
  <si>
    <t>LearningActivity.additionalNote.NestedProperty.content.2.ga</t>
  </si>
  <si>
    <t>LearningActivity.additionalNote.NestedProperty.content.2.hr</t>
  </si>
  <si>
    <t>LearningActivity.additionalNote.NestedProperty.content.2.hu</t>
  </si>
  <si>
    <t>LearningActivity.additionalNote.NestedProperty.content.2.is</t>
  </si>
  <si>
    <t>LearningActivity.additionalNote.NestedProperty.content.2.it</t>
  </si>
  <si>
    <t>LearningActivity.additionalNote.NestedProperty.content.2.lt</t>
  </si>
  <si>
    <t>LearningActivity.additionalNote.NestedProperty.content.2.lv</t>
  </si>
  <si>
    <t>LearningActivity.additionalNote.NestedProperty.content.2.mt</t>
  </si>
  <si>
    <t>LearningActivity.additionalNote.NestedProperty.content.2.nl</t>
  </si>
  <si>
    <t>LearningActivity.additionalNote.NestedProperty.content.2.no</t>
  </si>
  <si>
    <t>LearningActivity.additionalNote.NestedProperty.content.2.pl</t>
  </si>
  <si>
    <t>LearningActivity.additionalNote.NestedProperty.content.2.pt</t>
  </si>
  <si>
    <t>LearningActivity.additionalNote.NestedProperty.content.2.ro</t>
  </si>
  <si>
    <t>LearningActivity.additionalNote.NestedProperty.content.2.sk</t>
  </si>
  <si>
    <t>LearningActivity.additionalNote.NestedProperty.content.2.sl</t>
  </si>
  <si>
    <t>LearningActivity.additionalNote.NestedProperty.content.2.sv</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</si>
  <si>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</si>
  <si>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</si>
  <si>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</si>
  <si>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</si>
  <si>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</si>
  <si>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</si>
  <si>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</si>
  <si>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</si>
  <si>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</si>
  <si>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</si>
  <si>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</si>
  <si>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</si>
  <si>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</si>
  <si>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</si>
  <si>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</si>
  <si>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</si>
  <si>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</si>
  <si>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</si>
  <si>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</si>
  <si>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</si>
  <si>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</si>
  <si>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</si>
  <si>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</si>
  <si>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</si>
  <si>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</si>
  <si>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</si>
  <si>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</si>
  <si>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</si>
  <si>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</si>
  <si>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</si>
  <si>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</si>
  <si>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</si>
  <si>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</si>
  <si>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</si>
  <si>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</si>
  <si>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</si>
  <si>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</si>
  <si>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</si>
  <si>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</si>
  <si>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</si>
  <si>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</si>
  <si>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</si>
  <si>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</si>
  <si>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</si>
  <si>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</si>
  <si>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</si>
  <si>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</si>
  <si>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</si>
  <si>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</si>
  <si>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</si>
  <si>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</si>
  <si>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</si>
  <si>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</si>
  <si>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</si>
  <si>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</si>
  <si>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</si>
  <si>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</si>
  <si>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</si>
  <si>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</si>
  <si>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</si>
  <si>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</si>
  <si>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</si>
  <si>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</si>
  <si>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</si>
  <si>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</si>
  <si>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</si>
  <si>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</si>
  <si>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</si>
  <si>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</si>
  <si>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</si>
  <si>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</si>
  <si>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</si>
  <si>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</si>
  <si>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</si>
  <si>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</si>
  <si>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</si>
  <si>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</si>
  <si>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</si>
  <si>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</si>
  <si>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</si>
  <si>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</si>
  <si>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</si>
  <si>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</si>
  <si>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</si>
  <si>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</si>
  <si>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</si>
  <si>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</si>
  <si>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</si>
  <si>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</si>
  <si>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</si>
  <si>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</si>
  <si>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</si>
  <si>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</si>
  <si>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</si>
  <si>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</si>
  <si>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</si>
  <si>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</si>
  <si>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</si>
  <si>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</si>
  <si>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</si>
  <si>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</si>
  <si>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</si>
  <si>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</si>
  <si>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</si>
  <si>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</si>
  <si>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</si>
  <si>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</si>
  <si>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</si>
  <si>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</si>
  <si>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</si>
  <si>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</si>
  <si>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</si>
  <si>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</si>
  <si>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</si>
  <si>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</si>
  <si>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</si>
  <si>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</si>
  <si>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</si>
  <si>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Specification</t>
  </si>
  <si>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</si>
  <si>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</si>
  <si>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</si>
  <si>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</si>
  <si>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</si>
  <si>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</si>
  <si>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</si>
  <si>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</si>
  <si>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</si>
  <si>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</si>
  <si>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</si>
  <si>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</si>
  <si>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</si>
  <si>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</si>
  <si>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</si>
  <si>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</si>
  <si>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Method of assessment, supervision and id verification</t>
  </si>
  <si>
    <t>Assessment Date</t>
  </si>
  <si>
    <t>Sub-Assessments</t>
  </si>
  <si>
    <t>Assessment Specfication Title</t>
  </si>
  <si>
    <t>Assessment Specification Identifier Scheme</t>
  </si>
  <si>
    <t>Assessment Specification Identifier</t>
  </si>
  <si>
    <t>Assessment Specification Description</t>
  </si>
  <si>
    <t>Mode of Assessment</t>
  </si>
  <si>
    <t>Assessment Type</t>
  </si>
  <si>
    <t>Grading SchemeTitle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</si>
  <si>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</si>
  <si>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</si>
  <si>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</si>
  <si>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</si>
  <si>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</si>
  <si>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</si>
  <si>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Webpage describing the assessment specification</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</si>
  <si>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</si>
  <si>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</si>
  <si>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</si>
  <si>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</si>
  <si>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</si>
  <si>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</si>
  <si>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</si>
  <si>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</si>
  <si>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</si>
  <si>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</si>
  <si>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</si>
  <si>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</si>
  <si>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</si>
  <si>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</si>
  <si>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</si>
  <si>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</si>
  <si>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</si>
  <si>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</si>
  <si>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</si>
  <si>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</si>
  <si>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</si>
  <si>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</si>
  <si>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</si>
  <si>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</si>
  <si>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</si>
  <si>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</si>
  <si>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</si>
  <si>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</si>
  <si>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</si>
  <si>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</si>
  <si>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</si>
  <si>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</si>
  <si>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</si>
  <si>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</si>
  <si>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</si>
  <si>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</si>
  <si>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</si>
  <si>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</si>
  <si>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</si>
  <si>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</si>
  <si>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</si>
  <si>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</si>
  <si>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</si>
  <si>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</si>
  <si>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</si>
  <si>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</si>
  <si>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</si>
  <si>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</si>
  <si>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</si>
  <si>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</si>
  <si>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</si>
  <si>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</si>
  <si>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</si>
  <si>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</si>
  <si>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</si>
  <si>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</si>
  <si>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</si>
  <si>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</si>
  <si>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</si>
  <si>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</si>
  <si>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</si>
  <si>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Assessment.additionalNote.NestedProperty.topic.1.en</t>
  </si>
  <si>
    <t>Assessment.additionalNote.NestedProperty.content.1.en</t>
  </si>
  <si>
    <t>Assessment.additionalNote.NestedProperty.content.1.bg</t>
  </si>
  <si>
    <t>Assessment.additionalNote.NestedProperty.content.1.cs</t>
  </si>
  <si>
    <t>Assessment.additionalNote.NestedProperty.content.1.da</t>
  </si>
  <si>
    <t>Assessment.additionalNote.NestedProperty.content.1.de</t>
  </si>
  <si>
    <t>Assessment.additionalNote.NestedProperty.content.1.el</t>
  </si>
  <si>
    <t>Assessment.additionalNote.NestedProperty.content.1.es</t>
  </si>
  <si>
    <t>Assessment.additionalNote.NestedProperty.content.1.et</t>
  </si>
  <si>
    <t>Assessment.additionalNote.NestedProperty.content.1.fi</t>
  </si>
  <si>
    <t>Assessment.additionalNote.NestedProperty.content.1.fr</t>
  </si>
  <si>
    <t>Assessment.additionalNote.NestedProperty.content.1.ga</t>
  </si>
  <si>
    <t>Assessment.additionalNote.NestedProperty.content.1.hr</t>
  </si>
  <si>
    <t>Assessment.additionalNote.NestedProperty.content.1.hu</t>
  </si>
  <si>
    <t>Assessment.additionalNote.NestedProperty.content.1.is</t>
  </si>
  <si>
    <t>Assessment.additionalNote.NestedProperty.content.1.it</t>
  </si>
  <si>
    <t>Assessment.additionalNote.NestedProperty.content.1.lt</t>
  </si>
  <si>
    <t>Assessment.additionalNote.NestedProperty.content.1.lv</t>
  </si>
  <si>
    <t>Assessment.additionalNote.NestedProperty.content.1.mt</t>
  </si>
  <si>
    <t>Assessment.additionalNote.NestedProperty.content.1.nl</t>
  </si>
  <si>
    <t>Assessment.additionalNote.NestedProperty.content.1.no</t>
  </si>
  <si>
    <t>Assessment.additionalNote.NestedProperty.content.1.pl</t>
  </si>
  <si>
    <t>Assessment.additionalNote.NestedProperty.content.1.pt</t>
  </si>
  <si>
    <t>Assessment.additionalNote.NestedProperty.content.1.ro</t>
  </si>
  <si>
    <t>Assessment.additionalNote.NestedProperty.content.1.sk</t>
  </si>
  <si>
    <t>Assessment.additionalNote.NestedProperty.content.1.sl</t>
  </si>
  <si>
    <t>Assessment.additionalNote.NestedProperty.content.1.sv</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</si>
  <si>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</si>
  <si>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</si>
  <si>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</si>
  <si>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</si>
  <si>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</si>
  <si>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</si>
  <si>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</si>
  <si>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</si>
  <si>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</si>
  <si>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</si>
  <si>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</si>
  <si>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</si>
  <si>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</si>
  <si>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</si>
  <si>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</si>
  <si>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</si>
  <si>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</si>
  <si>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</si>
  <si>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</si>
  <si>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</si>
  <si>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</si>
  <si>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</si>
  <si>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</si>
  <si>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</si>
  <si>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</si>
  <si>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</si>
  <si>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</si>
  <si>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</si>
  <si>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</si>
  <si>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</si>
  <si>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</si>
  <si>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</si>
  <si>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</si>
  <si>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</si>
  <si>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</si>
  <si>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</si>
  <si>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</si>
  <si>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</si>
  <si>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</si>
  <si>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</si>
  <si>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</si>
  <si>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</si>
  <si>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</si>
  <si>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</si>
  <si>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</si>
  <si>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</si>
  <si>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</si>
  <si>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</si>
  <si>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</si>
  <si>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</si>
  <si>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</si>
  <si>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</si>
  <si>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</si>
  <si>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</si>
  <si>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</si>
  <si>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</si>
  <si>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</si>
  <si>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</si>
  <si>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</si>
  <si>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</si>
  <si>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</si>
  <si>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</si>
  <si>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</si>
  <si>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</si>
  <si>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</si>
  <si>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</si>
  <si>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</si>
  <si>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</si>
  <si>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</si>
  <si>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</si>
  <si>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</si>
  <si>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</si>
  <si>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</si>
  <si>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</si>
  <si>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</si>
  <si>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</si>
  <si>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</si>
  <si>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</si>
  <si>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</si>
  <si>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</si>
  <si>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</si>
  <si>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</si>
  <si>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</si>
  <si>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</si>
  <si>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</si>
  <si>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</si>
  <si>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</si>
  <si>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</si>
  <si>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</si>
  <si>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</si>
  <si>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</si>
  <si>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</si>
  <si>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</si>
  <si>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</si>
  <si>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</si>
  <si>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</si>
  <si>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</si>
  <si>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</si>
  <si>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</si>
  <si>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</si>
  <si>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</si>
  <si>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</si>
  <si>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</si>
  <si>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</si>
  <si>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</si>
  <si>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</si>
  <si>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</si>
  <si>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</si>
  <si>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</si>
  <si>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</si>
  <si>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</si>
  <si>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</si>
  <si>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</si>
  <si>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</si>
  <si>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</si>
  <si>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</si>
  <si>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</si>
  <si>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</si>
  <si>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</si>
  <si>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</si>
  <si>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</si>
  <si>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</si>
  <si>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</si>
  <si>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</si>
  <si>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</si>
  <si>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</si>
  <si>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</si>
  <si>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</si>
  <si>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</si>
  <si>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</si>
  <si>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</si>
  <si>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</si>
  <si>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</si>
  <si>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</si>
  <si>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</si>
  <si>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</si>
  <si>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</si>
  <si>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</si>
  <si>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</si>
  <si>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</si>
  <si>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</si>
  <si>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</si>
  <si>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</si>
  <si>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</si>
  <si>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</si>
  <si>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</si>
  <si>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</si>
  <si>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</si>
  <si>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</si>
  <si>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</si>
  <si>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</si>
  <si>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</si>
  <si>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</si>
  <si>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</si>
  <si>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</si>
  <si>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</si>
  <si>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</si>
  <si>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</si>
  <si>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</si>
  <si>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</si>
  <si>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</si>
  <si>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</si>
  <si>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</si>
  <si>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</si>
  <si>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</si>
  <si>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</si>
  <si>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</si>
  <si>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</si>
  <si>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r>
      <rPr>
        <i/>
        <sz val="18"/>
        <color theme="1"/>
        <rFont val="Calibri"/>
        <family val="2"/>
        <scheme val="minor"/>
      </rPr>
      <t>Entitlements</t>
    </r>
    <r>
      <rPr>
        <i/>
        <sz val="11"/>
        <color theme="1"/>
        <rFont val="Calibri"/>
        <family val="2"/>
        <scheme val="minor"/>
      </rPr>
      <t xml:space="preserve">
This is the main sheet for describing legal persons / registered Organisation.</t>
    </r>
  </si>
  <si>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</si>
  <si>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</si>
  <si>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</si>
  <si>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</si>
  <si>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</si>
  <si>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</si>
  <si>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</si>
  <si>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</si>
  <si>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</si>
  <si>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</si>
  <si>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</si>
  <si>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</si>
  <si>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</si>
  <si>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</si>
  <si>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</si>
  <si>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</si>
  <si>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</si>
  <si>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</si>
  <si>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</si>
  <si>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</si>
  <si>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</si>
  <si>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</si>
  <si>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</si>
  <si>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</si>
  <si>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</si>
  <si>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The specific rights the holder of the credential has acquired.
This field should not be used to record information which is  captured by other parts of the model.</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</si>
  <si>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</si>
  <si>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</si>
  <si>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</si>
  <si>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</si>
  <si>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</si>
  <si>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</si>
  <si>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</si>
  <si>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</si>
  <si>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</si>
  <si>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</si>
  <si>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</si>
  <si>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</si>
  <si>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</si>
  <si>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</si>
  <si>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</si>
  <si>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</si>
  <si>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</si>
  <si>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</si>
  <si>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</si>
  <si>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</si>
  <si>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</si>
  <si>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</si>
  <si>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</si>
  <si>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</si>
  <si>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</si>
  <si>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</si>
  <si>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</si>
  <si>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</si>
  <si>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</si>
  <si>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</si>
  <si>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</si>
  <si>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</si>
  <si>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</si>
  <si>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</si>
  <si>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</si>
  <si>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</si>
  <si>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</si>
  <si>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</si>
  <si>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</si>
  <si>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</si>
  <si>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</si>
  <si>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</si>
  <si>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</si>
  <si>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</si>
  <si>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</si>
  <si>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</si>
  <si>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</si>
  <si>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</si>
  <si>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</si>
  <si>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</si>
  <si>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</si>
  <si>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</si>
  <si>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</si>
  <si>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</si>
  <si>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</si>
  <si>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</si>
  <si>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</si>
  <si>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</si>
  <si>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</si>
  <si>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</si>
  <si>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</si>
  <si>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</si>
  <si>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</si>
  <si>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</si>
  <si>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</si>
  <si>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</si>
  <si>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</si>
  <si>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</si>
  <si>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</si>
  <si>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</si>
  <si>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</si>
  <si>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</si>
  <si>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</si>
  <si>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</si>
  <si>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</si>
  <si>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</si>
  <si>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</si>
  <si>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</si>
  <si>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</si>
  <si>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</si>
  <si>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</si>
  <si>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</si>
  <si>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</si>
  <si>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</si>
  <si>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</si>
  <si>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</si>
  <si>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</si>
  <si>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</si>
  <si>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</si>
  <si>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</si>
  <si>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</si>
  <si>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</si>
  <si>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</si>
  <si>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</si>
  <si>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</si>
  <si>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</si>
  <si>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</si>
  <si>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</si>
  <si>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</si>
  <si>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</si>
  <si>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</si>
  <si>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</si>
  <si>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</si>
  <si>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</si>
  <si>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</si>
  <si>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</si>
  <si>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</si>
  <si>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</si>
  <si>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</si>
  <si>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</si>
  <si>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</si>
  <si>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</si>
  <si>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</si>
  <si>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</si>
  <si>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</si>
  <si>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</si>
  <si>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</si>
  <si>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</si>
  <si>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</si>
  <si>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</si>
  <si>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</si>
  <si>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</si>
  <si>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</si>
  <si>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</si>
  <si>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</si>
  <si>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</si>
  <si>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</si>
  <si>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</si>
  <si>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</si>
  <si>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</si>
  <si>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</si>
  <si>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</si>
  <si>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</si>
  <si>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</si>
  <si>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</si>
  <si>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</si>
  <si>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</si>
  <si>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</si>
  <si>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</si>
  <si>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</si>
  <si>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</si>
  <si>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</si>
  <si>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</si>
  <si>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</si>
  <si>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</si>
  <si>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</si>
  <si>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</si>
  <si>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</si>
  <si>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</si>
  <si>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</si>
  <si>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</si>
  <si>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</si>
  <si>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</si>
  <si>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</si>
  <si>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</si>
  <si>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</si>
  <si>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</si>
  <si>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</si>
  <si>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</si>
  <si>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</si>
  <si>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</si>
  <si>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</si>
  <si>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</si>
  <si>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</si>
  <si>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</si>
  <si>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</si>
  <si>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</si>
  <si>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</si>
  <si>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</si>
  <si>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 xml:space="preserve">This is the default Europass credential type. </t>
  </si>
  <si>
    <t>qualification award</t>
  </si>
  <si>
    <t>Represents the award of a qualification by an institution that is accredited to do so, confirmed by its inclusion in the Europass Accreditation Database.</t>
  </si>
  <si>
    <t>diploma supplement</t>
  </si>
  <si>
    <t>diplomaSupplement</t>
  </si>
  <si>
    <t>Represents the award of a higher education qualification by an institution that is accredited to do so, confirmed by its inclusion in the Europass Accreditation Database, and including all diploma supplement information.</t>
  </si>
  <si>
    <t>activity</t>
  </si>
  <si>
    <t>Learning activity</t>
  </si>
  <si>
    <t xml:space="preserve">Represents a credential which describes that an activity has been or is being done </t>
  </si>
  <si>
    <t>Learning entitlement</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</si>
  <si>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</si>
  <si>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</si>
  <si>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</si>
  <si>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</si>
  <si>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</si>
  <si>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</si>
  <si>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</si>
  <si>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</si>
  <si>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</si>
  <si>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</si>
  <si>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</si>
  <si>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</si>
  <si>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</si>
  <si>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</si>
  <si>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</si>
  <si>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</si>
  <si>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</si>
  <si>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</si>
  <si>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</si>
  <si>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</si>
  <si>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</si>
  <si>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</si>
  <si>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</si>
  <si>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</si>
  <si>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</si>
  <si>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</si>
  <si>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</si>
  <si>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</si>
  <si>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</si>
  <si>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</si>
  <si>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</si>
  <si>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</si>
  <si>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</si>
  <si>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</si>
  <si>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</si>
  <si>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</si>
  <si>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</si>
  <si>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</si>
  <si>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</si>
  <si>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</si>
  <si>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</si>
  <si>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</si>
  <si>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</si>
  <si>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</si>
  <si>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</si>
  <si>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</si>
  <si>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</si>
  <si>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</si>
  <si>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</si>
  <si>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</si>
  <si>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</si>
  <si>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</si>
  <si>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</si>
  <si>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</si>
  <si>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</si>
  <si>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</si>
  <si>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</si>
  <si>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</si>
  <si>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</si>
  <si>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</si>
  <si>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</si>
  <si>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</si>
  <si>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</si>
  <si>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</si>
  <si>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</si>
  <si>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</si>
  <si>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</si>
  <si>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</si>
  <si>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</si>
  <si>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</si>
  <si>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</si>
  <si>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</si>
  <si>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</si>
  <si>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</si>
  <si>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</si>
  <si>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</si>
  <si>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</si>
  <si>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</si>
  <si>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</si>
  <si>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</si>
  <si>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</si>
  <si>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</si>
  <si>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</si>
  <si>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</si>
  <si>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</si>
  <si>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</si>
  <si>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</si>
  <si>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</si>
  <si>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</si>
  <si>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</si>
  <si>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</si>
  <si>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</si>
  <si>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</si>
  <si>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</si>
  <si>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</si>
  <si>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</si>
  <si>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</si>
  <si>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</si>
  <si>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</si>
  <si>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</si>
  <si>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</si>
  <si>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</si>
  <si>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</si>
  <si>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</si>
  <si>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</si>
  <si>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</si>
  <si>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</si>
  <si>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</si>
  <si>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</si>
  <si>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</si>
  <si>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</si>
  <si>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</si>
  <si>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</si>
  <si>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</si>
  <si>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</si>
  <si>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</si>
  <si>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</si>
  <si>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</si>
  <si>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</si>
  <si>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</si>
  <si>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</si>
  <si>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</si>
  <si>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</si>
  <si>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</si>
  <si>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</si>
  <si>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</si>
  <si>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</si>
  <si>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</si>
  <si>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</si>
  <si>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</si>
  <si>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</si>
  <si>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</si>
  <si>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</si>
  <si>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</si>
  <si>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</si>
  <si>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</si>
  <si>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</si>
  <si>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</si>
  <si>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</si>
  <si>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</si>
  <si>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</si>
  <si>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</si>
  <si>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</si>
  <si>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</si>
  <si>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</si>
  <si>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</si>
  <si>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</si>
  <si>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</si>
  <si>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</si>
  <si>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</si>
  <si>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</si>
  <si>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</si>
  <si>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</si>
  <si>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</si>
  <si>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</si>
  <si>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</si>
  <si>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</si>
  <si>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</si>
  <si>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</si>
  <si>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</si>
  <si>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</si>
  <si>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</si>
  <si>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</si>
  <si>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</si>
  <si>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</si>
  <si>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</si>
  <si>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</si>
  <si>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</si>
  <si>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</si>
  <si>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</si>
  <si>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</si>
  <si>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</si>
  <si>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</si>
  <si>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</si>
  <si>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</si>
  <si>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</si>
  <si>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</si>
  <si>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</si>
  <si>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</si>
  <si>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</si>
  <si>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</si>
  <si>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</si>
  <si>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</si>
  <si>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</si>
  <si>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</si>
  <si>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</si>
  <si>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</si>
  <si>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</si>
  <si>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</si>
  <si>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</si>
  <si>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</si>
  <si>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</si>
  <si>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</si>
  <si>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</si>
  <si>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</si>
  <si>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</si>
  <si>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</si>
  <si>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</si>
  <si>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</si>
  <si>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</si>
  <si>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</si>
  <si>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</si>
  <si>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</si>
  <si>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</si>
  <si>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</si>
  <si>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</si>
  <si>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</si>
  <si>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</si>
  <si>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</si>
  <si>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</si>
  <si>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</si>
  <si>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</si>
  <si>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</si>
  <si>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</si>
  <si>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</si>
  <si>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</si>
  <si>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</si>
  <si>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</si>
  <si>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</si>
  <si>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</si>
  <si>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</si>
  <si>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</si>
  <si>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</si>
  <si>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</si>
  <si>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</si>
  <si>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</si>
  <si>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</si>
  <si>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</si>
  <si>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</si>
  <si>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</si>
  <si>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</si>
  <si>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</si>
  <si>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</si>
  <si>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</si>
  <si>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</si>
  <si>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</si>
  <si>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</si>
  <si>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</si>
  <si>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</si>
  <si>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</si>
  <si>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</si>
  <si>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</si>
  <si>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</si>
  <si>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</si>
  <si>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</si>
  <si>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</si>
  <si>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</si>
  <si>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</si>
  <si>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</si>
  <si>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</si>
  <si>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</si>
  <si>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</si>
  <si>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</si>
  <si>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</si>
  <si>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</si>
  <si>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</si>
  <si>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</si>
  <si>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</si>
  <si>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</si>
  <si>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</si>
  <si>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</si>
  <si>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</si>
  <si>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</si>
  <si>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</si>
  <si>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</si>
  <si>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</si>
  <si>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</si>
  <si>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</si>
  <si>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</si>
  <si>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</si>
  <si>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</si>
  <si>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</si>
  <si>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</si>
  <si>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</si>
  <si>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</si>
  <si>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</si>
  <si>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</si>
  <si>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</si>
  <si>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</si>
  <si>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</si>
  <si>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</si>
  <si>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</si>
  <si>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</si>
  <si>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</si>
  <si>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</si>
  <si>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</si>
  <si>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</si>
  <si>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</si>
  <si>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</si>
  <si>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</si>
  <si>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</si>
  <si>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</si>
  <si>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</si>
  <si>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</si>
  <si>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</si>
  <si>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</si>
  <si>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</si>
  <si>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</si>
  <si>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</si>
  <si>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</si>
  <si>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</si>
  <si>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</si>
  <si>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</si>
  <si>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</si>
  <si>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</si>
  <si>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</si>
  <si>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</si>
  <si>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</si>
  <si>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</si>
  <si>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</si>
  <si>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</si>
  <si>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</si>
  <si>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</si>
  <si>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</si>
  <si>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</si>
  <si>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</si>
  <si>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</si>
  <si>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</si>
  <si>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</si>
  <si>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</si>
  <si>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</si>
  <si>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</si>
  <si>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</si>
  <si>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</si>
  <si>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</si>
  <si>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</si>
  <si>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</si>
  <si>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</si>
  <si>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</si>
  <si>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</si>
  <si>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</si>
  <si>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</si>
  <si>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</si>
  <si>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</si>
  <si>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</si>
  <si>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</si>
  <si>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</si>
  <si>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</si>
  <si>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</si>
  <si>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</si>
  <si>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</si>
  <si>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</si>
  <si>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</si>
  <si>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</si>
  <si>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</si>
  <si>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</si>
  <si>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</si>
  <si>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</si>
  <si>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</si>
  <si>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</si>
  <si>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</si>
  <si>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</si>
  <si>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</si>
  <si>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</si>
  <si>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</si>
  <si>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</si>
  <si>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</si>
  <si>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</si>
  <si>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</si>
  <si>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</si>
  <si>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</si>
  <si>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</si>
  <si>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</si>
  <si>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</si>
  <si>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</si>
  <si>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</si>
  <si>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</si>
  <si>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</si>
  <si>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</si>
  <si>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</si>
  <si>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</si>
  <si>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</si>
  <si>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</si>
  <si>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</si>
  <si>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</si>
  <si>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</si>
  <si>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</si>
  <si>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</si>
  <si>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</si>
  <si>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</si>
  <si>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</si>
  <si>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</si>
  <si>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</si>
  <si>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</si>
  <si>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</si>
  <si>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</si>
  <si>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</si>
  <si>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</si>
  <si>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</si>
  <si>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</si>
  <si>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</si>
  <si>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</si>
  <si>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</si>
  <si>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</si>
  <si>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</si>
  <si>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</si>
  <si>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</si>
  <si>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</si>
  <si>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</si>
  <si>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</si>
  <si>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</si>
  <si>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</si>
  <si>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</si>
  <si>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</si>
  <si>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</si>
  <si>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</si>
  <si>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</si>
  <si>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</si>
  <si>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</si>
  <si>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</si>
  <si>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</si>
  <si>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</si>
  <si>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</si>
  <si>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</si>
  <si>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</si>
  <si>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</si>
  <si>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</si>
  <si>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</si>
  <si>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</si>
  <si>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</si>
  <si>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</si>
  <si>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</si>
  <si>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</si>
  <si>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</si>
  <si>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</si>
  <si>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</si>
  <si>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</si>
  <si>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</si>
  <si>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</si>
  <si>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</si>
  <si>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</si>
  <si>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</si>
  <si>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</si>
  <si>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</si>
  <si>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</si>
  <si>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</si>
  <si>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</si>
  <si>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</si>
  <si>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</si>
  <si>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</si>
  <si>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</si>
  <si>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</si>
  <si>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</si>
  <si>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</si>
  <si>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</si>
  <si>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</si>
  <si>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</si>
  <si>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</si>
  <si>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</si>
  <si>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</si>
  <si>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</si>
  <si>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</si>
  <si>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</si>
  <si>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</si>
  <si>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</si>
  <si>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</si>
  <si>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</si>
  <si>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</si>
  <si>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</si>
  <si>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</si>
  <si>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</si>
  <si>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</si>
  <si>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</si>
  <si>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</si>
  <si>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</si>
  <si>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</si>
  <si>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</si>
  <si>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</si>
  <si>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</si>
  <si>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</si>
  <si>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</si>
  <si>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</si>
  <si>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</si>
  <si>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</si>
  <si>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</si>
  <si>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</si>
  <si>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</si>
  <si>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</si>
  <si>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</si>
  <si>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</si>
  <si>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</si>
  <si>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</si>
  <si>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</si>
  <si>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</si>
  <si>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</si>
  <si>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</si>
  <si>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</si>
  <si>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</si>
  <si>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</si>
  <si>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</si>
  <si>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</si>
  <si>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</si>
  <si>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</si>
  <si>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</si>
  <si>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</si>
  <si>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</si>
  <si>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</si>
  <si>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</si>
  <si>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</si>
  <si>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</si>
  <si>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</si>
  <si>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</si>
  <si>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</si>
  <si>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</si>
  <si>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</si>
  <si>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</si>
  <si>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</si>
  <si>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</si>
  <si>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</si>
  <si>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</si>
  <si>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</si>
  <si>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</si>
  <si>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</si>
  <si>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</si>
  <si>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</si>
  <si>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</si>
  <si>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</si>
  <si>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</si>
  <si>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</si>
  <si>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</si>
  <si>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</si>
  <si>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</si>
  <si>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</si>
  <si>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</si>
  <si>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</si>
  <si>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</si>
  <si>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</si>
  <si>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</si>
  <si>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</si>
  <si>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</si>
  <si>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</si>
  <si>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</si>
  <si>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</si>
  <si>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</si>
  <si>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</si>
  <si>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</si>
  <si>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</si>
  <si>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</si>
  <si>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</si>
  <si>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</si>
  <si>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</si>
  <si>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</si>
  <si>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</si>
  <si>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</si>
  <si>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</si>
  <si>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</si>
  <si>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</si>
  <si>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</si>
  <si>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</si>
  <si>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</si>
  <si>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</si>
  <si>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</si>
  <si>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</si>
  <si>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</si>
  <si>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</si>
  <si>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</si>
  <si>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</si>
  <si>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</si>
  <si>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</si>
  <si>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</si>
  <si>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</si>
  <si>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</si>
  <si>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</si>
  <si>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</si>
  <si>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</si>
  <si>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</si>
  <si>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</si>
  <si>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</si>
  <si>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</si>
  <si>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</si>
  <si>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</si>
  <si>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</si>
  <si>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</si>
  <si>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</si>
  <si>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</si>
  <si>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</si>
  <si>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</si>
  <si>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</si>
  <si>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</si>
  <si>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</si>
  <si>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</si>
  <si>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</si>
  <si>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</si>
  <si>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</si>
  <si>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</si>
  <si>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</si>
  <si>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</si>
  <si>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</si>
  <si>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</si>
  <si>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</si>
  <si>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</si>
  <si>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</si>
  <si>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</si>
  <si>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</si>
  <si>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</si>
  <si>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</si>
  <si>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</si>
  <si>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</si>
  <si>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</si>
  <si>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</si>
  <si>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</si>
  <si>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</si>
  <si>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</si>
  <si>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</si>
  <si>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</si>
  <si>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</si>
  <si>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</si>
  <si>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</si>
  <si>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</si>
  <si>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</si>
  <si>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</si>
  <si>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</si>
  <si>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</si>
  <si>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</si>
  <si>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</si>
  <si>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</si>
  <si>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</si>
  <si>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</si>
  <si>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</si>
  <si>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</si>
  <si>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</si>
  <si>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</si>
  <si>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</si>
  <si>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</si>
  <si>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</si>
  <si>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</si>
  <si>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</si>
  <si>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</si>
  <si>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</si>
  <si>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</si>
  <si>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</si>
  <si>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</si>
  <si>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</si>
  <si>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</si>
  <si>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</si>
  <si>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</si>
  <si>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</si>
  <si>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</si>
  <si>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</si>
  <si>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</si>
  <si>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</si>
  <si>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</si>
  <si>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</si>
  <si>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</si>
  <si>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</si>
  <si>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</si>
  <si>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</si>
  <si>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</si>
  <si>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</si>
  <si>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</si>
  <si>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</si>
  <si>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</si>
  <si>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</si>
  <si>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</si>
  <si>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</si>
  <si>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</si>
  <si>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</si>
  <si>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</si>
  <si>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</si>
  <si>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</si>
  <si>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</si>
  <si>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</si>
  <si>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</si>
  <si>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</si>
  <si>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</si>
  <si>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</si>
  <si>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</si>
  <si>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</si>
  <si>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</si>
  <si>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</si>
  <si>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</si>
  <si>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</si>
  <si>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</si>
  <si>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</si>
  <si>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</si>
  <si>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</si>
  <si>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</si>
  <si>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</si>
  <si>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</si>
  <si>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</si>
  <si>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</si>
  <si>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</si>
  <si>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</si>
  <si>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</si>
  <si>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</si>
  <si>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</si>
  <si>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</si>
  <si>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</si>
  <si>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</si>
  <si>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</si>
  <si>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</si>
  <si>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</si>
  <si>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</si>
  <si>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</si>
  <si>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</si>
  <si>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</si>
  <si>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</si>
  <si>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</si>
  <si>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</si>
  <si>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</si>
  <si>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</si>
  <si>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</si>
  <si>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</si>
  <si>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</si>
  <si>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</si>
  <si>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</si>
  <si>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</si>
  <si>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</si>
  <si>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</si>
  <si>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</si>
  <si>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</si>
  <si>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</si>
  <si>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</si>
  <si>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</si>
  <si>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</si>
  <si>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</si>
  <si>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</si>
  <si>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</si>
  <si>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</si>
  <si>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</si>
  <si>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</si>
  <si>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</si>
  <si>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</si>
  <si>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</si>
  <si>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</si>
  <si>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</si>
  <si>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</si>
  <si>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</si>
  <si>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</si>
  <si>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</si>
  <si>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</si>
  <si>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</si>
  <si>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</si>
  <si>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</si>
  <si>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</si>
  <si>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</si>
  <si>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</si>
  <si>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</si>
  <si>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</si>
  <si>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</si>
  <si>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</si>
  <si>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</si>
  <si>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</si>
  <si>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</si>
  <si>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</si>
  <si>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</si>
  <si>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</si>
  <si>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</si>
  <si>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</si>
  <si>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</si>
  <si>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</si>
  <si>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</si>
  <si>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</si>
  <si>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</si>
  <si>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</si>
  <si>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</si>
  <si>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</si>
  <si>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</si>
  <si>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</si>
  <si>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</si>
  <si>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</si>
  <si>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</si>
  <si>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</si>
  <si>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</si>
  <si>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</si>
  <si>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</si>
  <si>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</si>
  <si>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</si>
  <si>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</si>
  <si>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</si>
  <si>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</si>
  <si>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</si>
  <si>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</si>
  <si>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</si>
  <si>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</si>
  <si>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</si>
  <si>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</si>
  <si>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</si>
  <si>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</si>
  <si>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</si>
  <si>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</si>
  <si>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</si>
  <si>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</si>
  <si>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</si>
  <si>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</si>
  <si>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</si>
  <si>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</si>
  <si>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</si>
  <si>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</si>
  <si>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</si>
  <si>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</si>
  <si>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</si>
  <si>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</si>
  <si>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</si>
  <si>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</si>
  <si>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</si>
  <si>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</si>
  <si>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</si>
  <si>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</si>
  <si>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</si>
  <si>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</si>
  <si>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</si>
  <si>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</si>
  <si>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</si>
  <si>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</si>
  <si>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</si>
  <si>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</si>
  <si>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</si>
  <si>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</si>
  <si>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</si>
  <si>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</si>
  <si>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</si>
  <si>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</si>
  <si>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</si>
  <si>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</si>
  <si>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</si>
  <si>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</si>
  <si>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</si>
  <si>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</si>
  <si>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</si>
  <si>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</si>
  <si>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</si>
  <si>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</si>
  <si>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</si>
  <si>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</si>
  <si>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</si>
  <si>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</si>
  <si>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</si>
  <si>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</si>
  <si>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</si>
  <si>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</si>
  <si>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</si>
  <si>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</si>
  <si>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</si>
  <si>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</si>
  <si>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</si>
  <si>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</si>
  <si>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</si>
  <si>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</si>
  <si>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</si>
  <si>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</si>
  <si>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</si>
  <si>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</si>
  <si>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</si>
  <si>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</si>
  <si>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</si>
  <si>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</si>
  <si>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</si>
  <si>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</si>
  <si>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</si>
  <si>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</si>
  <si>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Generic programmes and qualifications</t>
  </si>
  <si>
    <t>00</t>
  </si>
  <si>
    <t>http://data.europa.eu/snb/isced-f/00</t>
  </si>
  <si>
    <t>000 - Generic programmes and qualifications not further defined</t>
  </si>
  <si>
    <t>Generic programmes and qualifications not further defined</t>
  </si>
  <si>
    <t>000</t>
  </si>
  <si>
    <t>http://data.europa.eu/snb/isced-f/000</t>
  </si>
  <si>
    <t>0000 - Generic programmes and qualificationsn.f.d.</t>
  </si>
  <si>
    <t>Generic programmes and qualificationsn.f.d.</t>
  </si>
  <si>
    <t>0000</t>
  </si>
  <si>
    <t>http://data.europa.eu/snb/isced-f/0000</t>
  </si>
  <si>
    <t>001 - Basic programmes and qualifications</t>
  </si>
  <si>
    <t>Basic programmes and qualifications</t>
  </si>
  <si>
    <t>001</t>
  </si>
  <si>
    <t>http://data.europa.eu/snb/isced-f/001</t>
  </si>
  <si>
    <t>0011 - Basic programmes and qualifications</t>
  </si>
  <si>
    <t>0011</t>
  </si>
  <si>
    <t>http://data.europa.eu/snb/isced-f/0011</t>
  </si>
  <si>
    <t>002 - Literacy and numeracy</t>
  </si>
  <si>
    <t>Literacy and numeracy</t>
  </si>
  <si>
    <t>002</t>
  </si>
  <si>
    <t>http://data.europa.eu/snb/isced-f/002</t>
  </si>
  <si>
    <t>0021 - Literacy and numeracy</t>
  </si>
  <si>
    <t>0021</t>
  </si>
  <si>
    <t>http://data.europa.eu/snb/isced-f/0021</t>
  </si>
  <si>
    <t>003 - Personal skills and development</t>
  </si>
  <si>
    <t>Personal skills and development</t>
  </si>
  <si>
    <t>003</t>
  </si>
  <si>
    <t>http://data.europa.eu/snb/isced-f/003</t>
  </si>
  <si>
    <t>0031 - Personal skills and development</t>
  </si>
  <si>
    <t>0031</t>
  </si>
  <si>
    <t>http://data.europa.eu/snb/isced-f/0031</t>
  </si>
  <si>
    <t>009 - Generic programmes and qualifications not elsewhere classified</t>
  </si>
  <si>
    <t>Generic programmes and qualifications not elsewhere classified</t>
  </si>
  <si>
    <t>009</t>
  </si>
  <si>
    <t>http://data.europa.eu/snb/isced-f/009</t>
  </si>
  <si>
    <t>0099 - Generic programmes and qualificationsn.e.c</t>
  </si>
  <si>
    <t>Generic programmes and qualificationsn.e.c</t>
  </si>
  <si>
    <t>0099</t>
  </si>
  <si>
    <t>http://data.europa.eu/snb/isced-f/0099</t>
  </si>
  <si>
    <t>01 - Education</t>
  </si>
  <si>
    <t>Education</t>
  </si>
  <si>
    <t>01</t>
  </si>
  <si>
    <t>http://data.europa.eu/snb/isced-f/01</t>
  </si>
  <si>
    <t>011 - Education</t>
  </si>
  <si>
    <t>011</t>
  </si>
  <si>
    <t>http://data.europa.eu/snb/isced-f/011</t>
  </si>
  <si>
    <t>0110 - Education not further defined</t>
  </si>
  <si>
    <t>Education not further defined</t>
  </si>
  <si>
    <t>0110</t>
  </si>
  <si>
    <t>http://data.europa.eu/snb/isced-f/0110</t>
  </si>
  <si>
    <t>0111 - Education science</t>
  </si>
  <si>
    <t>Education science</t>
  </si>
  <si>
    <t>0111</t>
  </si>
  <si>
    <t>http://data.europa.eu/snb/isced-f/0111</t>
  </si>
  <si>
    <t>0112 - Training for pre-school teachers</t>
  </si>
  <si>
    <t>Training for pre-school teachers</t>
  </si>
  <si>
    <t>0112</t>
  </si>
  <si>
    <t>http://data.europa.eu/snb/isced-f/0112</t>
  </si>
  <si>
    <t>0113 - Teacher training without subject specialisation</t>
  </si>
  <si>
    <t>Teacher training without subject specialisation</t>
  </si>
  <si>
    <t>0113</t>
  </si>
  <si>
    <t>http://data.europa.eu/snb/isced-f/0113</t>
  </si>
  <si>
    <t>0114 - Teacher training with subject specialisation</t>
  </si>
  <si>
    <t>Teacher training with subject specialisation</t>
  </si>
  <si>
    <t>0114</t>
  </si>
  <si>
    <t>http://data.europa.eu/snb/isced-f/0114</t>
  </si>
  <si>
    <t>0119 - Education not elsewhere classified</t>
  </si>
  <si>
    <t>Education not elsewhere classified</t>
  </si>
  <si>
    <t>0119</t>
  </si>
  <si>
    <t>http://data.europa.eu/snb/isced-f/0119</t>
  </si>
  <si>
    <t>018 - Interdisciplinary programmes involving broad field 01</t>
  </si>
  <si>
    <t>Interdisciplinary programmes involving broad field 01</t>
  </si>
  <si>
    <t>018</t>
  </si>
  <si>
    <t>http://data.europa.eu/snb/isced-f/018</t>
  </si>
  <si>
    <t>0188 - Interdisciplinary programmes involving broad field 01</t>
  </si>
  <si>
    <t>0188</t>
  </si>
  <si>
    <t>http://data.europa.eu/snb/isced-f/0188</t>
  </si>
  <si>
    <t>02 - Arts and humanities</t>
  </si>
  <si>
    <t>Arts and humanities</t>
  </si>
  <si>
    <t>02</t>
  </si>
  <si>
    <t>http://data.europa.eu/snb/isced-f/02</t>
  </si>
  <si>
    <t>020 - Arts and humanities not further defined</t>
  </si>
  <si>
    <t>Arts and humanities not further defined</t>
  </si>
  <si>
    <t>020</t>
  </si>
  <si>
    <t>http://data.europa.eu/snb/isced-f/020</t>
  </si>
  <si>
    <t>0200 - Arts and humanities not further defined</t>
  </si>
  <si>
    <t>0200</t>
  </si>
  <si>
    <t>http://data.europa.eu/snb/isced-f/0200</t>
  </si>
  <si>
    <t>021 - Arts</t>
  </si>
  <si>
    <t>Arts</t>
  </si>
  <si>
    <t>021</t>
  </si>
  <si>
    <t>http://data.europa.eu/snb/isced-f/021</t>
  </si>
  <si>
    <t>0210 - Arts not further defined</t>
  </si>
  <si>
    <t>Arts not further defined</t>
  </si>
  <si>
    <t>0210</t>
  </si>
  <si>
    <t>http://data.europa.eu/snb/isced-f/0210</t>
  </si>
  <si>
    <t>0211 - Audio-visual techniques and media production</t>
  </si>
  <si>
    <t>Audio-visual techniques and media production</t>
  </si>
  <si>
    <t>0211</t>
  </si>
  <si>
    <t>http://data.europa.eu/snb/isced-f/0211</t>
  </si>
  <si>
    <t>0212 - Fashion, interior and industrial design</t>
  </si>
  <si>
    <t>Fashion, interior and industrial design</t>
  </si>
  <si>
    <t>0212</t>
  </si>
  <si>
    <t>http://data.europa.eu/snb/isced-f/0212</t>
  </si>
  <si>
    <t>0213 - Fine arts</t>
  </si>
  <si>
    <t>Fine arts</t>
  </si>
  <si>
    <t>0213</t>
  </si>
  <si>
    <t>http://data.europa.eu/snb/isced-f/0213</t>
  </si>
  <si>
    <t>0214 - Handicrafts</t>
  </si>
  <si>
    <t>Handicrafts</t>
  </si>
  <si>
    <t>0214</t>
  </si>
  <si>
    <t>http://data.europa.eu/snb/isced-f/0214</t>
  </si>
  <si>
    <t>0215 - Music and performing arts</t>
  </si>
  <si>
    <t>Music and performing arts</t>
  </si>
  <si>
    <t>0215</t>
  </si>
  <si>
    <t>http://data.europa.eu/snb/isced-f/0215</t>
  </si>
  <si>
    <t>0219 - Arts not elsewhere classified</t>
  </si>
  <si>
    <t>Arts not elsewhere classified</t>
  </si>
  <si>
    <t>0219</t>
  </si>
  <si>
    <t>http://data.europa.eu/snb/isced-f/0219</t>
  </si>
  <si>
    <t>022 - Humanities (except languages)</t>
  </si>
  <si>
    <t>Humanities (except languages)</t>
  </si>
  <si>
    <t>022</t>
  </si>
  <si>
    <t>http://data.europa.eu/snb/isced-f/022</t>
  </si>
  <si>
    <t>0220 - Humanities (except languages) not further defined</t>
  </si>
  <si>
    <t>Humanities (except languages) not further defined</t>
  </si>
  <si>
    <t>0220</t>
  </si>
  <si>
    <t>http://data.europa.eu/snb/isced-f/0220</t>
  </si>
  <si>
    <t>0221 - Religion and theology</t>
  </si>
  <si>
    <t>Religion and theology</t>
  </si>
  <si>
    <t>0221</t>
  </si>
  <si>
    <t>http://data.europa.eu/snb/isced-f/0221</t>
  </si>
  <si>
    <t>0222 - History and archaeology</t>
  </si>
  <si>
    <t>History and archaeology</t>
  </si>
  <si>
    <t>0222</t>
  </si>
  <si>
    <t>http://data.europa.eu/snb/isced-f/0222</t>
  </si>
  <si>
    <t>0223 - Philosophy and ethics</t>
  </si>
  <si>
    <t>Philosophy and ethics</t>
  </si>
  <si>
    <t>0223</t>
  </si>
  <si>
    <t>http://data.europa.eu/snb/isced-f/0223</t>
  </si>
  <si>
    <t>0229 - Humanities (except languages) not elsewhere classified</t>
  </si>
  <si>
    <t>Humanities (except languages) not elsewhere classified</t>
  </si>
  <si>
    <t>0229</t>
  </si>
  <si>
    <t>http://data.europa.eu/snb/isced-f/0229</t>
  </si>
  <si>
    <t>023 - Languages</t>
  </si>
  <si>
    <t>Languages</t>
  </si>
  <si>
    <t>023</t>
  </si>
  <si>
    <t>http://data.europa.eu/snb/isced-f/023</t>
  </si>
  <si>
    <t>0230 - Languages not further defined</t>
  </si>
  <si>
    <t>Languages not further defined</t>
  </si>
  <si>
    <t>0230</t>
  </si>
  <si>
    <t>http://data.europa.eu/snb/isced-f/0230</t>
  </si>
  <si>
    <t>0231 - Language acquisition</t>
  </si>
  <si>
    <t>Language acquisition</t>
  </si>
  <si>
    <t>0231</t>
  </si>
  <si>
    <t>http://data.europa.eu/snb/isced-f/0231</t>
  </si>
  <si>
    <t>0232 - Literature and linguistics</t>
  </si>
  <si>
    <t>Literature and linguistics</t>
  </si>
  <si>
    <t>0232</t>
  </si>
  <si>
    <t>http://data.europa.eu/snb/isced-f/0232</t>
  </si>
  <si>
    <t>0239 - Languages not elsewhere classified</t>
  </si>
  <si>
    <t>Languages not elsewhere classified</t>
  </si>
  <si>
    <t>0239</t>
  </si>
  <si>
    <t>http://data.europa.eu/snb/isced-f/0239</t>
  </si>
  <si>
    <t>028 - Interdisciplinary programmes involving broad field 02</t>
  </si>
  <si>
    <t>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</si>
  <si>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</si>
  <si>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</si>
  <si>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</si>
  <si>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</si>
  <si>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</si>
  <si>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</si>
  <si>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Arts and humanities not elsewhere classified</t>
  </si>
  <si>
    <t>029</t>
  </si>
  <si>
    <t>http://data.europa.eu/snb/isced-f/029</t>
  </si>
  <si>
    <t>0299 - Arts and humanities not elsewhere classified</t>
  </si>
  <si>
    <t>0299</t>
  </si>
  <si>
    <t>http://data.europa.eu/snb/isced-f/0299</t>
  </si>
  <si>
    <t>03 - Social sciences, journalism and information</t>
  </si>
  <si>
    <t>Social sciences, journalism and information</t>
  </si>
  <si>
    <t>03</t>
  </si>
  <si>
    <t>http://data.europa.eu/snb/isced-f/03</t>
  </si>
  <si>
    <t>030 - Social sciences, journalism and informationn.f.d.</t>
  </si>
  <si>
    <t>Social sciences, journalism and informationn.f.d.</t>
  </si>
  <si>
    <t>030</t>
  </si>
  <si>
    <t>http://data.europa.eu/snb/isced-f/030</t>
  </si>
  <si>
    <t>0300 - Social sciences, journalism and informationn.f.d.</t>
  </si>
  <si>
    <t>0300</t>
  </si>
  <si>
    <t>http://data.europa.eu/snb/isced-f/0300</t>
  </si>
  <si>
    <t>031 - Social and behavioural sciences</t>
  </si>
  <si>
    <t>Social and behavioural sciences</t>
  </si>
  <si>
    <t>031</t>
  </si>
  <si>
    <t>http://data.europa.eu/snb/isced-f/031</t>
  </si>
  <si>
    <t>0310 - Social and behavioural sciences not further defined.</t>
  </si>
  <si>
    <t>Social and behavioural sciences not further defined.</t>
  </si>
  <si>
    <t>0310</t>
  </si>
  <si>
    <t>http://data.europa.eu/snb/isced-f/0310</t>
  </si>
  <si>
    <t>0311 - Economics</t>
  </si>
  <si>
    <t>Economics</t>
  </si>
  <si>
    <t>0311</t>
  </si>
  <si>
    <t>http://data.europa.eu/snb/isced-f/0311</t>
  </si>
  <si>
    <t>0312 - Political sciences and civics</t>
  </si>
  <si>
    <t>Political sciences and civics</t>
  </si>
  <si>
    <t>0312</t>
  </si>
  <si>
    <t>http://data.europa.eu/snb/isced-f/0312</t>
  </si>
  <si>
    <t>0313 - Psychology</t>
  </si>
  <si>
    <t>Psychology</t>
  </si>
  <si>
    <t>0313</t>
  </si>
  <si>
    <t>http://data.europa.eu/snb/isced-f/0313</t>
  </si>
  <si>
    <t>0314 - Sociology and cultural studies</t>
  </si>
  <si>
    <t>Sociology and cultural studies</t>
  </si>
  <si>
    <t>0314</t>
  </si>
  <si>
    <t>http://data.europa.eu/snb/isced-f/0314</t>
  </si>
  <si>
    <t>0319 - Social and behavioural sciencesn.e.c.</t>
  </si>
  <si>
    <t>Social and behavioural sciencesn.e.c.</t>
  </si>
  <si>
    <t>0319</t>
  </si>
  <si>
    <t>http://data.europa.eu/snb/isced-f/0319</t>
  </si>
  <si>
    <t>032 - Journalism and information</t>
  </si>
  <si>
    <t>Journalism and information</t>
  </si>
  <si>
    <t>032</t>
  </si>
  <si>
    <t>http://data.europa.eu/snb/isced-f/032</t>
  </si>
  <si>
    <t>0320 - Journalism and information not further defined</t>
  </si>
  <si>
    <t>Journalism and information not further defined</t>
  </si>
  <si>
    <t>0320</t>
  </si>
  <si>
    <t>http://data.europa.eu/snb/isced-f/0320</t>
  </si>
  <si>
    <t>0321 - Journalism and reporting</t>
  </si>
  <si>
    <t>Journalism and reporting</t>
  </si>
  <si>
    <t>0321</t>
  </si>
  <si>
    <t>http://data.europa.eu/snb/isced-f/0321</t>
  </si>
  <si>
    <t>0322 - Library, information and archival studies</t>
  </si>
  <si>
    <t>Library, information and archival studies</t>
  </si>
  <si>
    <t>0322</t>
  </si>
  <si>
    <t>http://data.europa.eu/snb/isced-f/0322</t>
  </si>
  <si>
    <t>0329 - Journalism and information not elsewhere classified</t>
  </si>
  <si>
    <t>Journalism and information not elsewhere classified</t>
  </si>
  <si>
    <t>0329</t>
  </si>
  <si>
    <t>http://data.europa.eu/snb/isced-f/0329</t>
  </si>
  <si>
    <t>038 - Interdisciplinary programmes involving broad field 03</t>
  </si>
  <si>
    <t>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</si>
  <si>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</si>
  <si>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</si>
  <si>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</si>
  <si>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</si>
  <si>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</si>
  <si>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</si>
  <si>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Social sciences, journalism and information not elsewhere classified</t>
  </si>
  <si>
    <t>039</t>
  </si>
  <si>
    <t>http://data.europa.eu/snb/isced-f/039</t>
  </si>
  <si>
    <t>0399 - Social sciences, journalism and information n.e.c.</t>
  </si>
  <si>
    <t>Social sciences, journalism and information n.e.c.</t>
  </si>
  <si>
    <t>0399</t>
  </si>
  <si>
    <t>http://data.europa.eu/snb/isced-f/0399</t>
  </si>
  <si>
    <t>04 - Business, administration and law</t>
  </si>
  <si>
    <t>Business, administration and law</t>
  </si>
  <si>
    <t>04</t>
  </si>
  <si>
    <t>http://data.europa.eu/snb/isced-f/04</t>
  </si>
  <si>
    <t>040 - Business, administration and law not further defined</t>
  </si>
  <si>
    <t>Business, administration and law not further defined</t>
  </si>
  <si>
    <t>040</t>
  </si>
  <si>
    <t>http://data.europa.eu/snb/isced-f/040</t>
  </si>
  <si>
    <t>0400 - Business, administration and law not further defined</t>
  </si>
  <si>
    <t>0400</t>
  </si>
  <si>
    <t>http://data.europa.eu/snb/isced-f/0400</t>
  </si>
  <si>
    <t>041 - Business and administration</t>
  </si>
  <si>
    <t>Business and administration</t>
  </si>
  <si>
    <t>041</t>
  </si>
  <si>
    <t>http://data.europa.eu/snb/isced-f/041</t>
  </si>
  <si>
    <t>0410 - Business and administration not further defined</t>
  </si>
  <si>
    <t>Business and administration not further defined</t>
  </si>
  <si>
    <t>0410</t>
  </si>
  <si>
    <t>http://data.europa.eu/snb/isced-f/0410</t>
  </si>
  <si>
    <t>0411 - Accounting and taxation</t>
  </si>
  <si>
    <t>Accounting and taxation</t>
  </si>
  <si>
    <t>0411</t>
  </si>
  <si>
    <t>http://data.europa.eu/snb/isced-f/0411</t>
  </si>
  <si>
    <t>0412 - Finance, banking and insurance</t>
  </si>
  <si>
    <t>Finance, banking and insurance</t>
  </si>
  <si>
    <t>0412</t>
  </si>
  <si>
    <t>http://data.europa.eu/snb/isced-f/0412</t>
  </si>
  <si>
    <t>0413 - Management and administration</t>
  </si>
  <si>
    <t>Management and administration</t>
  </si>
  <si>
    <t>0413</t>
  </si>
  <si>
    <t>http://data.europa.eu/snb/isced-f/0413</t>
  </si>
  <si>
    <t>0414 - Marketing and advertising</t>
  </si>
  <si>
    <t>Marketing and advertising</t>
  </si>
  <si>
    <t>0414</t>
  </si>
  <si>
    <t>http://data.europa.eu/snb/isced-f/0414</t>
  </si>
  <si>
    <t>0415 - Secretarial and office work</t>
  </si>
  <si>
    <t>Secretarial and office work</t>
  </si>
  <si>
    <t>0415</t>
  </si>
  <si>
    <t>http://data.europa.eu/snb/isced-f/0415</t>
  </si>
  <si>
    <t>0416 - Wholesale and retail sales</t>
  </si>
  <si>
    <t>Wholesale and retail sales</t>
  </si>
  <si>
    <t>0416</t>
  </si>
  <si>
    <t>http://data.europa.eu/snb/isced-f/0416</t>
  </si>
  <si>
    <t>0417 - Work skills</t>
  </si>
  <si>
    <t>Work skills</t>
  </si>
  <si>
    <t>0417</t>
  </si>
  <si>
    <t>http://data.europa.eu/snb/isced-f/0417</t>
  </si>
  <si>
    <t>0419 - Business and administration not elsewhere classified</t>
  </si>
  <si>
    <t>Business and administration not elsewhere classified</t>
  </si>
  <si>
    <t>0419</t>
  </si>
  <si>
    <t>http://data.europa.eu/snb/isced-f/0419</t>
  </si>
  <si>
    <t>042 - Law</t>
  </si>
  <si>
    <t>Law</t>
  </si>
  <si>
    <t>042</t>
  </si>
  <si>
    <t>http://data.europa.eu/snb/isced-f/042</t>
  </si>
  <si>
    <t>0421 - Law</t>
  </si>
  <si>
    <t>0421</t>
  </si>
  <si>
    <t>http://data.europa.eu/snb/isced-f/0421</t>
  </si>
  <si>
    <t>048 - Interdisciplinary programmes involving broad field 04</t>
  </si>
  <si>
    <t>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</si>
  <si>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</si>
  <si>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</si>
  <si>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</si>
  <si>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</si>
  <si>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</si>
  <si>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</si>
  <si>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Business, administration and law not elsewhere classified</t>
  </si>
  <si>
    <t>049</t>
  </si>
  <si>
    <t>http://data.europa.eu/snb/isced-f/049</t>
  </si>
  <si>
    <t>0499 - Business, administration and law n.e.c.</t>
  </si>
  <si>
    <t>Business, administration and law n.e.c.</t>
  </si>
  <si>
    <t>0499</t>
  </si>
  <si>
    <t>http://data.europa.eu/snb/isced-f/0499</t>
  </si>
  <si>
    <t>05 - Natural sciences, mathematics and statistics</t>
  </si>
  <si>
    <t>Natural sciences, mathematics and statistics</t>
  </si>
  <si>
    <t>05</t>
  </si>
  <si>
    <t>http://data.europa.eu/snb/isced-f/05</t>
  </si>
  <si>
    <t>050 - Natural sciences, mathematics and statisticsn.f.d.</t>
  </si>
  <si>
    <t>Natural sciences, mathematics and statisticsn.f.d.</t>
  </si>
  <si>
    <t>050</t>
  </si>
  <si>
    <t>http://data.europa.eu/snb/isced-f/050</t>
  </si>
  <si>
    <t>0500 - Natural sciences, mathematics and statisticsn.f.d.</t>
  </si>
  <si>
    <t>0500</t>
  </si>
  <si>
    <t>http://data.europa.eu/snb/isced-f/0500</t>
  </si>
  <si>
    <t>051 - Biological and related sciences</t>
  </si>
  <si>
    <t>Biological and related sciences</t>
  </si>
  <si>
    <t>051</t>
  </si>
  <si>
    <t>http://data.europa.eu/snb/isced-f/051</t>
  </si>
  <si>
    <t>0510 - Biological and related sciences not further defined</t>
  </si>
  <si>
    <t>Biological and related sciences not further defined</t>
  </si>
  <si>
    <t>0510</t>
  </si>
  <si>
    <t>http://data.europa.eu/snb/isced-f/0510</t>
  </si>
  <si>
    <t>0511 - Biology</t>
  </si>
  <si>
    <t>Biology</t>
  </si>
  <si>
    <t>0511</t>
  </si>
  <si>
    <t>http://data.europa.eu/snb/isced-f/0511</t>
  </si>
  <si>
    <t>0512 - Biochemistry</t>
  </si>
  <si>
    <t>Biochemistry</t>
  </si>
  <si>
    <t>0512</t>
  </si>
  <si>
    <t>http://data.europa.eu/snb/isced-f/0512</t>
  </si>
  <si>
    <t>0519 - Biological and related sciences not elsewhere classified</t>
  </si>
  <si>
    <t>Biological and related sciences not elsewhere classified</t>
  </si>
  <si>
    <t>0519</t>
  </si>
  <si>
    <t>http://data.europa.eu/snb/isced-f/0519</t>
  </si>
  <si>
    <t>052 - Environment</t>
  </si>
  <si>
    <t>Environment</t>
  </si>
  <si>
    <t>052</t>
  </si>
  <si>
    <t>http://data.europa.eu/snb/isced-f/052</t>
  </si>
  <si>
    <t>0520 - Environment not further defined</t>
  </si>
  <si>
    <t>Environment not further defined</t>
  </si>
  <si>
    <t>0520</t>
  </si>
  <si>
    <t>http://data.europa.eu/snb/isced-f/0520</t>
  </si>
  <si>
    <t>0521 - Environmental sciences</t>
  </si>
  <si>
    <t>Environmental sciences</t>
  </si>
  <si>
    <t>0521</t>
  </si>
  <si>
    <t>http://data.europa.eu/snb/isced-f/0521</t>
  </si>
  <si>
    <t>0522 - Natural environments and wildlife</t>
  </si>
  <si>
    <t>Natural environments and wildlife</t>
  </si>
  <si>
    <t>0522</t>
  </si>
  <si>
    <t>http://data.europa.eu/snb/isced-f/0522</t>
  </si>
  <si>
    <t>0529 - Environment not elsewhere classified</t>
  </si>
  <si>
    <t>Environment not elsewhere classified</t>
  </si>
  <si>
    <t>0529</t>
  </si>
  <si>
    <t>http://data.europa.eu/snb/isced-f/0529</t>
  </si>
  <si>
    <t>053 - Physical sciences</t>
  </si>
  <si>
    <t>Physical sciences</t>
  </si>
  <si>
    <t>053</t>
  </si>
  <si>
    <t>http://data.europa.eu/snb/isced-f/053</t>
  </si>
  <si>
    <t>0530 - Physical sciences not further defined</t>
  </si>
  <si>
    <t>Physical sciences not further defined</t>
  </si>
  <si>
    <t>0530</t>
  </si>
  <si>
    <t>http://data.europa.eu/snb/isced-f/0530</t>
  </si>
  <si>
    <t>0531 - Chemistry</t>
  </si>
  <si>
    <t>Chemistry</t>
  </si>
  <si>
    <t>0531</t>
  </si>
  <si>
    <t>http://data.europa.eu/snb/isced-f/0531</t>
  </si>
  <si>
    <t>0532 - Earth sciences</t>
  </si>
  <si>
    <t>Earth sciences</t>
  </si>
  <si>
    <t>0532</t>
  </si>
  <si>
    <t>http://data.europa.eu/snb/isced-f/0532</t>
  </si>
  <si>
    <t>0533 - Physics</t>
  </si>
  <si>
    <t>Physics</t>
  </si>
  <si>
    <t>0533</t>
  </si>
  <si>
    <t>http://data.europa.eu/snb/isced-f/0533</t>
  </si>
  <si>
    <t>0539 - Physical sciences not elsewhere classified</t>
  </si>
  <si>
    <t>Physical sciences not elsewhere classified</t>
  </si>
  <si>
    <t>0539</t>
  </si>
  <si>
    <t>http://data.europa.eu/snb/isced-f/0539</t>
  </si>
  <si>
    <t>054 - Mathematics and statistics</t>
  </si>
  <si>
    <t>Mathematics and statistics</t>
  </si>
  <si>
    <t>054</t>
  </si>
  <si>
    <t>http://data.europa.eu/snb/isced-f/054</t>
  </si>
  <si>
    <t>0540 - Mathematics and statistics not further defined</t>
  </si>
  <si>
    <t>Mathematics and statistics not further defined</t>
  </si>
  <si>
    <t>0540</t>
  </si>
  <si>
    <t>http://data.europa.eu/snb/isced-f/0540</t>
  </si>
  <si>
    <t>0541 - Mathematics</t>
  </si>
  <si>
    <t>Mathematics</t>
  </si>
  <si>
    <t>0541</t>
  </si>
  <si>
    <t>http://data.europa.eu/snb/isced-f/0541</t>
  </si>
  <si>
    <t>0542 - Statistics</t>
  </si>
  <si>
    <t>Statistics</t>
  </si>
  <si>
    <t>0542</t>
  </si>
  <si>
    <t>http://data.europa.eu/snb/isced-f/0542</t>
  </si>
  <si>
    <t>058 - Interdisciplinary programmes involving broad field 05</t>
  </si>
  <si>
    <t>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</si>
  <si>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</si>
  <si>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</si>
  <si>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</si>
  <si>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</si>
  <si>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</si>
  <si>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</si>
  <si>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Natural sciences, mathematics and statisticsn.e.c.</t>
  </si>
  <si>
    <t>059</t>
  </si>
  <si>
    <t>http://data.europa.eu/snb/isced-f/059</t>
  </si>
  <si>
    <t>0599 - Natural sciences, mathematics and statisticsn.e.c.</t>
  </si>
  <si>
    <t>0599</t>
  </si>
  <si>
    <t>http://data.europa.eu/snb/isced-f/0599</t>
  </si>
  <si>
    <t>06 - Information and Communication Technologies</t>
  </si>
  <si>
    <t>Information and Communication Technologies</t>
  </si>
  <si>
    <t>06</t>
  </si>
  <si>
    <t>http://data.europa.eu/snb/isced-f/06</t>
  </si>
  <si>
    <t>061 - Information and Communication Technologies</t>
  </si>
  <si>
    <t>061</t>
  </si>
  <si>
    <t>http://data.europa.eu/snb/isced-f/061</t>
  </si>
  <si>
    <t>0610 - Information and Communication Technologiesn.f.d.</t>
  </si>
  <si>
    <t>Information and Communication Technologiesn.f.d.</t>
  </si>
  <si>
    <t>0610</t>
  </si>
  <si>
    <t>http://data.europa.eu/snb/isced-f/0610</t>
  </si>
  <si>
    <t>0611 - Computer use</t>
  </si>
  <si>
    <t>Computer use</t>
  </si>
  <si>
    <t>0611</t>
  </si>
  <si>
    <t>http://data.europa.eu/snb/isced-f/0611</t>
  </si>
  <si>
    <t>0612 - Database and network design and administration</t>
  </si>
  <si>
    <t>Database and network design and administration</t>
  </si>
  <si>
    <t>0612</t>
  </si>
  <si>
    <t>http://data.europa.eu/snb/isced-f/0612</t>
  </si>
  <si>
    <t>0613 - Software and applications development and analysis</t>
  </si>
  <si>
    <t>Software and applications development and analysis</t>
  </si>
  <si>
    <t>0613</t>
  </si>
  <si>
    <t>http://data.europa.eu/snb/isced-f/0613</t>
  </si>
  <si>
    <t>0619 - Information and Communication Technologiesn.e.c.</t>
  </si>
  <si>
    <t>Information and Communication Technologiesn.e.c.</t>
  </si>
  <si>
    <t>0619</t>
  </si>
  <si>
    <t>http://data.europa.eu/snb/isced-f/0619</t>
  </si>
  <si>
    <t>068 - Interdisciplinary programmes involving broad field 06</t>
  </si>
  <si>
    <t>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</si>
  <si>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</si>
  <si>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</si>
  <si>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</si>
  <si>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</si>
  <si>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</si>
  <si>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</si>
  <si>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Engineering, manufacturing and construction</t>
  </si>
  <si>
    <t>07</t>
  </si>
  <si>
    <t>http://data.europa.eu/snb/isced-f/07</t>
  </si>
  <si>
    <t>070 - Engineering, manufacturing and constructionn.f.d.</t>
  </si>
  <si>
    <t>Engineering, manufacturing and constructionn.f.d.</t>
  </si>
  <si>
    <t>070</t>
  </si>
  <si>
    <t>http://data.europa.eu/snb/isced-f/070</t>
  </si>
  <si>
    <t>0700 - Engineering, manufacturing and constructionn.f.d.</t>
  </si>
  <si>
    <t>0700</t>
  </si>
  <si>
    <t>http://data.europa.eu/snb/isced-f/0700</t>
  </si>
  <si>
    <t>071 - Engineering and engineering trades</t>
  </si>
  <si>
    <t>Engineering and engineering trades</t>
  </si>
  <si>
    <t>071</t>
  </si>
  <si>
    <t>http://data.europa.eu/snb/isced-f/071</t>
  </si>
  <si>
    <t>0710 - Engineering and engineering tradesn.f.d.</t>
  </si>
  <si>
    <t>Engineering and engineering tradesn.f.d.</t>
  </si>
  <si>
    <t>0710</t>
  </si>
  <si>
    <t>http://data.europa.eu/snb/isced-f/0710</t>
  </si>
  <si>
    <t>0711 - Chemical engineering and processes</t>
  </si>
  <si>
    <t>Chemical engineering and processes</t>
  </si>
  <si>
    <t>0711</t>
  </si>
  <si>
    <t>http://data.europa.eu/snb/isced-f/0711</t>
  </si>
  <si>
    <t>0712 - Environmental protection technology</t>
  </si>
  <si>
    <t>Environmental protection technology</t>
  </si>
  <si>
    <t>0712</t>
  </si>
  <si>
    <t>http://data.europa.eu/snb/isced-f/0712</t>
  </si>
  <si>
    <t>0713 - Electricity and energy</t>
  </si>
  <si>
    <t>Electricity and energy</t>
  </si>
  <si>
    <t>0713</t>
  </si>
  <si>
    <t>http://data.europa.eu/snb/isced-f/0713</t>
  </si>
  <si>
    <t>0714 - Electronics and automation</t>
  </si>
  <si>
    <t>Electronics and automation</t>
  </si>
  <si>
    <t>0714</t>
  </si>
  <si>
    <t>http://data.europa.eu/snb/isced-f/0714</t>
  </si>
  <si>
    <t>0715 - Mechanics and metal trades</t>
  </si>
  <si>
    <t>Mechanics and metal trades</t>
  </si>
  <si>
    <t>0715</t>
  </si>
  <si>
    <t>http://data.europa.eu/snb/isced-f/0715</t>
  </si>
  <si>
    <t>0716 - Motor vehicles, ships and aircraft</t>
  </si>
  <si>
    <t>Motor vehicles, ships and aircraft</t>
  </si>
  <si>
    <t>0716</t>
  </si>
  <si>
    <t>http://data.europa.eu/snb/isced-f/0716</t>
  </si>
  <si>
    <t>0719 - Engineering and engineering tradesn.e.c.</t>
  </si>
  <si>
    <t>Engineering and engineering tradesn.e.c.</t>
  </si>
  <si>
    <t>0719</t>
  </si>
  <si>
    <t>http://data.europa.eu/snb/isced-f/0719</t>
  </si>
  <si>
    <t>072 - Manufacturing and processing</t>
  </si>
  <si>
    <t>Manufacturing and processing</t>
  </si>
  <si>
    <t>072</t>
  </si>
  <si>
    <t>http://data.europa.eu/snb/isced-f/072</t>
  </si>
  <si>
    <t>0720 - Manufacturing and processing not further defined</t>
  </si>
  <si>
    <t>Manufacturing and processing not further defined</t>
  </si>
  <si>
    <t>0720</t>
  </si>
  <si>
    <t>http://data.europa.eu/snb/isced-f/0720</t>
  </si>
  <si>
    <t>0721 - Food processing</t>
  </si>
  <si>
    <t>Food processing</t>
  </si>
  <si>
    <t>0721</t>
  </si>
  <si>
    <t>http://data.europa.eu/snb/isced-f/0721</t>
  </si>
  <si>
    <t>0722 - Materials (glass, paper, plastic and wood)</t>
  </si>
  <si>
    <t>Materials (glass, paper, plastic and wood)</t>
  </si>
  <si>
    <t>0722</t>
  </si>
  <si>
    <t>http://data.europa.eu/snb/isced-f/0722</t>
  </si>
  <si>
    <t>0723 - Textiles (clothes, footwear and leather)</t>
  </si>
  <si>
    <t>Textiles (clothes, footwear and leather)</t>
  </si>
  <si>
    <t>0723</t>
  </si>
  <si>
    <t>http://data.europa.eu/snb/isced-f/0723</t>
  </si>
  <si>
    <t>0724 - Mining and extraction</t>
  </si>
  <si>
    <t>Mining and extraction</t>
  </si>
  <si>
    <t>0724</t>
  </si>
  <si>
    <t>http://data.europa.eu/snb/isced-f/0724</t>
  </si>
  <si>
    <t>0729 - Manufacturing and processing not elsewhere classified</t>
  </si>
  <si>
    <t>Manufacturing and processing not elsewhere classified</t>
  </si>
  <si>
    <t>0729</t>
  </si>
  <si>
    <t>http://data.europa.eu/snb/isced-f/0729</t>
  </si>
  <si>
    <t>073 - Architecture and construction</t>
  </si>
  <si>
    <t>Architecture and construction</t>
  </si>
  <si>
    <t>073</t>
  </si>
  <si>
    <t>http://data.europa.eu/snb/isced-f/073</t>
  </si>
  <si>
    <t>0730 - Architecture and construction not further defined</t>
  </si>
  <si>
    <t>Architecture and construction not further defined</t>
  </si>
  <si>
    <t>0730</t>
  </si>
  <si>
    <t>http://data.europa.eu/snb/isced-f/0730</t>
  </si>
  <si>
    <t>0731 - Architecture and town planning</t>
  </si>
  <si>
    <t>Architecture and town planning</t>
  </si>
  <si>
    <t>0731</t>
  </si>
  <si>
    <t>http://data.europa.eu/snb/isced-f/0731</t>
  </si>
  <si>
    <t>0732 - Building and civil engineering</t>
  </si>
  <si>
    <t>Building and civil engineering</t>
  </si>
  <si>
    <t>0732</t>
  </si>
  <si>
    <t>http://data.europa.eu/snb/isced-f/0732</t>
  </si>
  <si>
    <t>078 - Interdisciplinary programmes involving broad field 07</t>
  </si>
  <si>
    <t>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</si>
  <si>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</si>
  <si>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</si>
  <si>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</si>
  <si>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</si>
  <si>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</si>
  <si>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</si>
  <si>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Engineering, manufacturing and constructionn.e.c.</t>
  </si>
  <si>
    <t>079</t>
  </si>
  <si>
    <t>http://data.europa.eu/snb/isced-f/079</t>
  </si>
  <si>
    <t>0799 - Engineering, manufacturing and constructionn.e.c.</t>
  </si>
  <si>
    <t>0799</t>
  </si>
  <si>
    <t>http://data.europa.eu/snb/isced-f/0799</t>
  </si>
  <si>
    <t>08 - Agriculture, forestry, fisheries and veterinary</t>
  </si>
  <si>
    <t>Agriculture, forestry, fisheries and veterinary</t>
  </si>
  <si>
    <t>08</t>
  </si>
  <si>
    <t>http://data.europa.eu/snb/isced-f/08</t>
  </si>
  <si>
    <t>080 - Agriculture, forestry, fisheries and veterinaryn.f.d.</t>
  </si>
  <si>
    <t>Agriculture, forestry, fisheries and veterinaryn.f.d.</t>
  </si>
  <si>
    <t>080</t>
  </si>
  <si>
    <t>http://data.europa.eu/snb/isced-f/080</t>
  </si>
  <si>
    <t>0800 - Agriculture, forestry, fisheries and veterinaryn.f.d.</t>
  </si>
  <si>
    <t>0800</t>
  </si>
  <si>
    <t>http://data.europa.eu/snb/isced-f/0800</t>
  </si>
  <si>
    <t>081 - Agriculture</t>
  </si>
  <si>
    <t>Agriculture</t>
  </si>
  <si>
    <t>081</t>
  </si>
  <si>
    <t>http://data.europa.eu/snb/isced-f/081</t>
  </si>
  <si>
    <t>0810 - Agriculture not further defined</t>
  </si>
  <si>
    <t>Agriculture not further defined</t>
  </si>
  <si>
    <t>0810</t>
  </si>
  <si>
    <t>http://data.europa.eu/snb/isced-f/0810</t>
  </si>
  <si>
    <t>0811 - Crop and livestock production</t>
  </si>
  <si>
    <t>Crop and livestock production</t>
  </si>
  <si>
    <t>0811</t>
  </si>
  <si>
    <t>http://data.europa.eu/snb/isced-f/0811</t>
  </si>
  <si>
    <t>0812 - Horticulture</t>
  </si>
  <si>
    <t>Horticulture</t>
  </si>
  <si>
    <t>0812</t>
  </si>
  <si>
    <t>http://data.europa.eu/snb/isced-f/0812</t>
  </si>
  <si>
    <t>0819 - Agriculture not elsewhere classified</t>
  </si>
  <si>
    <t>Agriculture not elsewhere classified</t>
  </si>
  <si>
    <t>0819</t>
  </si>
  <si>
    <t>http://data.europa.eu/snb/isced-f/0819</t>
  </si>
  <si>
    <t>082 - Forestry</t>
  </si>
  <si>
    <t>Forestry</t>
  </si>
  <si>
    <t>082</t>
  </si>
  <si>
    <t>http://data.europa.eu/snb/isced-f/082</t>
  </si>
  <si>
    <t>0821 - Forestry</t>
  </si>
  <si>
    <t>0821</t>
  </si>
  <si>
    <t>http://data.europa.eu/snb/isced-f/0821</t>
  </si>
  <si>
    <t>083 - Fisheries</t>
  </si>
  <si>
    <t>Fisheries</t>
  </si>
  <si>
    <t>083</t>
  </si>
  <si>
    <t>http://data.europa.eu/snb/isced-f/083</t>
  </si>
  <si>
    <t>0831 - Fisheries</t>
  </si>
  <si>
    <t>0831</t>
  </si>
  <si>
    <t>http://data.europa.eu/snb/isced-f/0831</t>
  </si>
  <si>
    <t>084 - Veterinary</t>
  </si>
  <si>
    <t>Veterinary</t>
  </si>
  <si>
    <t>084</t>
  </si>
  <si>
    <t>http://data.europa.eu/snb/isced-f/084</t>
  </si>
  <si>
    <t>0841 - Veterinary</t>
  </si>
  <si>
    <t>0841</t>
  </si>
  <si>
    <t>http://data.europa.eu/snb/isced-f/0841</t>
  </si>
  <si>
    <t>088 - Interdisciplinary programmes involving broad field 08</t>
  </si>
  <si>
    <t>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</si>
  <si>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</si>
  <si>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</si>
  <si>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</si>
  <si>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</si>
  <si>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</si>
  <si>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</si>
  <si>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Agriculture, forestry, fisheries and veterinaryn.e.c.</t>
  </si>
  <si>
    <t>089</t>
  </si>
  <si>
    <t>http://data.europa.eu/snb/isced-f/089</t>
  </si>
  <si>
    <t>0899 - Agriculture, forestry, fisheries and veterinaryn.e.c.</t>
  </si>
  <si>
    <t>0899</t>
  </si>
  <si>
    <t>http://data.europa.eu/snb/isced-f/0899</t>
  </si>
  <si>
    <t>09 - Health and welfare</t>
  </si>
  <si>
    <t>Health and welfare</t>
  </si>
  <si>
    <t>09</t>
  </si>
  <si>
    <t>http://data.europa.eu/snb/isced-f/09</t>
  </si>
  <si>
    <t>090 - Health and welfare not further defined</t>
  </si>
  <si>
    <t>Health and welfare not further defined</t>
  </si>
  <si>
    <t>090</t>
  </si>
  <si>
    <t>http://data.europa.eu/snb/isced-f/090</t>
  </si>
  <si>
    <t>0900 - Health and welfare not further defined</t>
  </si>
  <si>
    <t>0900</t>
  </si>
  <si>
    <t>http://data.europa.eu/snb/isced-f/0900</t>
  </si>
  <si>
    <t>091 - Health</t>
  </si>
  <si>
    <t>Health</t>
  </si>
  <si>
    <t>091</t>
  </si>
  <si>
    <t>http://data.europa.eu/snb/isced-f/091</t>
  </si>
  <si>
    <t>0910 - Health not further defined</t>
  </si>
  <si>
    <t>Health not further defined</t>
  </si>
  <si>
    <t>0910</t>
  </si>
  <si>
    <t>http://data.europa.eu/snb/isced-f/0910</t>
  </si>
  <si>
    <t>0911 - Dental studies</t>
  </si>
  <si>
    <t>Dental studies</t>
  </si>
  <si>
    <t>0911</t>
  </si>
  <si>
    <t>http://data.europa.eu/snb/isced-f/0911</t>
  </si>
  <si>
    <t>0912 - Medicine</t>
  </si>
  <si>
    <t>Medicine</t>
  </si>
  <si>
    <t>0912</t>
  </si>
  <si>
    <t>http://data.europa.eu/snb/isced-f/0912</t>
  </si>
  <si>
    <t>0913 - Nursing and midwifery</t>
  </si>
  <si>
    <t>Nursing and midwifery</t>
  </si>
  <si>
    <t>0913</t>
  </si>
  <si>
    <t>http://data.europa.eu/snb/isced-f/0913</t>
  </si>
  <si>
    <t>0914 - Medical diagnostic and treatment technology</t>
  </si>
  <si>
    <t>Medical diagnostic and treatment technology</t>
  </si>
  <si>
    <t>0914</t>
  </si>
  <si>
    <t>http://data.europa.eu/snb/isced-f/0914</t>
  </si>
  <si>
    <t>0915 - Therapy and rehabilitation</t>
  </si>
  <si>
    <t>Therapy and rehabilitation</t>
  </si>
  <si>
    <t>0915</t>
  </si>
  <si>
    <t>http://data.europa.eu/snb/isced-f/0915</t>
  </si>
  <si>
    <t>0916 - Pharmacy</t>
  </si>
  <si>
    <t>Pharmacy</t>
  </si>
  <si>
    <t>0916</t>
  </si>
  <si>
    <t>http://data.europa.eu/snb/isced-f/0916</t>
  </si>
  <si>
    <t>0917 - Traditional and complementary medicine and therapy</t>
  </si>
  <si>
    <t>Traditional and complementary medicine and therapy</t>
  </si>
  <si>
    <t>0917</t>
  </si>
  <si>
    <t>http://data.europa.eu/snb/isced-f/0917</t>
  </si>
  <si>
    <t>0919 - Health not elsewhere classified</t>
  </si>
  <si>
    <t>Health not elsewhere classified</t>
  </si>
  <si>
    <t>0919</t>
  </si>
  <si>
    <t>http://data.europa.eu/snb/isced-f/0919</t>
  </si>
  <si>
    <t>092 - Welfare</t>
  </si>
  <si>
    <t>Welfare</t>
  </si>
  <si>
    <t>092</t>
  </si>
  <si>
    <t>http://data.europa.eu/snb/isced-f/092</t>
  </si>
  <si>
    <t>0920 - Welfare not further defined</t>
  </si>
  <si>
    <t>Welfare not further defined</t>
  </si>
  <si>
    <t>0920</t>
  </si>
  <si>
    <t>http://data.europa.eu/snb/isced-f/0920</t>
  </si>
  <si>
    <t>0921 - Care of the elderly and of disabled adults</t>
  </si>
  <si>
    <t>Care of the elderly and of disabled adults</t>
  </si>
  <si>
    <t>0921</t>
  </si>
  <si>
    <t>http://data.europa.eu/snb/isced-f/0921</t>
  </si>
  <si>
    <t>0922 - Child care and youth services</t>
  </si>
  <si>
    <t>Child care and youth services</t>
  </si>
  <si>
    <t>0922</t>
  </si>
  <si>
    <t>http://data.europa.eu/snb/isced-f/0922</t>
  </si>
  <si>
    <t>0923 - Social work and counselling</t>
  </si>
  <si>
    <t>Social work and counselling</t>
  </si>
  <si>
    <t>0923</t>
  </si>
  <si>
    <t>http://data.europa.eu/snb/isced-f/0923</t>
  </si>
  <si>
    <t>0929 - Welfare not elsewhere classified</t>
  </si>
  <si>
    <t>Welfare not elsewhere classified</t>
  </si>
  <si>
    <t>0929</t>
  </si>
  <si>
    <t>http://data.europa.eu/snb/isced-f/0929</t>
  </si>
  <si>
    <t>098 - Interdisciplinary programmes involving broad field 09</t>
  </si>
  <si>
    <t>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</si>
  <si>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</si>
  <si>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</si>
  <si>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</si>
  <si>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</si>
  <si>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</si>
  <si>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</si>
  <si>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Health and welfare not elsewhere classified</t>
  </si>
  <si>
    <t>099</t>
  </si>
  <si>
    <t>http://data.europa.eu/snb/isced-f/099</t>
  </si>
  <si>
    <t>0999 - Health and welfare n.e.c.</t>
  </si>
  <si>
    <t>Health and welfare n.e.c.</t>
  </si>
  <si>
    <t>0999</t>
  </si>
  <si>
    <t>http://data.europa.eu/snb/isced-f/0999</t>
  </si>
  <si>
    <t>10 - Services</t>
  </si>
  <si>
    <t>Services</t>
  </si>
  <si>
    <t>10</t>
  </si>
  <si>
    <t>http://data.europa.eu/snb/isced-f/10</t>
  </si>
  <si>
    <t>100 - Services not further defined</t>
  </si>
  <si>
    <t>Services not further defined</t>
  </si>
  <si>
    <t>100</t>
  </si>
  <si>
    <t>http://data.europa.eu/snb/isced-f/100</t>
  </si>
  <si>
    <t>1000 - Services not further defined</t>
  </si>
  <si>
    <t>1000</t>
  </si>
  <si>
    <t>http://data.europa.eu/snb/isced-f/1000</t>
  </si>
  <si>
    <t>101 - Personal services</t>
  </si>
  <si>
    <t>Personal services</t>
  </si>
  <si>
    <t>101</t>
  </si>
  <si>
    <t>http://data.europa.eu/snb/isced-f/101</t>
  </si>
  <si>
    <t>1010 - Personal services not further defined</t>
  </si>
  <si>
    <t>Personal services not further defined</t>
  </si>
  <si>
    <t>1010</t>
  </si>
  <si>
    <t>http://data.europa.eu/snb/isced-f/1010</t>
  </si>
  <si>
    <t>1011 - Domestic services</t>
  </si>
  <si>
    <t>Domestic services</t>
  </si>
  <si>
    <t>1011</t>
  </si>
  <si>
    <t>http://data.europa.eu/snb/isced-f/1011</t>
  </si>
  <si>
    <t>1012 - Hair and beauty services</t>
  </si>
  <si>
    <t>Hair and beauty services</t>
  </si>
  <si>
    <t>1012</t>
  </si>
  <si>
    <t>http://data.europa.eu/snb/isced-f/1012</t>
  </si>
  <si>
    <t>1013 - Hotel, restaurants and catering</t>
  </si>
  <si>
    <t>Hotel, restaurants and catering</t>
  </si>
  <si>
    <t>1013</t>
  </si>
  <si>
    <t>http://data.europa.eu/snb/isced-f/1013</t>
  </si>
  <si>
    <t>1014 - Sports</t>
  </si>
  <si>
    <t>Sports</t>
  </si>
  <si>
    <t>1014</t>
  </si>
  <si>
    <t>http://data.europa.eu/snb/isced-f/1014</t>
  </si>
  <si>
    <t>1015 - Travel, tourism and leisure</t>
  </si>
  <si>
    <t>Travel, tourism and leisure</t>
  </si>
  <si>
    <t>1015</t>
  </si>
  <si>
    <t>http://data.europa.eu/snb/isced-f/1015</t>
  </si>
  <si>
    <t>1019 - Personal services not elsewhere classified</t>
  </si>
  <si>
    <t>Personal services not elsewhere classified</t>
  </si>
  <si>
    <t>1019</t>
  </si>
  <si>
    <t>http://data.europa.eu/snb/isced-f/1019</t>
  </si>
  <si>
    <t>102 - Hygiene and occupational health services</t>
  </si>
  <si>
    <t>Hygiene and occupational health services</t>
  </si>
  <si>
    <t>102</t>
  </si>
  <si>
    <t>http://data.europa.eu/snb/isced-f/102</t>
  </si>
  <si>
    <t>1020 - Hygiene and occupational health servicesn.f.d.</t>
  </si>
  <si>
    <t>Hygiene and occupational health servicesn.f.d.</t>
  </si>
  <si>
    <t>1020</t>
  </si>
  <si>
    <t>http://data.europa.eu/snb/isced-f/1020</t>
  </si>
  <si>
    <t>1021 - Community sanitation</t>
  </si>
  <si>
    <t>Community sanitation</t>
  </si>
  <si>
    <t>1021</t>
  </si>
  <si>
    <t>http://data.europa.eu/snb/isced-f/1021</t>
  </si>
  <si>
    <t>1022 - Occupational health and safety</t>
  </si>
  <si>
    <t>Occupational health and safety</t>
  </si>
  <si>
    <t>1022</t>
  </si>
  <si>
    <t>http://data.europa.eu/snb/isced-f/1022</t>
  </si>
  <si>
    <t>1029 - Hygiene and occupational health servicesn.e.c.</t>
  </si>
  <si>
    <t>Hygiene and occupational health servicesn.e.c.</t>
  </si>
  <si>
    <t>1029</t>
  </si>
  <si>
    <t>http://data.europa.eu/snb/isced-f/1029</t>
  </si>
  <si>
    <t>103 - Security services</t>
  </si>
  <si>
    <t>Security services</t>
  </si>
  <si>
    <t>103</t>
  </si>
  <si>
    <t>http://data.europa.eu/snb/isced-f/103</t>
  </si>
  <si>
    <t>1030 - Security services not further defined</t>
  </si>
  <si>
    <t>Security services not further defined</t>
  </si>
  <si>
    <t>1030</t>
  </si>
  <si>
    <t>http://data.europa.eu/snb/isced-f/1030</t>
  </si>
  <si>
    <t>1031 - Military and defence</t>
  </si>
  <si>
    <t>Military and defence</t>
  </si>
  <si>
    <t>1031</t>
  </si>
  <si>
    <t>http://data.europa.eu/snb/isced-f/1031</t>
  </si>
  <si>
    <t>1032 - Protection of persons and property</t>
  </si>
  <si>
    <t>Protection of persons and property</t>
  </si>
  <si>
    <t>1032</t>
  </si>
  <si>
    <t>http://data.europa.eu/snb/isced-f/1032</t>
  </si>
  <si>
    <t>1039 - Security services not elsewhere classified</t>
  </si>
  <si>
    <t>Security services not elsewhere classified</t>
  </si>
  <si>
    <t>1039</t>
  </si>
  <si>
    <t>http://data.europa.eu/snb/isced-f/1039</t>
  </si>
  <si>
    <t>104 - Transport services</t>
  </si>
  <si>
    <t>Transport services</t>
  </si>
  <si>
    <t>104</t>
  </si>
  <si>
    <t>http://data.europa.eu/snb/isced-f/104</t>
  </si>
  <si>
    <t>1041 - Transport services</t>
  </si>
  <si>
    <t>1041</t>
  </si>
  <si>
    <t>http://data.europa.eu/snb/isced-f/1041</t>
  </si>
  <si>
    <t>108 - Interdisciplinary programmes involving broad field 10</t>
  </si>
  <si>
    <t>Interdisciplinary programmes involving broad field 10</t>
  </si>
  <si>
    <t>108</t>
  </si>
  <si>
    <t>http://data.europa.eu/snb/isced-f/108</t>
  </si>
  <si>
    <t>1088 - Interdisciplinary programmes involving broad field 10</t>
  </si>
  <si>
    <t>1088</t>
  </si>
  <si>
    <t>http://data.europa.eu/snb/isced-f/1088</t>
  </si>
  <si>
    <t>109 - Services not elsewhere classified</t>
  </si>
  <si>
    <t>Services not elsewhere classified</t>
  </si>
  <si>
    <t>109</t>
  </si>
  <si>
    <t>http://data.europa.eu/snb/isced-f/109</t>
  </si>
  <si>
    <t>1099 - Services not elsewhere classified</t>
  </si>
  <si>
    <t>1099</t>
  </si>
  <si>
    <t>http://data.europa.eu/snb/isced-f/1099</t>
  </si>
  <si>
    <t>99 - Field unknown</t>
  </si>
  <si>
    <t>Field unknown</t>
  </si>
  <si>
    <t>99</t>
  </si>
  <si>
    <t>http://data.europa.eu/snb/isced-f/99</t>
  </si>
  <si>
    <t>999 - Field unknown</t>
  </si>
  <si>
    <t>999</t>
  </si>
  <si>
    <t>http://data.europa.eu/snb/isced-f/999</t>
  </si>
  <si>
    <t>9999 - Field unknown</t>
  </si>
  <si>
    <t>9999</t>
  </si>
  <si>
    <t>http://data.europa.eu/snb/isced-f/9999</t>
  </si>
  <si>
    <t>Languages Named Authority List</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</si>
  <si>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</si>
  <si>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</si>
  <si>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</si>
  <si>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</si>
  <si>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</si>
  <si>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</si>
  <si>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</si>
  <si>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</si>
  <si>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</si>
  <si>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</si>
  <si>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</si>
  <si>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</si>
  <si>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</si>
  <si>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</si>
  <si>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</si>
  <si>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</si>
  <si>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</si>
  <si>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</si>
  <si>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aragonese [an]</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</si>
  <si>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</si>
  <si>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</si>
  <si>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</si>
  <si>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</si>
  <si>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</si>
  <si>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</si>
  <si>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</si>
  <si>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</si>
  <si>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</si>
  <si>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</si>
  <si>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</si>
  <si>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</si>
  <si>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</si>
  <si>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</si>
  <si>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</si>
  <si>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</si>
  <si>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</si>
  <si>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</si>
  <si>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</si>
  <si>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</si>
  <si>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</si>
  <si>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</si>
  <si>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</si>
  <si>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</si>
  <si>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</si>
  <si>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</si>
  <si>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</si>
  <si>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</si>
  <si>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</si>
  <si>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</si>
  <si>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</si>
  <si>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</si>
  <si>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</si>
  <si>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</si>
  <si>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</si>
  <si>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</si>
  <si>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</si>
  <si>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</si>
  <si>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</si>
  <si>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</si>
  <si>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</si>
  <si>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</si>
  <si>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</si>
  <si>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Catalan</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</si>
  <si>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</si>
  <si>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</si>
  <si>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</si>
  <si>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</si>
  <si>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</si>
  <si>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</si>
  <si>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</si>
  <si>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</si>
  <si>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</si>
  <si>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</si>
  <si>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</si>
  <si>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</si>
  <si>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</si>
  <si>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</si>
  <si>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</si>
  <si>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</si>
  <si>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</si>
  <si>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</si>
  <si>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</si>
  <si>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</si>
  <si>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</si>
  <si>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</si>
  <si>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</si>
  <si>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</si>
  <si>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</si>
  <si>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</si>
  <si>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</si>
  <si>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</si>
  <si>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</si>
  <si>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</si>
  <si>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</si>
  <si>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</si>
  <si>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</si>
  <si>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</si>
  <si>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</si>
  <si>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</si>
  <si>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</si>
  <si>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</si>
  <si>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</si>
  <si>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</si>
  <si>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</si>
  <si>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</si>
  <si>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</si>
  <si>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</si>
  <si>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</si>
  <si>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</si>
  <si>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</si>
  <si>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</si>
  <si>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</si>
  <si>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</si>
  <si>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</si>
  <si>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</si>
  <si>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</si>
  <si>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</si>
  <si>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</si>
  <si>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</si>
  <si>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</si>
  <si>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</si>
  <si>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</si>
  <si>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</si>
  <si>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</si>
  <si>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</si>
  <si>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</si>
  <si>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</si>
  <si>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</si>
  <si>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</si>
  <si>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</si>
  <si>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</si>
  <si>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</si>
  <si>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</si>
  <si>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Irish</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</si>
  <si>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</si>
  <si>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</si>
  <si>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</si>
  <si>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</si>
  <si>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</si>
  <si>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</si>
  <si>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</si>
  <si>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</si>
  <si>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</si>
  <si>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</si>
  <si>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</si>
  <si>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</si>
  <si>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</si>
  <si>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</si>
  <si>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</si>
  <si>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</si>
  <si>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</si>
  <si>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</si>
  <si>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</si>
  <si>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</si>
  <si>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</si>
  <si>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</si>
  <si>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</si>
  <si>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</si>
  <si>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</si>
  <si>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</si>
  <si>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</si>
  <si>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</si>
  <si>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</si>
  <si>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</si>
  <si>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</si>
  <si>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</si>
  <si>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</si>
  <si>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</si>
  <si>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</si>
  <si>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</si>
  <si>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</si>
  <si>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</si>
  <si>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</si>
  <si>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</si>
  <si>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</si>
  <si>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</si>
  <si>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</si>
  <si>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</si>
  <si>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</si>
  <si>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</si>
  <si>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</si>
  <si>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</si>
  <si>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</si>
  <si>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</si>
  <si>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</si>
  <si>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</si>
  <si>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</si>
  <si>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</si>
  <si>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</si>
  <si>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</si>
  <si>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</si>
  <si>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</si>
  <si>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</si>
  <si>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</si>
  <si>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</si>
  <si>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</si>
  <si>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</si>
  <si>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</si>
  <si>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</si>
  <si>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</si>
  <si>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</si>
  <si>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</si>
  <si>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</si>
  <si>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</si>
  <si>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</si>
  <si>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</si>
  <si>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</si>
  <si>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</si>
  <si>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</si>
  <si>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</si>
  <si>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</si>
  <si>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</si>
  <si>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</si>
  <si>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</si>
  <si>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</si>
  <si>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</si>
  <si>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</si>
  <si>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</si>
  <si>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</si>
  <si>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</si>
  <si>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</si>
  <si>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</si>
  <si>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</si>
  <si>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</si>
  <si>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</si>
  <si>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</si>
  <si>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</si>
  <si>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</si>
  <si>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</si>
  <si>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</si>
  <si>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</si>
  <si>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</si>
  <si>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</si>
  <si>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</si>
  <si>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</si>
  <si>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</si>
  <si>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</si>
  <si>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</si>
  <si>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</si>
  <si>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</si>
  <si>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</si>
  <si>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</si>
  <si>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</si>
  <si>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</si>
  <si>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</si>
  <si>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</si>
  <si>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</si>
  <si>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</si>
  <si>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</si>
  <si>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</si>
  <si>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</si>
  <si>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</si>
  <si>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</si>
  <si>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</si>
  <si>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</si>
  <si>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</si>
  <si>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</si>
  <si>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</si>
  <si>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</si>
  <si>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</si>
  <si>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</si>
  <si>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</si>
  <si>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</si>
  <si>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</si>
  <si>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</si>
  <si>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</si>
  <si>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</si>
  <si>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</si>
  <si>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</si>
  <si>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</si>
  <si>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</si>
  <si>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</si>
  <si>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</si>
  <si>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</si>
  <si>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</si>
  <si>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</si>
  <si>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</si>
  <si>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</si>
  <si>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</si>
  <si>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</si>
  <si>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</si>
  <si>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</si>
  <si>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</si>
  <si>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</si>
  <si>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</si>
  <si>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</si>
  <si>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</si>
  <si>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</si>
  <si>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</si>
  <si>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</si>
  <si>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</si>
  <si>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</si>
  <si>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</si>
  <si>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</si>
  <si>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</si>
  <si>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</si>
  <si>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</si>
  <si>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</si>
  <si>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</si>
  <si>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</si>
  <si>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</si>
  <si>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</si>
  <si>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</si>
  <si>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</si>
  <si>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</si>
  <si>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</si>
  <si>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</si>
  <si>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</si>
  <si>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</si>
  <si>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</si>
  <si>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</si>
  <si>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</si>
  <si>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</si>
  <si>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</si>
  <si>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</si>
  <si>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</si>
  <si>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</si>
  <si>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</si>
  <si>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</si>
  <si>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</si>
  <si>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</si>
  <si>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</si>
  <si>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</si>
  <si>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</si>
  <si>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</si>
  <si>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</si>
  <si>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</si>
  <si>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</si>
  <si>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</si>
  <si>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</si>
  <si>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</si>
  <si>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</si>
  <si>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</si>
  <si>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</si>
  <si>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</si>
  <si>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</si>
  <si>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</si>
  <si>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</si>
  <si>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</si>
  <si>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</si>
  <si>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</si>
  <si>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</si>
  <si>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</si>
  <si>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</si>
  <si>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</si>
  <si>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</si>
  <si>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</si>
  <si>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</si>
  <si>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</si>
  <si>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</si>
  <si>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</si>
  <si>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</si>
  <si>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</si>
  <si>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</si>
  <si>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</si>
  <si>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</si>
  <si>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</si>
  <si>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</si>
  <si>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</si>
  <si>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</si>
  <si>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</si>
  <si>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</si>
  <si>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</si>
  <si>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</si>
  <si>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</si>
  <si>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</si>
  <si>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</si>
  <si>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</si>
  <si>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</si>
  <si>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</si>
  <si>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</si>
  <si>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</si>
  <si>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</si>
  <si>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</si>
  <si>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</si>
  <si>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</si>
  <si>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</si>
  <si>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</si>
  <si>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</si>
  <si>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</si>
  <si>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</si>
  <si>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</si>
  <si>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</si>
  <si>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</si>
  <si>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</si>
  <si>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</si>
  <si>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</si>
  <si>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</si>
  <si>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</si>
  <si>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</si>
  <si>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</si>
  <si>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</si>
  <si>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</si>
  <si>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</si>
  <si>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</si>
  <si>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</si>
  <si>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</si>
  <si>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</si>
  <si>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</si>
  <si>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</si>
  <si>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</si>
  <si>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</si>
  <si>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</si>
  <si>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</si>
  <si>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</si>
  <si>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</si>
  <si>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</si>
  <si>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</si>
  <si>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</si>
  <si>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</si>
  <si>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</si>
  <si>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</si>
  <si>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</si>
  <si>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</si>
  <si>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</si>
  <si>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</si>
  <si>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</si>
  <si>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</si>
  <si>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</si>
  <si>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</si>
  <si>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</si>
  <si>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</si>
  <si>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</si>
  <si>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</si>
  <si>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</si>
  <si>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</si>
  <si>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</si>
  <si>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</si>
  <si>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</si>
  <si>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</si>
  <si>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</si>
  <si>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ca</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</si>
  <si>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</si>
  <si>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</si>
  <si>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</si>
  <si>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</si>
  <si>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</si>
  <si>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</si>
  <si>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</si>
  <si>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</si>
  <si>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</si>
  <si>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</si>
  <si>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</si>
  <si>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</si>
  <si>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</si>
  <si>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</si>
  <si>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</si>
  <si>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</si>
  <si>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</si>
  <si>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</si>
  <si>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</si>
  <si>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</si>
  <si>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</si>
  <si>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</si>
  <si>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</si>
  <si>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</si>
  <si>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</si>
  <si>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</si>
  <si>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</si>
  <si>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</si>
  <si>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</si>
  <si>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</si>
  <si>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</si>
  <si>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</si>
  <si>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</si>
  <si>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</si>
  <si>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</si>
  <si>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</si>
  <si>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</si>
  <si>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</si>
  <si>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</si>
  <si>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</si>
  <si>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</si>
  <si>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</si>
  <si>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</si>
  <si>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</si>
  <si>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</si>
  <si>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</si>
  <si>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</si>
  <si>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</si>
  <si>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</si>
  <si>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</si>
  <si>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</si>
  <si>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</si>
  <si>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</si>
  <si>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</si>
  <si>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</si>
  <si>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</si>
  <si>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</si>
  <si>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</si>
  <si>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</si>
  <si>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</si>
  <si>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</si>
  <si>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</si>
  <si>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</si>
  <si>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</si>
  <si>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</si>
  <si>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</si>
  <si>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</si>
  <si>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</si>
  <si>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</si>
  <si>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</si>
  <si>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</si>
  <si>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</si>
  <si>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</si>
  <si>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</si>
  <si>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</si>
  <si>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</si>
  <si>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</si>
  <si>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</si>
  <si>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</si>
  <si>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</si>
  <si>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</si>
  <si>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</si>
  <si>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</si>
  <si>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</si>
  <si>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</si>
  <si>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</si>
  <si>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</si>
  <si>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</si>
  <si>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</si>
  <si>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</si>
  <si>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</si>
  <si>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</si>
  <si>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</si>
  <si>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</si>
  <si>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</si>
  <si>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</si>
  <si>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</si>
  <si>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</si>
  <si>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</si>
  <si>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</si>
  <si>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</si>
  <si>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</si>
  <si>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</si>
  <si>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</si>
  <si>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</si>
  <si>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</si>
  <si>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</si>
  <si>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</si>
  <si>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</si>
  <si>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</si>
  <si>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</si>
  <si>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</si>
  <si>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</si>
  <si>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</si>
  <si>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</si>
  <si>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</si>
  <si>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</si>
  <si>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</si>
  <si>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</si>
  <si>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</si>
  <si>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</si>
  <si>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</si>
  <si>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</si>
  <si>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</si>
  <si>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</si>
  <si>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</si>
  <si>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</si>
  <si>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</si>
  <si>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</si>
  <si>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</si>
  <si>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</si>
  <si>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</si>
  <si>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</si>
  <si>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</si>
  <si>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</si>
  <si>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</si>
  <si>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</si>
  <si>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</si>
  <si>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</si>
  <si>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</si>
  <si>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</si>
  <si>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</si>
  <si>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</si>
  <si>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</si>
  <si>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</si>
  <si>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</si>
  <si>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</si>
  <si>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</si>
  <si>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</si>
  <si>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</si>
  <si>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</si>
  <si>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</si>
  <si>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</si>
  <si>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</si>
  <si>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</si>
  <si>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</si>
  <si>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</si>
  <si>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</si>
  <si>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</si>
  <si>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</si>
  <si>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</si>
  <si>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</si>
  <si>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</si>
  <si>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</si>
  <si>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</si>
  <si>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</si>
  <si>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</si>
  <si>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</si>
  <si>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</si>
  <si>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</si>
  <si>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</si>
  <si>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</si>
  <si>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</si>
  <si>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</si>
  <si>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</si>
  <si>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</si>
  <si>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</si>
  <si>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</si>
  <si>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</si>
  <si>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</si>
  <si>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</si>
  <si>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</si>
  <si>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</si>
  <si>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</si>
  <si>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</si>
  <si>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</si>
  <si>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</si>
  <si>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</si>
  <si>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</si>
  <si>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</si>
  <si>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</si>
  <si>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</si>
  <si>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</si>
  <si>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</si>
  <si>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</si>
  <si>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</si>
  <si>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</si>
  <si>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</si>
  <si>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</si>
  <si>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</si>
  <si>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</si>
  <si>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</si>
  <si>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</si>
  <si>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</si>
  <si>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</si>
  <si>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</si>
  <si>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</si>
  <si>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</si>
  <si>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</si>
  <si>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</si>
  <si>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</si>
  <si>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</si>
  <si>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</si>
  <si>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</si>
  <si>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National Qualifications Framework for Lifelong Learning for Lichtenstein</t>
  </si>
  <si>
    <t>Lichtenstein Qualifications Framework</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</si>
  <si>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</si>
  <si>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</si>
  <si>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</si>
  <si>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</si>
  <si>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</si>
  <si>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</si>
  <si>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</si>
  <si>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</si>
  <si>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</si>
  <si>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</si>
  <si>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</si>
  <si>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</si>
  <si>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</si>
  <si>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</si>
  <si>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</si>
  <si>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</si>
  <si>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</si>
  <si>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</si>
  <si>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</si>
  <si>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</si>
  <si>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</si>
  <si>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</si>
  <si>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</si>
  <si>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</si>
  <si>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</si>
  <si>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</si>
  <si>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</si>
  <si>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</si>
  <si>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</si>
  <si>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</si>
  <si>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</si>
  <si>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</si>
  <si>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</si>
  <si>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</si>
  <si>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</si>
  <si>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</si>
  <si>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</si>
  <si>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</si>
  <si>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</si>
  <si>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</si>
  <si>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</si>
  <si>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</si>
  <si>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</si>
  <si>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</si>
  <si>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</si>
  <si>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</si>
  <si>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</si>
  <si>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</si>
  <si>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</si>
  <si>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</si>
  <si>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</si>
  <si>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</si>
  <si>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</si>
  <si>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</si>
  <si>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</si>
  <si>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</si>
  <si>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</si>
  <si>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</si>
  <si>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</si>
  <si>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</si>
  <si>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</si>
  <si>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</si>
  <si>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</si>
  <si>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</si>
  <si>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</si>
  <si>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</si>
  <si>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</si>
  <si>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</si>
  <si>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</si>
  <si>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</si>
  <si>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</si>
  <si>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</si>
  <si>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</si>
  <si>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</si>
  <si>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</si>
  <si>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</si>
  <si>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</si>
  <si>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</si>
  <si>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</si>
  <si>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</si>
  <si>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</si>
  <si>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</si>
  <si>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</si>
  <si>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</si>
  <si>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</si>
  <si>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</si>
  <si>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</si>
  <si>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</si>
  <si>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</si>
  <si>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</si>
  <si>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</si>
  <si>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</si>
  <si>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</si>
  <si>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</si>
  <si>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</si>
  <si>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</si>
  <si>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</si>
  <si>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</si>
  <si>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</si>
  <si>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</si>
  <si>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</si>
  <si>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</si>
  <si>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</si>
  <si>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</si>
  <si>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</si>
  <si>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</si>
  <si>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</si>
  <si>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</si>
  <si>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</si>
  <si>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</si>
  <si>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</si>
  <si>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</si>
  <si>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</si>
  <si>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</si>
  <si>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</si>
  <si>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</si>
  <si>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</si>
  <si>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</si>
  <si>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</si>
  <si>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</si>
  <si>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</si>
  <si>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</si>
  <si>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</si>
  <si>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</si>
  <si>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</si>
  <si>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</si>
  <si>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</si>
  <si>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</si>
  <si>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</si>
  <si>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</si>
  <si>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</si>
  <si>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</si>
  <si>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</si>
  <si>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</si>
  <si>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</si>
  <si>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</si>
  <si>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</si>
  <si>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</si>
  <si>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</si>
  <si>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</si>
  <si>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</si>
  <si>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</si>
  <si>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</si>
  <si>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</si>
  <si>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</si>
  <si>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</si>
  <si>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</si>
  <si>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</si>
  <si>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</si>
  <si>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</si>
  <si>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</si>
  <si>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</si>
  <si>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</si>
  <si>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</si>
  <si>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</si>
  <si>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</si>
  <si>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</si>
  <si>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</si>
  <si>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</si>
  <si>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</si>
  <si>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</si>
  <si>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</si>
  <si>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</si>
  <si>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</si>
  <si>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</si>
  <si>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</si>
  <si>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</si>
  <si>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</si>
  <si>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</si>
  <si>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</si>
  <si>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</si>
  <si>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</si>
  <si>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</si>
  <si>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</si>
  <si>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</si>
  <si>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</si>
  <si>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</si>
  <si>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</si>
  <si>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</si>
  <si>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</si>
  <si>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</si>
  <si>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</si>
  <si>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</si>
  <si>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</si>
  <si>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</si>
  <si>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</si>
  <si>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</si>
  <si>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</si>
  <si>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</si>
  <si>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</si>
  <si>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</si>
  <si>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</si>
  <si>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</si>
  <si>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</si>
  <si>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</si>
  <si>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</si>
  <si>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</si>
  <si>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</si>
  <si>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</si>
  <si>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</si>
  <si>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</si>
  <si>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</si>
  <si>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</si>
  <si>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</si>
  <si>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</si>
  <si>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</si>
  <si>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</si>
  <si>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</si>
  <si>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</si>
  <si>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</si>
  <si>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</si>
  <si>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</si>
  <si>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</si>
  <si>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</si>
  <si>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</si>
  <si>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</si>
  <si>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</si>
  <si>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</si>
  <si>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</si>
  <si>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</si>
  <si>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</si>
  <si>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</si>
  <si>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</si>
  <si>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</si>
  <si>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</si>
  <si>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</si>
  <si>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</si>
  <si>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</si>
  <si>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</si>
  <si>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</si>
  <si>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</si>
  <si>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</si>
  <si>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</si>
  <si>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</si>
  <si>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</si>
  <si>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</si>
  <si>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</si>
  <si>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</si>
  <si>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</si>
  <si>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</si>
  <si>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</si>
  <si>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</si>
  <si>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</si>
  <si>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</si>
  <si>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</si>
  <si>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</si>
  <si>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</si>
  <si>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</si>
  <si>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</si>
  <si>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</si>
  <si>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</si>
  <si>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</si>
  <si>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</si>
  <si>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</si>
  <si>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</si>
  <si>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</si>
  <si>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</si>
  <si>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</si>
  <si>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</si>
  <si>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</si>
  <si>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</si>
  <si>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</si>
  <si>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</si>
  <si>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</si>
  <si>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</si>
  <si>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</si>
  <si>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</si>
  <si>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</si>
  <si>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</si>
  <si>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</si>
  <si>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</si>
  <si>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</si>
  <si>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</si>
  <si>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</si>
  <si>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</si>
  <si>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</si>
  <si>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</si>
  <si>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</si>
  <si>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</si>
  <si>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</si>
  <si>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</si>
  <si>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</si>
  <si>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</si>
  <si>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</si>
  <si>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</si>
  <si>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</si>
  <si>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</si>
  <si>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</si>
  <si>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</si>
  <si>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</si>
  <si>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</si>
  <si>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</si>
  <si>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</si>
  <si>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</si>
  <si>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</si>
  <si>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</si>
  <si>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</si>
  <si>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</si>
  <si>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</si>
  <si>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</si>
  <si>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</si>
  <si>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</si>
  <si>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</si>
  <si>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</si>
  <si>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</si>
  <si>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</si>
  <si>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</si>
  <si>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</si>
  <si>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</si>
  <si>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</si>
  <si>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</si>
  <si>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</si>
  <si>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</si>
  <si>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</si>
  <si>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</si>
  <si>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</si>
  <si>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</si>
  <si>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</si>
  <si>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</si>
  <si>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</si>
  <si>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</si>
  <si>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</si>
  <si>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</si>
  <si>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</si>
  <si>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</si>
  <si>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</si>
  <si>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</si>
  <si>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</si>
  <si>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</si>
  <si>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</si>
  <si>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</si>
  <si>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</si>
  <si>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</si>
  <si>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</si>
  <si>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</si>
  <si>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</si>
  <si>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</si>
  <si>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</si>
  <si>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</si>
  <si>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</si>
  <si>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</si>
  <si>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</si>
  <si>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</si>
  <si>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</si>
  <si>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</si>
  <si>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</si>
  <si>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</si>
  <si>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</si>
  <si>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</si>
  <si>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</si>
  <si>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</si>
  <si>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</si>
  <si>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</si>
  <si>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</si>
  <si>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</si>
  <si>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</si>
  <si>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</si>
  <si>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</si>
  <si>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</si>
  <si>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</si>
  <si>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</si>
  <si>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</si>
  <si>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</si>
  <si>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</si>
  <si>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</si>
  <si>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</si>
  <si>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</si>
  <si>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</si>
  <si>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</si>
  <si>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</si>
  <si>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</si>
  <si>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</si>
  <si>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</si>
  <si>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</si>
  <si>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</si>
  <si>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</si>
  <si>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</si>
  <si>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</si>
  <si>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</si>
  <si>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</si>
  <si>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</si>
  <si>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</si>
  <si>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</si>
  <si>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</si>
  <si>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</si>
  <si>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</si>
  <si>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</si>
  <si>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</si>
  <si>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</si>
  <si>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</si>
  <si>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</si>
  <si>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</si>
  <si>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</si>
  <si>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</si>
  <si>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</si>
  <si>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</si>
  <si>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</si>
  <si>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</si>
  <si>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</si>
  <si>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</si>
  <si>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</si>
  <si>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</si>
  <si>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</si>
  <si>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</si>
  <si>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</si>
  <si>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</si>
  <si>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</si>
  <si>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</si>
  <si>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</si>
  <si>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</si>
  <si>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</si>
  <si>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</si>
  <si>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</si>
  <si>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</si>
  <si>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</si>
  <si>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</si>
  <si>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</si>
  <si>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</si>
  <si>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</si>
  <si>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</si>
  <si>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</si>
  <si>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</si>
  <si>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</si>
  <si>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</si>
  <si>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</si>
  <si>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</si>
  <si>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</si>
  <si>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</si>
  <si>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</si>
  <si>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</si>
  <si>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</si>
  <si>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</si>
  <si>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</si>
  <si>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</si>
  <si>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</si>
  <si>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</si>
  <si>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</si>
  <si>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</si>
  <si>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</si>
  <si>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</si>
  <si>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</si>
  <si>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</si>
  <si>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</si>
  <si>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</si>
  <si>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</si>
  <si>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</si>
  <si>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</si>
  <si>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</si>
  <si>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</si>
  <si>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</si>
  <si>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</si>
  <si>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</si>
  <si>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</si>
  <si>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</si>
  <si>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</si>
  <si>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</si>
  <si>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</si>
  <si>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</si>
  <si>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</si>
  <si>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</si>
  <si>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</si>
  <si>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</si>
  <si>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</si>
  <si>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</si>
  <si>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</si>
  <si>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</si>
  <si>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</si>
  <si>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</si>
  <si>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</si>
  <si>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</si>
  <si>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</si>
  <si>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</si>
  <si>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</si>
  <si>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</si>
  <si>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</si>
  <si>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</si>
  <si>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</si>
  <si>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</si>
  <si>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</si>
  <si>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</si>
  <si>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</si>
  <si>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</si>
  <si>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</si>
  <si>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</si>
  <si>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</si>
  <si>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</si>
  <si>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</si>
  <si>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</si>
  <si>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</si>
  <si>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</si>
  <si>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</si>
  <si>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</si>
  <si>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</si>
  <si>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</si>
  <si>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</si>
  <si>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</si>
  <si>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</si>
  <si>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</si>
  <si>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</si>
  <si>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</si>
  <si>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</si>
  <si>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</si>
  <si>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</si>
  <si>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</si>
  <si>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</si>
  <si>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</si>
  <si>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</si>
  <si>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</si>
  <si>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</si>
  <si>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</si>
  <si>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</si>
  <si>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</si>
  <si>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</si>
  <si>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</si>
  <si>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</si>
  <si>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</si>
  <si>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</si>
  <si>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</si>
  <si>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</si>
  <si>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</si>
  <si>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</si>
  <si>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</si>
  <si>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</si>
  <si>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</si>
  <si>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</si>
  <si>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</si>
  <si>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</si>
  <si>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</si>
  <si>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</si>
  <si>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</si>
  <si>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</si>
  <si>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</si>
  <si>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</si>
  <si>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</si>
  <si>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</si>
  <si>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</si>
  <si>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</si>
  <si>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</si>
  <si>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</si>
  <si>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</si>
  <si>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</si>
  <si>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</si>
  <si>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</si>
  <si>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</si>
  <si>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</si>
  <si>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</si>
  <si>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</si>
  <si>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</si>
  <si>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</si>
  <si>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</si>
  <si>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</si>
  <si>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</si>
  <si>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</si>
  <si>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</si>
  <si>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</si>
  <si>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</si>
  <si>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</si>
  <si>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</si>
  <si>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</si>
  <si>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</si>
  <si>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</si>
  <si>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</si>
  <si>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</si>
  <si>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</si>
  <si>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</si>
  <si>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</si>
  <si>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</si>
  <si>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</si>
  <si>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</si>
  <si>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</si>
  <si>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</si>
  <si>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</si>
  <si>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</si>
  <si>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</si>
  <si>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</si>
  <si>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</si>
  <si>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</si>
  <si>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</si>
  <si>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</si>
  <si>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</si>
  <si>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</si>
  <si>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</si>
  <si>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</si>
  <si>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</si>
  <si>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</si>
  <si>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</si>
  <si>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</si>
  <si>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</si>
  <si>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</si>
  <si>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</si>
  <si>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</si>
  <si>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</si>
  <si>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</si>
  <si>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</si>
  <si>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</si>
  <si>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</si>
  <si>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</si>
  <si>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</si>
  <si>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</si>
  <si>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</si>
  <si>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</si>
  <si>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</si>
  <si>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</si>
  <si>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</si>
  <si>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</si>
  <si>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</si>
  <si>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</si>
  <si>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</si>
  <si>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</si>
  <si>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</si>
  <si>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</si>
  <si>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</si>
  <si>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</si>
  <si>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</si>
  <si>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</si>
  <si>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</si>
  <si>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</si>
  <si>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</si>
  <si>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</si>
  <si>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</si>
  <si>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</si>
  <si>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</si>
  <si>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</si>
  <si>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</si>
  <si>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</si>
  <si>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</si>
  <si>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</si>
  <si>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</si>
  <si>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</si>
  <si>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</si>
  <si>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</si>
  <si>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</si>
  <si>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</si>
  <si>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</si>
  <si>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</si>
  <si>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</si>
  <si>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</si>
  <si>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</si>
  <si>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</si>
  <si>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</si>
  <si>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</si>
  <si>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</si>
  <si>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</si>
  <si>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</si>
  <si>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</si>
  <si>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</si>
  <si>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</si>
  <si>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</si>
  <si>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</si>
  <si>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</si>
  <si>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</si>
  <si>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</si>
  <si>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</si>
  <si>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</si>
  <si>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</si>
  <si>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</si>
  <si>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</si>
  <si>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</si>
  <si>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</si>
  <si>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</si>
  <si>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</si>
  <si>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</si>
  <si>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</si>
  <si>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</si>
  <si>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</si>
  <si>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</si>
  <si>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</si>
  <si>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</si>
  <si>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</si>
  <si>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</si>
  <si>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</si>
  <si>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</si>
  <si>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</si>
  <si>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</si>
  <si>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</si>
  <si>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</si>
  <si>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</si>
  <si>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</si>
  <si>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</si>
  <si>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</si>
  <si>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</si>
  <si>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</si>
  <si>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</si>
  <si>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</si>
  <si>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</si>
  <si>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</si>
  <si>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</si>
  <si>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</si>
  <si>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</si>
  <si>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</si>
  <si>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</si>
  <si>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</si>
  <si>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</si>
  <si>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</si>
  <si>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</si>
  <si>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</si>
  <si>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</si>
  <si>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</si>
  <si>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</si>
  <si>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</si>
  <si>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</si>
  <si>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</si>
  <si>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</si>
  <si>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</si>
  <si>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</si>
  <si>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</si>
  <si>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</si>
  <si>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</si>
  <si>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</si>
  <si>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</si>
  <si>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</si>
  <si>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</si>
  <si>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</si>
  <si>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</si>
  <si>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</si>
  <si>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</si>
  <si>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</si>
  <si>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</si>
  <si>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</si>
  <si>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</si>
  <si>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</si>
  <si>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</si>
  <si>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</si>
  <si>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</si>
  <si>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</si>
  <si>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</si>
  <si>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</si>
  <si>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</si>
  <si>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</si>
  <si>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</si>
  <si>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</si>
  <si>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</si>
  <si>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</si>
  <si>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</si>
  <si>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</si>
  <si>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</si>
  <si>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</si>
  <si>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</si>
  <si>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</si>
  <si>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</si>
  <si>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</si>
  <si>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</si>
  <si>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</si>
  <si>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</si>
  <si>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</si>
  <si>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</si>
  <si>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</si>
  <si>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</si>
  <si>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</si>
  <si>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</si>
  <si>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</si>
  <si>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</si>
  <si>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</si>
  <si>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</si>
  <si>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</si>
  <si>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</si>
  <si>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</si>
  <si>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</si>
  <si>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</si>
  <si>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</si>
  <si>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</si>
  <si>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</si>
  <si>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</si>
  <si>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</si>
  <si>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</si>
  <si>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</si>
  <si>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</si>
  <si>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</si>
  <si>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</si>
  <si>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</si>
  <si>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</si>
  <si>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</si>
  <si>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</si>
  <si>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</si>
  <si>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</si>
  <si>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</si>
  <si>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</si>
  <si>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</si>
  <si>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</si>
  <si>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</si>
  <si>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</si>
  <si>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</si>
  <si>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</si>
  <si>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</si>
  <si>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</si>
  <si>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</si>
  <si>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</si>
  <si>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</si>
  <si>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</si>
  <si>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</si>
  <si>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</si>
  <si>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</si>
  <si>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</si>
  <si>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</si>
  <si>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</si>
  <si>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</si>
  <si>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</si>
  <si>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</si>
  <si>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</si>
  <si>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</si>
  <si>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</si>
  <si>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</si>
  <si>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</si>
  <si>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</si>
  <si>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</si>
  <si>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</si>
  <si>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</si>
  <si>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</si>
  <si>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</si>
  <si>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</si>
  <si>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</si>
  <si>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</si>
  <si>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</si>
  <si>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</si>
  <si>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</si>
  <si>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</si>
  <si>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</si>
  <si>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</si>
  <si>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</si>
  <si>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</si>
  <si>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</si>
  <si>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</si>
  <si>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</si>
  <si>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</si>
  <si>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</si>
  <si>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</si>
  <si>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</si>
  <si>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</si>
  <si>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</si>
  <si>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</si>
  <si>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</si>
  <si>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</si>
  <si>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</si>
  <si>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</si>
  <si>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</si>
  <si>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</si>
  <si>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</si>
  <si>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</si>
  <si>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</si>
  <si>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</si>
  <si>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</si>
  <si>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</si>
  <si>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</si>
  <si>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</si>
  <si>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</si>
  <si>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</si>
  <si>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</si>
  <si>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</si>
  <si>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</si>
  <si>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</si>
  <si>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</si>
  <si>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</si>
  <si>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</si>
  <si>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</si>
  <si>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</si>
  <si>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</si>
  <si>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</si>
  <si>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</si>
  <si>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</si>
  <si>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</si>
  <si>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</si>
  <si>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</si>
  <si>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</si>
  <si>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</si>
  <si>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</si>
  <si>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</si>
  <si>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</si>
  <si>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</si>
  <si>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</si>
  <si>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</si>
  <si>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</si>
  <si>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</si>
  <si>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</si>
  <si>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</si>
  <si>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</si>
  <si>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</si>
  <si>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</si>
  <si>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</si>
  <si>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</si>
  <si>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</si>
  <si>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</si>
  <si>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</si>
  <si>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</si>
  <si>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</si>
  <si>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</si>
  <si>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</si>
  <si>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</si>
  <si>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</si>
  <si>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</si>
  <si>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</si>
  <si>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</si>
  <si>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</si>
  <si>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</si>
  <si>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</si>
  <si>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</si>
  <si>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</si>
  <si>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</si>
  <si>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</si>
  <si>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</si>
  <si>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</si>
  <si>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</si>
  <si>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</si>
  <si>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</si>
  <si>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</si>
  <si>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</si>
  <si>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</si>
  <si>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</si>
  <si>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</si>
  <si>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</si>
  <si>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</si>
  <si>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</si>
  <si>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</si>
  <si>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</si>
  <si>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</si>
  <si>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</si>
  <si>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</si>
  <si>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</si>
  <si>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</si>
  <si>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</si>
  <si>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</si>
  <si>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</si>
  <si>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</si>
  <si>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</si>
  <si>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</si>
  <si>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</si>
  <si>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</si>
  <si>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</si>
  <si>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</si>
  <si>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</si>
  <si>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</si>
  <si>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</si>
  <si>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</si>
  <si>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</si>
  <si>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</si>
  <si>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</si>
  <si>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</si>
  <si>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</si>
  <si>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</si>
  <si>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</si>
  <si>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</si>
  <si>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</si>
  <si>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</si>
  <si>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</si>
  <si>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</si>
  <si>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</si>
  <si>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</si>
  <si>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</si>
  <si>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</si>
  <si>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</si>
  <si>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</si>
  <si>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</si>
  <si>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</si>
  <si>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</si>
  <si>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</si>
  <si>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</si>
  <si>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</si>
  <si>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</si>
  <si>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</si>
  <si>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</si>
  <si>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</si>
  <si>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</si>
  <si>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</si>
  <si>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</si>
  <si>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</si>
  <si>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</si>
  <si>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</si>
  <si>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</si>
  <si>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</si>
  <si>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</si>
  <si>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</si>
  <si>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</si>
  <si>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</si>
  <si>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</si>
  <si>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</si>
  <si>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</si>
  <si>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</si>
  <si>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</si>
  <si>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</si>
  <si>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</si>
  <si>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</si>
  <si>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</si>
  <si>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</si>
  <si>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</si>
  <si>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</si>
  <si>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</si>
  <si>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</si>
  <si>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</si>
  <si>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</si>
  <si>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</si>
  <si>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</si>
  <si>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</si>
  <si>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</si>
  <si>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</si>
  <si>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</si>
  <si>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</si>
  <si>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</si>
  <si>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</si>
  <si>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</si>
  <si>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</si>
  <si>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</si>
  <si>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</si>
  <si>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</si>
  <si>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</si>
  <si>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</si>
  <si>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</si>
  <si>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</si>
  <si>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</si>
  <si>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</si>
  <si>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</si>
  <si>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</si>
  <si>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</si>
  <si>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</si>
  <si>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</si>
  <si>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</si>
  <si>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</si>
  <si>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</si>
  <si>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</si>
  <si>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</si>
  <si>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</si>
  <si>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</si>
  <si>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</si>
  <si>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</si>
  <si>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</si>
  <si>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</si>
  <si>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</si>
  <si>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</si>
  <si>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</si>
  <si>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</si>
  <si>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</si>
  <si>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</si>
  <si>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</si>
  <si>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</si>
  <si>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</si>
  <si>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</si>
  <si>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</si>
  <si>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</si>
  <si>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</si>
  <si>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</si>
  <si>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</si>
  <si>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</si>
  <si>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</si>
  <si>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</si>
  <si>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</si>
  <si>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</si>
  <si>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</si>
  <si>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</si>
  <si>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</si>
  <si>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</si>
  <si>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</si>
  <si>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</si>
  <si>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</si>
  <si>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</si>
  <si>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</si>
  <si>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</si>
  <si>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</si>
  <si>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</si>
  <si>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</si>
  <si>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</si>
  <si>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</si>
  <si>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</si>
  <si>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</si>
  <si>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</si>
  <si>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</si>
  <si>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</si>
  <si>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</si>
  <si>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</si>
  <si>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</si>
  <si>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</si>
  <si>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</si>
  <si>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</si>
  <si>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</si>
  <si>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</si>
  <si>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</si>
  <si>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</si>
  <si>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</si>
  <si>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</si>
  <si>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</si>
  <si>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</si>
  <si>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</si>
  <si>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</si>
  <si>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</si>
  <si>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</si>
  <si>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</si>
  <si>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</si>
  <si>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</si>
  <si>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</si>
  <si>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</si>
  <si>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</si>
  <si>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</si>
  <si>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</si>
  <si>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</si>
  <si>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</si>
  <si>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</si>
  <si>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</si>
  <si>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</si>
  <si>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</si>
  <si>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</si>
  <si>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</si>
  <si>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</si>
  <si>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</si>
  <si>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</si>
  <si>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</si>
  <si>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</si>
  <si>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</si>
  <si>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</si>
  <si>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</si>
  <si>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</si>
  <si>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</si>
  <si>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</si>
  <si>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</si>
  <si>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</si>
  <si>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</si>
  <si>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</si>
  <si>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</si>
  <si>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</si>
  <si>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</si>
  <si>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</si>
  <si>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</si>
  <si>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</si>
  <si>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</si>
  <si>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</si>
  <si>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</si>
  <si>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</si>
  <si>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</si>
  <si>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</si>
  <si>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</si>
  <si>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</si>
  <si>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</si>
  <si>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</si>
  <si>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</si>
  <si>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</si>
  <si>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</si>
  <si>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</si>
  <si>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</si>
  <si>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</si>
  <si>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</si>
  <si>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</si>
  <si>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</si>
  <si>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</si>
  <si>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</si>
  <si>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</si>
  <si>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</si>
  <si>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</si>
  <si>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</si>
  <si>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</si>
  <si>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</si>
  <si>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</si>
  <si>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</si>
  <si>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</si>
  <si>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</si>
  <si>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</si>
  <si>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</si>
  <si>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</si>
  <si>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</si>
  <si>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</si>
  <si>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</si>
  <si>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</si>
  <si>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</si>
  <si>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</si>
  <si>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</si>
  <si>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</si>
  <si>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</si>
  <si>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</si>
  <si>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</si>
  <si>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</si>
  <si>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</si>
  <si>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</si>
  <si>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</si>
  <si>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</si>
  <si>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</si>
  <si>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</si>
  <si>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</si>
  <si>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</si>
  <si>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</si>
  <si>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</si>
  <si>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</si>
  <si>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</si>
  <si>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</si>
  <si>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</si>
  <si>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</si>
  <si>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</si>
  <si>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</si>
  <si>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</si>
  <si>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</si>
  <si>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</si>
  <si>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</si>
  <si>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</si>
  <si>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</si>
  <si>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</si>
  <si>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</si>
  <si>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</si>
  <si>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</si>
  <si>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</si>
  <si>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</si>
  <si>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</si>
  <si>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</si>
  <si>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</si>
  <si>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</si>
  <si>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</si>
  <si>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</si>
  <si>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</si>
  <si>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</si>
  <si>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</si>
  <si>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</si>
  <si>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</si>
  <si>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</si>
  <si>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</si>
  <si>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</si>
  <si>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</si>
  <si>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</si>
  <si>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</si>
  <si>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</si>
  <si>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</si>
  <si>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Educational program</t>
  </si>
  <si>
    <t>http://data.europa.eu/snb/learning-opportunity/79343569f3</t>
  </si>
  <si>
    <t>Programme module</t>
  </si>
  <si>
    <t>Program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</si>
  <si>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</si>
  <si>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</si>
  <si>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</si>
  <si>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</si>
  <si>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</si>
  <si>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</si>
  <si>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</si>
  <si>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</si>
  <si>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</si>
  <si>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</si>
  <si>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</si>
  <si>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</si>
  <si>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</si>
  <si>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</si>
  <si>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</si>
  <si>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</si>
  <si>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</si>
  <si>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</si>
  <si>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</si>
  <si>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</si>
  <si>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</si>
  <si>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</si>
  <si>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</si>
  <si>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</si>
  <si>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</si>
  <si>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</si>
  <si>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</si>
  <si>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</si>
  <si>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</si>
  <si>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</si>
  <si>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</si>
  <si>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</si>
  <si>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</si>
  <si>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</si>
  <si>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</si>
  <si>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</si>
  <si>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</si>
  <si>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</si>
  <si>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</si>
  <si>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</si>
  <si>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</si>
  <si>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</si>
  <si>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</si>
  <si>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</si>
  <si>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</si>
  <si>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</si>
  <si>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</si>
  <si>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</si>
  <si>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</si>
  <si>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</si>
  <si>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</si>
  <si>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</si>
  <si>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</si>
  <si>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</si>
  <si>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</si>
  <si>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</si>
  <si>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</si>
  <si>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</si>
  <si>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</si>
  <si>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</si>
  <si>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</si>
  <si>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</si>
  <si>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</si>
  <si>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</si>
  <si>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</si>
  <si>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</si>
  <si>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</si>
  <si>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</si>
  <si>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</si>
  <si>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</si>
  <si>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</si>
  <si>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</si>
  <si>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</si>
  <si>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</si>
  <si>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</si>
  <si>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</si>
  <si>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</si>
  <si>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</si>
  <si>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</si>
  <si>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</si>
  <si>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</si>
  <si>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</si>
  <si>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</si>
  <si>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</si>
  <si>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</si>
  <si>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</si>
  <si>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</si>
  <si>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</si>
  <si>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</si>
  <si>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</si>
  <si>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</si>
  <si>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</si>
  <si>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</si>
  <si>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</si>
  <si>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</si>
  <si>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</si>
  <si>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</si>
  <si>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</si>
  <si>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</si>
  <si>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</si>
  <si>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</si>
  <si>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</si>
  <si>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</si>
  <si>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</si>
  <si>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</si>
  <si>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</si>
  <si>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</si>
  <si>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</si>
  <si>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</si>
  <si>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</si>
  <si>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</si>
  <si>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</si>
  <si>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</si>
  <si>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</si>
  <si>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</si>
  <si>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</si>
  <si>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</si>
  <si>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</si>
  <si>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</si>
  <si>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</si>
  <si>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</si>
  <si>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</si>
  <si>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</si>
  <si>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</si>
  <si>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</si>
  <si>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</si>
  <si>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</si>
  <si>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</si>
  <si>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</si>
  <si>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</si>
  <si>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</si>
  <si>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Musicology</t>
  </si>
  <si>
    <t>The interdisciplinary nature of the Musicology programme creates a rich and stimulating environment for staff and students. You’ll benefit from a variety of departmental research seminar series, performance events and international conferences.</t>
  </si>
  <si>
    <t>Zed</t>
  </si>
  <si>
    <t>StringStrummer</t>
  </si>
  <si>
    <t>55666-XYZ-01</t>
  </si>
  <si>
    <t>Awesome University for Music Lovers</t>
  </si>
  <si>
    <t>Music is The Answer University</t>
  </si>
  <si>
    <t>GB</t>
  </si>
  <si>
    <t>https://i.ya-webdesign.com/images/music-logo-png-12.png</t>
  </si>
  <si>
    <t>https://www.phdportal.com/studies/131710/musicology.html</t>
  </si>
  <si>
    <t xml:space="preserve">Department of Strings </t>
  </si>
  <si>
    <t>Guitar Hero Department</t>
  </si>
  <si>
    <t>http://logos.co/600/royalty-free-clip-art-vector-black-and-white-floral-guitar-logo-by-vector-tradition-sm-7388.jpg</t>
  </si>
  <si>
    <t>MUS-I-C-001</t>
  </si>
  <si>
    <t>Guitar Hero Diploma</t>
  </si>
  <si>
    <t>Blues and Advanced Guitar Lessons</t>
  </si>
  <si>
    <t>Bring Your Core Guitar Skills to Great New Heights with Advanced Understanding and Tools, Master Blues Theory, Scales, Chords, Phrasing and Improvisation, Unravel the Mysteries of Music Theory For Full Fretboard Comprehension</t>
  </si>
  <si>
    <t>Blues to Advanced Guitar Course - Great For Intermediate and Advanced Players</t>
  </si>
  <si>
    <t>Music Technology Foundations</t>
  </si>
  <si>
    <t>Music Technology Foundations draws on  world-class pioneering expertise in making electronic music, to provide a great foundation to a career in music and to enable any learner to use technology in creative ways.
In this course, you’ll learn about the core principles of music technology, including sound, audio, MIDI, effects and sequencing.</t>
  </si>
  <si>
    <t>esayosll@everis.com</t>
  </si>
  <si>
    <t>esayosll</t>
  </si>
  <si>
    <t>http://52.57.141.197/fs/0.8.0/credential/48b514e72a</t>
  </si>
  <si>
    <t>http://52.57.141.197/fs/0.8.0/credential/6cf8e68c43</t>
  </si>
  <si>
    <t>http://52.57.141.197/fs/0.8.0/credential/6dff8a0f87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</si>
</sst>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1"/>
      <color rgb="FF9C0006"/>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sz val="11"/>
      <name val="Calibri"/>
      <scheme val="minor"/>
    </font>
    <font>
      <u/>
      <sz val="11"/>
      <color rgb="FF0000FF"/>
      <name val="Calibri"/>
      <scheme val="minor"/>
    </font>
  </fonts>
  <fills count="17">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lightTrellis">
        <bgColor theme="3" tint="0.79998168889431442"/>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7">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E5E0C6"/>
      </left>
      <right style="medium">
        <color rgb="FFE5E0C6"/>
      </right>
      <top style="medium">
        <color rgb="FFE5E0C6"/>
      </top>
      <bottom style="medium">
        <color rgb="FFE5E0C6"/>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medium">
        <color indexed="64"/>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thin">
        <color rgb="FFB2B2B2"/>
      </right>
      <top/>
      <bottom/>
      <diagonal/>
    </border>
    <border>
      <left/>
      <right style="thin">
        <color rgb="FFB2B2B2"/>
      </right>
      <top style="thin">
        <color rgb="FFB2B2B2"/>
      </top>
      <bottom style="thin">
        <color rgb="FFB2B2B2"/>
      </bottom>
      <diagonal/>
    </border>
    <border>
      <left style="thin">
        <color rgb="FFB2B2B2"/>
      </left>
      <right/>
      <top style="thin">
        <color rgb="FFB2B2B2"/>
      </top>
      <bottom style="thin">
        <color rgb="FFB2B2B2"/>
      </bottom>
      <diagonal/>
    </border>
    <border>
      <left style="thin">
        <color rgb="FFB2B2B2"/>
      </left>
      <right/>
      <top/>
      <bottom/>
      <diagonal/>
    </border>
  </borders>
  <cellStyleXfs count="4">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cellStyleXfs>
  <cellXfs count="290">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protection locked="0"/>
    </xf>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8" borderId="9" xfId="0" applyFont="1" applyFill="1" applyBorder="1"/>
    <xf numFmtId="0" fontId="0" fillId="0" borderId="8" xfId="0" applyFont="1" applyBorder="1"/>
    <xf numFmtId="0" fontId="0" fillId="0" borderId="9" xfId="0" applyFont="1" applyBorder="1"/>
    <xf numFmtId="0" fontId="0" fillId="0" borderId="10" xfId="0" applyFont="1" applyBorder="1"/>
    <xf numFmtId="0" fontId="0" fillId="8" borderId="8" xfId="0" applyFont="1" applyFill="1" applyBorder="1"/>
    <xf numFmtId="0" fontId="0" fillId="8" borderId="10" xfId="0" applyFont="1" applyFill="1" applyBorder="1"/>
    <xf numFmtId="0" fontId="0" fillId="0" borderId="11" xfId="0" applyFont="1" applyBorder="1"/>
    <xf numFmtId="0" fontId="0" fillId="0" borderId="12" xfId="0" applyFont="1" applyBorder="1"/>
    <xf numFmtId="0" fontId="0" fillId="0" borderId="13" xfId="0" applyFont="1" applyBorder="1"/>
    <xf numFmtId="0" fontId="0" fillId="8" borderId="14" xfId="0" applyFont="1" applyFill="1" applyBorder="1"/>
    <xf numFmtId="0" fontId="0" fillId="8" borderId="15" xfId="0" applyFont="1" applyFill="1" applyBorder="1" applyAlignment="1">
      <alignment horizontal="left" vertical="top"/>
    </xf>
    <xf numFmtId="0" fontId="0" fillId="8" borderId="15" xfId="0" applyFont="1" applyFill="1" applyBorder="1"/>
    <xf numFmtId="0" fontId="0" fillId="0" borderId="14" xfId="0" applyFont="1" applyBorder="1"/>
    <xf numFmtId="0" fontId="0" fillId="0" borderId="15" xfId="0" applyFont="1" applyBorder="1"/>
    <xf numFmtId="0" fontId="0" fillId="0" borderId="16" xfId="0" applyFont="1" applyBorder="1"/>
    <xf numFmtId="0" fontId="0" fillId="9" borderId="17" xfId="0" applyFont="1" applyFill="1" applyBorder="1"/>
    <xf numFmtId="0" fontId="0" fillId="9" borderId="18" xfId="0" applyFont="1" applyFill="1" applyBorder="1"/>
    <xf numFmtId="0" fontId="6" fillId="9" borderId="19" xfId="2" applyFont="1" applyFill="1" applyBorder="1"/>
    <xf numFmtId="0" fontId="0" fillId="0" borderId="17" xfId="0" applyFont="1" applyBorder="1"/>
    <xf numFmtId="0" fontId="0" fillId="0" borderId="18" xfId="0" applyFont="1" applyBorder="1"/>
    <xf numFmtId="0" fontId="0" fillId="0" borderId="19" xfId="0" applyFont="1" applyBorder="1"/>
    <xf numFmtId="0" fontId="0" fillId="9" borderId="19" xfId="0" applyFont="1" applyFill="1" applyBorder="1"/>
    <xf numFmtId="0" fontId="0" fillId="8" borderId="15" xfId="3" applyNumberFormat="1" applyFont="1" applyFill="1" applyBorder="1" applyAlignment="1"/>
    <xf numFmtId="0" fontId="0" fillId="8" borderId="16" xfId="0" applyFont="1" applyFill="1" applyBorder="1"/>
    <xf numFmtId="0" fontId="0" fillId="0" borderId="15" xfId="3" applyNumberFormat="1" applyFont="1" applyBorder="1" applyAlignment="1"/>
    <xf numFmtId="0" fontId="0" fillId="8" borderId="9" xfId="3" applyNumberFormat="1" applyFont="1" applyFill="1" applyBorder="1" applyAlignment="1"/>
    <xf numFmtId="0" fontId="0" fillId="0" borderId="15" xfId="0" applyFont="1" applyBorder="1" applyAlignment="1">
      <alignment horizontal="left" vertical="top"/>
    </xf>
    <xf numFmtId="0" fontId="0" fillId="0" borderId="9" xfId="0" applyFont="1" applyBorder="1" applyAlignment="1">
      <alignment horizontal="left" vertical="top"/>
    </xf>
    <xf numFmtId="0" fontId="0" fillId="9" borderId="17" xfId="0" applyFont="1" applyFill="1" applyBorder="1" applyAlignment="1">
      <alignment horizontal="left" vertical="top"/>
    </xf>
    <xf numFmtId="0" fontId="0" fillId="9" borderId="18" xfId="0" applyFont="1" applyFill="1" applyBorder="1" applyAlignment="1">
      <alignment horizontal="left" vertical="top"/>
    </xf>
    <xf numFmtId="0" fontId="0" fillId="9" borderId="19" xfId="0" applyFont="1" applyFill="1" applyBorder="1" applyAlignment="1">
      <alignment vertical="top" wrapText="1"/>
    </xf>
    <xf numFmtId="0" fontId="0" fillId="0" borderId="11" xfId="0" applyFont="1" applyBorder="1" applyAlignment="1">
      <alignment horizontal="left" vertical="top"/>
    </xf>
    <xf numFmtId="0" fontId="0" fillId="0" borderId="12" xfId="0" applyFont="1" applyBorder="1" applyAlignment="1">
      <alignment horizontal="left" vertical="top"/>
    </xf>
    <xf numFmtId="0" fontId="0" fillId="0" borderId="13" xfId="0" applyFont="1" applyBorder="1" applyAlignment="1">
      <alignment wrapText="1"/>
    </xf>
    <xf numFmtId="0" fontId="0" fillId="3" borderId="0" xfId="0" applyFont="1" applyFill="1" applyAlignment="1" applyProtection="1">
      <alignment vertical="top" wrapText="1"/>
    </xf>
    <xf numFmtId="0" fontId="5" fillId="3" borderId="0" xfId="0" applyNumberFormat="1" applyFont="1" applyFill="1" applyBorder="1" applyAlignment="1" applyProtection="1">
      <alignment vertical="top" wrapText="1"/>
    </xf>
    <xf numFmtId="0" fontId="6" fillId="0" borderId="16" xfId="2" applyBorder="1"/>
    <xf numFmtId="0" fontId="5" fillId="3" borderId="20" xfId="0" applyNumberFormat="1" applyFont="1" applyFill="1" applyBorder="1" applyAlignment="1" applyProtection="1">
      <alignment vertical="top" wrapText="1"/>
    </xf>
    <xf numFmtId="0" fontId="5" fillId="3" borderId="23"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6"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6"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6" fillId="0" borderId="6" xfId="2" applyBorder="1" applyAlignment="1" applyProtection="1">
      <alignment horizontal="left" vertical="center" wrapText="1"/>
      <protection locked="0"/>
    </xf>
    <xf numFmtId="0" fontId="0" fillId="0" borderId="0" xfId="0" applyAlignment="1">
      <alignment vertical="center"/>
    </xf>
    <xf numFmtId="0" fontId="18"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7" fillId="0" borderId="4" xfId="0" applyFont="1" applyBorder="1" applyAlignment="1">
      <alignment vertical="center"/>
    </xf>
    <xf numFmtId="0" fontId="2" fillId="0" borderId="24" xfId="0" applyFont="1" applyBorder="1" applyAlignment="1">
      <alignment vertical="center" wrapText="1"/>
    </xf>
    <xf numFmtId="0" fontId="2" fillId="0" borderId="23" xfId="0" applyFont="1" applyBorder="1" applyAlignment="1">
      <alignment vertical="center" wrapText="1"/>
    </xf>
    <xf numFmtId="0" fontId="0" fillId="0" borderId="0" xfId="0" applyFont="1" applyAlignment="1" applyProtection="1">
      <alignment vertical="center" wrapText="1"/>
    </xf>
    <xf numFmtId="0" fontId="0" fillId="0" borderId="23"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5" xfId="0" applyNumberFormat="1" applyFont="1" applyFill="1" applyBorder="1" applyAlignment="1" applyProtection="1">
      <alignment vertical="center" wrapText="1"/>
    </xf>
    <xf numFmtId="0" fontId="0" fillId="0" borderId="23" xfId="0" applyBorder="1" applyAlignment="1" applyProtection="1">
      <alignment vertical="center" wrapText="1"/>
      <protection locked="0"/>
    </xf>
    <xf numFmtId="0" fontId="0" fillId="0" borderId="0" xfId="0" applyBorder="1" applyAlignment="1" applyProtection="1">
      <alignment vertical="center" wrapText="1"/>
    </xf>
    <xf numFmtId="0" fontId="0" fillId="0" borderId="23"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20" xfId="0" applyFont="1" applyFill="1" applyBorder="1" applyAlignment="1">
      <alignment vertical="center" wrapText="1"/>
    </xf>
    <xf numFmtId="0" fontId="2" fillId="0" borderId="0" xfId="0" applyFont="1" applyFill="1" applyAlignment="1">
      <alignment vertical="center" wrapText="1"/>
    </xf>
    <xf numFmtId="0" fontId="2" fillId="0" borderId="20"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20"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1"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20" xfId="0" applyBorder="1" applyAlignment="1">
      <alignment vertical="center" wrapText="1"/>
    </xf>
    <xf numFmtId="0" fontId="0" fillId="0" borderId="20" xfId="0" applyNumberFormat="1" applyBorder="1" applyAlignment="1" applyProtection="1">
      <alignment vertical="center" wrapText="1"/>
      <protection locked="0"/>
    </xf>
    <xf numFmtId="0" fontId="0" fillId="0" borderId="20"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20" xfId="0" applyFont="1" applyBorder="1" applyAlignment="1">
      <alignment horizontal="left" vertical="center"/>
    </xf>
    <xf numFmtId="0" fontId="1" fillId="2" borderId="20" xfId="1" applyBorder="1" applyAlignment="1">
      <alignment horizontal="left" vertical="center" wrapText="1"/>
    </xf>
    <xf numFmtId="0" fontId="14" fillId="2" borderId="20" xfId="1" applyFont="1" applyBorder="1" applyAlignment="1" applyProtection="1">
      <alignment horizontal="left" vertical="center" wrapText="1"/>
    </xf>
    <xf numFmtId="0" fontId="5" fillId="3" borderId="20" xfId="0" applyNumberFormat="1" applyFont="1" applyFill="1" applyBorder="1" applyAlignment="1" applyProtection="1">
      <alignment horizontal="left" vertical="top" wrapText="1"/>
    </xf>
    <xf numFmtId="0" fontId="5" fillId="3" borderId="21"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14" fontId="0" fillId="0" borderId="0" xfId="0" applyNumberFormat="1" applyAlignment="1" applyProtection="1">
      <alignment vertical="center" wrapText="1"/>
    </xf>
    <xf numFmtId="0" fontId="0" fillId="0" borderId="23" xfId="0" applyBorder="1" applyAlignment="1">
      <alignment vertical="center"/>
    </xf>
    <xf numFmtId="0" fontId="0" fillId="0" borderId="26" xfId="0" applyBorder="1" applyAlignment="1">
      <alignment vertical="center" wrapText="1"/>
    </xf>
    <xf numFmtId="0" fontId="5" fillId="3" borderId="23"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2" borderId="7" xfId="0" applyFont="1" applyFill="1" applyBorder="1" applyAlignment="1" applyProtection="1">
      <alignment vertical="center" wrapText="1"/>
      <protection locked="0"/>
    </xf>
    <xf numFmtId="14" fontId="0" fillId="12" borderId="7" xfId="0" applyNumberFormat="1" applyFont="1" applyFill="1" applyBorder="1" applyAlignment="1" applyProtection="1">
      <alignment vertical="center" wrapText="1"/>
      <protection locked="0"/>
    </xf>
    <xf numFmtId="0" fontId="0" fillId="11" borderId="0" xfId="0" applyFont="1" applyFill="1" applyBorder="1" applyAlignment="1" applyProtection="1">
      <alignment vertical="center" wrapText="1"/>
      <protection locked="0"/>
    </xf>
    <xf numFmtId="0" fontId="0" fillId="11" borderId="0" xfId="0" applyFont="1" applyFill="1" applyBorder="1" applyAlignment="1" applyProtection="1">
      <alignment vertical="center" wrapText="1"/>
    </xf>
    <xf numFmtId="0" fontId="0" fillId="11" borderId="0" xfId="0" applyFont="1" applyFill="1" applyAlignment="1" applyProtection="1">
      <alignment vertical="center" wrapText="1"/>
      <protection locked="0"/>
    </xf>
    <xf numFmtId="0" fontId="0" fillId="11" borderId="0" xfId="0" applyFont="1" applyFill="1" applyAlignment="1">
      <alignment vertical="center" wrapText="1"/>
    </xf>
    <xf numFmtId="0" fontId="0" fillId="12" borderId="7"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6" fillId="0" borderId="0" xfId="0" applyFont="1" applyAlignment="1" applyProtection="1">
      <alignment vertical="center" wrapText="1"/>
    </xf>
    <xf numFmtId="0" fontId="11" fillId="0" borderId="20" xfId="1" applyFont="1" applyFill="1" applyBorder="1" applyAlignment="1" applyProtection="1">
      <alignment horizontal="left" vertical="center" wrapText="1"/>
      <protection locked="0"/>
    </xf>
    <xf numFmtId="0" fontId="9" fillId="13" borderId="0" xfId="0" applyFont="1" applyFill="1"/>
    <xf numFmtId="0" fontId="9" fillId="13" borderId="2" xfId="0" applyFont="1" applyFill="1" applyBorder="1" applyAlignment="1" applyProtection="1">
      <alignment vertical="top" wrapText="1"/>
    </xf>
    <xf numFmtId="0" fontId="9" fillId="13" borderId="2" xfId="0" applyNumberFormat="1" applyFont="1" applyFill="1" applyBorder="1" applyAlignment="1" applyProtection="1">
      <alignment horizontal="left" vertical="top" wrapText="1"/>
    </xf>
    <xf numFmtId="0" fontId="2" fillId="3" borderId="27" xfId="0" applyNumberFormat="1" applyFont="1" applyFill="1" applyBorder="1" applyAlignment="1" applyProtection="1">
      <alignment horizontal="left" vertical="top" wrapText="1"/>
    </xf>
    <xf numFmtId="0" fontId="2" fillId="3" borderId="27" xfId="0" applyNumberFormat="1" applyFont="1" applyFill="1" applyBorder="1" applyAlignment="1" applyProtection="1">
      <alignmen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6" fillId="0" borderId="0" xfId="1" applyFont="1" applyFill="1" applyBorder="1" applyAlignment="1">
      <alignment vertical="center" wrapText="1"/>
    </xf>
    <xf numFmtId="0" fontId="16" fillId="0" borderId="0" xfId="1" applyFont="1" applyFill="1" applyAlignment="1">
      <alignment vertical="center" wrapText="1"/>
    </xf>
    <xf numFmtId="0" fontId="11" fillId="0" borderId="0" xfId="1" applyFont="1" applyFill="1" applyAlignment="1">
      <alignment vertical="center" wrapText="1"/>
    </xf>
    <xf numFmtId="0" fontId="0" fillId="13" borderId="0" xfId="0" applyFill="1"/>
    <xf numFmtId="0" fontId="0" fillId="10" borderId="0" xfId="0" applyFont="1" applyFill="1" applyAlignment="1" applyProtection="1">
      <alignment vertical="center" wrapText="1"/>
    </xf>
    <xf numFmtId="14" fontId="0" fillId="11" borderId="0" xfId="0" applyNumberFormat="1" applyFont="1" applyFill="1" applyAlignment="1">
      <alignment vertical="center" wrapText="1"/>
    </xf>
    <xf numFmtId="0" fontId="0" fillId="10" borderId="23" xfId="0" applyFont="1" applyFill="1" applyBorder="1" applyAlignment="1" applyProtection="1">
      <alignment vertical="center" wrapText="1"/>
    </xf>
    <xf numFmtId="14" fontId="0" fillId="11"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7" borderId="0" xfId="0" applyFont="1" applyFill="1" applyAlignment="1" applyProtection="1">
      <alignment vertical="center" wrapText="1"/>
    </xf>
    <xf numFmtId="0" fontId="6" fillId="11" borderId="0" xfId="2" applyFont="1" applyFill="1" applyBorder="1" applyAlignment="1" applyProtection="1">
      <alignment vertical="center" wrapText="1"/>
    </xf>
    <xf numFmtId="0" fontId="0" fillId="0" borderId="0" xfId="0" applyFont="1" applyAlignment="1">
      <alignment vertical="center"/>
    </xf>
    <xf numFmtId="0" fontId="0" fillId="10" borderId="20" xfId="0" applyFont="1" applyFill="1" applyBorder="1" applyAlignment="1" applyProtection="1">
      <alignment horizontal="left" vertical="center" wrapText="1"/>
    </xf>
    <xf numFmtId="0" fontId="0" fillId="10" borderId="20" xfId="0" applyFont="1" applyFill="1" applyBorder="1" applyAlignment="1" applyProtection="1">
      <alignment vertical="center" wrapText="1"/>
    </xf>
    <xf numFmtId="0" fontId="0" fillId="0" borderId="0" xfId="0" applyFont="1" applyFill="1" applyAlignment="1">
      <alignment vertical="center" wrapText="1"/>
    </xf>
    <xf numFmtId="0" fontId="0" fillId="7" borderId="0" xfId="0" applyFont="1" applyFill="1" applyAlignment="1">
      <alignment vertical="center" wrapText="1"/>
    </xf>
    <xf numFmtId="0" fontId="0" fillId="5" borderId="0" xfId="0" applyFont="1" applyFill="1" applyAlignment="1">
      <alignment vertical="center" wrapText="1"/>
    </xf>
    <xf numFmtId="0" fontId="22" fillId="0" borderId="0" xfId="0" applyFont="1" applyAlignment="1" applyProtection="1">
      <alignment vertical="center" wrapText="1"/>
    </xf>
    <xf numFmtId="14" fontId="0" fillId="11" borderId="0" xfId="0" applyNumberFormat="1" applyFont="1" applyFill="1" applyAlignment="1" applyProtection="1">
      <alignment vertical="center" wrapText="1"/>
      <protection locked="0"/>
    </xf>
    <xf numFmtId="0" fontId="5" fillId="3" borderId="30" xfId="0" applyFont="1" applyFill="1" applyBorder="1" applyAlignment="1" applyProtection="1">
      <alignment vertical="top" wrapText="1"/>
    </xf>
    <xf numFmtId="0" fontId="5" fillId="3" borderId="31" xfId="0" applyNumberFormat="1" applyFont="1" applyFill="1" applyBorder="1" applyAlignment="1" applyProtection="1">
      <alignment vertical="top" wrapText="1"/>
    </xf>
    <xf numFmtId="0" fontId="2" fillId="3" borderId="24" xfId="0" applyNumberFormat="1" applyFont="1" applyFill="1" applyBorder="1" applyAlignment="1" applyProtection="1">
      <alignment vertical="top" wrapText="1"/>
    </xf>
    <xf numFmtId="0" fontId="2" fillId="3" borderId="24" xfId="0" applyFont="1" applyFill="1" applyBorder="1" applyAlignment="1">
      <alignment vertical="top" wrapText="1"/>
    </xf>
    <xf numFmtId="0" fontId="0" fillId="4" borderId="23" xfId="0" applyFill="1" applyBorder="1" applyAlignment="1">
      <alignment vertical="center" wrapText="1"/>
    </xf>
    <xf numFmtId="0" fontId="0" fillId="14" borderId="0" xfId="0" applyFill="1" applyBorder="1" applyAlignment="1">
      <alignment vertical="center" wrapText="1"/>
    </xf>
    <xf numFmtId="0" fontId="2" fillId="14" borderId="2" xfId="0" applyFont="1" applyFill="1" applyBorder="1" applyAlignment="1">
      <alignment vertical="top" wrapText="1"/>
    </xf>
    <xf numFmtId="0" fontId="0" fillId="13" borderId="0" xfId="0" applyFill="1" applyAlignment="1" applyProtection="1">
      <alignment vertical="center" wrapText="1"/>
      <protection locked="0"/>
    </xf>
    <xf numFmtId="14" fontId="0" fillId="13" borderId="0" xfId="0" applyNumberFormat="1" applyFill="1" applyAlignment="1" applyProtection="1">
      <alignment vertical="center" wrapText="1"/>
      <protection locked="0"/>
    </xf>
    <xf numFmtId="0" fontId="6" fillId="13" borderId="0" xfId="2" applyFill="1" applyAlignment="1" applyProtection="1">
      <alignment vertical="center" wrapText="1"/>
      <protection locked="0"/>
    </xf>
    <xf numFmtId="0" fontId="0" fillId="13" borderId="0" xfId="0" applyFill="1" applyAlignment="1">
      <alignment vertical="center" wrapText="1"/>
    </xf>
    <xf numFmtId="0" fontId="5" fillId="3" borderId="30" xfId="0" applyFont="1" applyFill="1" applyBorder="1" applyAlignment="1">
      <alignment vertical="top" wrapText="1"/>
    </xf>
    <xf numFmtId="0" fontId="5" fillId="3" borderId="31" xfId="0" applyFont="1" applyFill="1" applyBorder="1" applyAlignment="1">
      <alignment vertical="top" wrapText="1"/>
    </xf>
    <xf numFmtId="0" fontId="6" fillId="9" borderId="19" xfId="2" applyFill="1" applyBorder="1"/>
    <xf numFmtId="0" fontId="6" fillId="8" borderId="15" xfId="2" applyFill="1" applyBorder="1"/>
    <xf numFmtId="0" fontId="6" fillId="8" borderId="16" xfId="2" applyFill="1" applyBorder="1"/>
    <xf numFmtId="0" fontId="0" fillId="0" borderId="0" xfId="0" applyAlignment="1">
      <alignment wrapText="1"/>
    </xf>
    <xf numFmtId="0" fontId="0" fillId="0" borderId="8" xfId="0" applyFont="1" applyBorder="1" applyAlignment="1">
      <alignment wrapText="1"/>
    </xf>
    <xf numFmtId="0" fontId="6" fillId="0" borderId="10" xfId="2" applyBorder="1"/>
    <xf numFmtId="0" fontId="0" fillId="0" borderId="14" xfId="0" applyFont="1" applyBorder="1" applyAlignment="1"/>
    <xf numFmtId="0" fontId="0" fillId="9" borderId="18" xfId="0" applyFont="1" applyFill="1" applyBorder="1" applyAlignment="1">
      <alignment horizontal="left"/>
    </xf>
    <xf numFmtId="0" fontId="0" fillId="0" borderId="18" xfId="0" applyFont="1" applyBorder="1" applyAlignment="1">
      <alignment horizontal="left"/>
    </xf>
    <xf numFmtId="0" fontId="0" fillId="0" borderId="12" xfId="0" applyFont="1" applyBorder="1" applyAlignment="1">
      <alignment horizontal="left"/>
    </xf>
    <xf numFmtId="0" fontId="6" fillId="0" borderId="19" xfId="2" applyBorder="1"/>
    <xf numFmtId="0" fontId="6" fillId="0" borderId="13" xfId="2" applyBorder="1"/>
    <xf numFmtId="0" fontId="0" fillId="15" borderId="0" xfId="0" applyFill="1"/>
    <xf numFmtId="0" fontId="2" fillId="15" borderId="0" xfId="0" applyNumberFormat="1" applyFont="1" applyFill="1" applyAlignment="1" applyProtection="1">
      <alignment vertical="top" wrapText="1"/>
    </xf>
    <xf numFmtId="0" fontId="0" fillId="15" borderId="0" xfId="0" applyFill="1" applyAlignment="1" applyProtection="1">
      <alignment vertical="center" wrapText="1"/>
      <protection locked="0"/>
    </xf>
    <xf numFmtId="0" fontId="2" fillId="15" borderId="2" xfId="0" applyFont="1" applyFill="1" applyBorder="1" applyAlignment="1">
      <alignment vertical="top" wrapText="1"/>
    </xf>
    <xf numFmtId="0" fontId="0" fillId="15" borderId="0" xfId="0" applyFill="1" applyBorder="1" applyAlignment="1" applyProtection="1">
      <alignment vertical="center" wrapText="1"/>
      <protection locked="0"/>
    </xf>
    <xf numFmtId="0" fontId="0" fillId="0" borderId="15" xfId="0" applyFont="1" applyFill="1" applyBorder="1"/>
    <xf numFmtId="0" fontId="0" fillId="0" borderId="14" xfId="0" applyFont="1" applyFill="1" applyBorder="1"/>
    <xf numFmtId="0" fontId="6" fillId="0" borderId="16" xfId="2" applyFont="1" applyFill="1" applyBorder="1"/>
    <xf numFmtId="0" fontId="6" fillId="0" borderId="16" xfId="2" applyFill="1" applyBorder="1"/>
    <xf numFmtId="0" fontId="0" fillId="0" borderId="16" xfId="0" applyFont="1" applyFill="1" applyBorder="1"/>
    <xf numFmtId="0" fontId="0" fillId="0" borderId="9" xfId="0" applyFont="1" applyFill="1" applyBorder="1"/>
    <xf numFmtId="0" fontId="0" fillId="0" borderId="8" xfId="0" applyFont="1" applyFill="1" applyBorder="1"/>
    <xf numFmtId="0" fontId="0" fillId="0" borderId="10" xfId="0" applyFont="1" applyFill="1" applyBorder="1"/>
    <xf numFmtId="0" fontId="0" fillId="11"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0" fontId="0" fillId="0" borderId="0" xfId="0" applyNumberFormat="1" applyFill="1" applyAlignment="1" applyProtection="1">
      <alignment vertical="center" wrapText="1"/>
    </xf>
    <xf numFmtId="0"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0" fontId="0" fillId="13" borderId="7" xfId="0" applyFont="1" applyFill="1" applyBorder="1" applyAlignment="1" applyProtection="1">
      <alignment vertical="center" wrapText="1"/>
      <protection locked="0"/>
    </xf>
    <xf numFmtId="0" fontId="6" fillId="16" borderId="7" xfId="2" applyFont="1" applyFill="1" applyBorder="1" applyAlignment="1" applyProtection="1">
      <alignment vertical="center" wrapText="1"/>
      <protection locked="0"/>
    </xf>
    <xf numFmtId="0" fontId="0" fillId="0" borderId="32" xfId="0" applyNumberFormat="1" applyBorder="1" applyAlignment="1" applyProtection="1">
      <alignment vertical="center" wrapText="1"/>
    </xf>
    <xf numFmtId="0" fontId="23" fillId="0" borderId="20" xfId="1" applyFont="1" applyFill="1" applyBorder="1" applyAlignment="1" applyProtection="1">
      <alignment horizontal="left" vertical="center" wrapText="1"/>
      <protection locked="0"/>
    </xf>
    <xf numFmtId="0" fontId="0" fillId="0" borderId="0" xfId="0" applyNumberFormat="1" applyBorder="1" applyAlignment="1" applyProtection="1">
      <alignment horizontal="left" vertical="center" wrapText="1"/>
      <protection locked="0"/>
    </xf>
    <xf numFmtId="0" fontId="23" fillId="0" borderId="0" xfId="2" applyFont="1" applyBorder="1" applyAlignment="1" applyProtection="1">
      <alignment vertical="center" wrapText="1"/>
      <protection locked="0"/>
    </xf>
    <xf numFmtId="0" fontId="0" fillId="0" borderId="33" xfId="0" applyNumberFormat="1" applyFill="1" applyBorder="1" applyAlignment="1" applyProtection="1">
      <alignment vertical="center" wrapText="1"/>
    </xf>
    <xf numFmtId="0" fontId="23" fillId="0" borderId="34" xfId="1" applyFont="1" applyFill="1" applyBorder="1" applyAlignment="1" applyProtection="1">
      <alignment vertical="center" wrapText="1"/>
      <protection locked="0"/>
    </xf>
    <xf numFmtId="0" fontId="23" fillId="0" borderId="35" xfId="1" applyFont="1" applyFill="1" applyBorder="1" applyAlignment="1" applyProtection="1">
      <alignment vertical="center" wrapText="1"/>
      <protection locked="0"/>
    </xf>
    <xf numFmtId="164" fontId="0" fillId="0" borderId="36" xfId="0" applyNumberFormat="1" applyBorder="1" applyAlignment="1" applyProtection="1">
      <alignment vertical="center" wrapText="1"/>
      <protection locked="0"/>
    </xf>
    <xf numFmtId="1" fontId="0" fillId="0" borderId="0" xfId="0" applyNumberFormat="1" applyAlignment="1" applyProtection="1">
      <alignment vertical="center" wrapText="1"/>
      <protection locked="0"/>
    </xf>
    <xf numFmtId="0" fontId="24" fillId="0" borderId="0" xfId="2" applyFont="1" applyAlignment="1" applyProtection="1">
      <alignment vertical="center" wrapText="1"/>
      <protection locked="0"/>
    </xf>
    <xf numFmtId="0" fontId="6" fillId="8" borderId="16" xfId="2" applyFont="1" applyFill="1" applyBorder="1"/>
    <xf numFmtId="0" fontId="2" fillId="3" borderId="28" xfId="0" applyFont="1" applyFill="1" applyBorder="1" applyAlignment="1" applyProtection="1">
      <alignment horizontal="center" vertical="top" wrapText="1"/>
    </xf>
    <xf numFmtId="0" fontId="2" fillId="3" borderId="29" xfId="0" applyFont="1" applyFill="1" applyBorder="1" applyAlignment="1" applyProtection="1">
      <alignment horizontal="center" vertical="top" wrapText="1"/>
    </xf>
    <xf numFmtId="0" fontId="2" fillId="3" borderId="28" xfId="0" applyFont="1" applyFill="1" applyBorder="1" applyAlignment="1">
      <alignment horizontal="center" vertical="top" wrapText="1"/>
    </xf>
    <xf numFmtId="0" fontId="2" fillId="3" borderId="29" xfId="0" applyFont="1" applyFill="1" applyBorder="1" applyAlignment="1">
      <alignment horizontal="center" vertical="top" wrapText="1"/>
    </xf>
    <xf numFmtId="0" fontId="9" fillId="13" borderId="28" xfId="0" applyFont="1" applyFill="1" applyBorder="1" applyAlignment="1">
      <alignment horizontal="center" vertical="top" wrapText="1"/>
    </xf>
    <xf numFmtId="0" fontId="9" fillId="13" borderId="29" xfId="0" applyFont="1" applyFill="1" applyBorder="1" applyAlignment="1">
      <alignment horizontal="center" vertical="top" wrapText="1"/>
    </xf>
    <xf numFmtId="0" fontId="7" fillId="0" borderId="22" xfId="0" applyFont="1" applyBorder="1" applyAlignment="1">
      <alignment horizontal="center" vertical="center"/>
    </xf>
    <xf numFmtId="0" fontId="7" fillId="0" borderId="4" xfId="0" applyFont="1" applyBorder="1" applyAlignment="1">
      <alignment horizontal="center" vertical="center"/>
    </xf>
    <xf numFmtId="0" fontId="15" fillId="0" borderId="23" xfId="0" applyFont="1" applyBorder="1" applyAlignment="1">
      <alignment horizontal="center" vertical="center"/>
    </xf>
    <xf numFmtId="0" fontId="15" fillId="0" borderId="0" xfId="0" applyFont="1" applyBorder="1" applyAlignment="1">
      <alignment horizontal="center" vertical="center"/>
    </xf>
    <xf numFmtId="0" fontId="19" fillId="0" borderId="0" xfId="0" applyFont="1" applyBorder="1" applyAlignment="1">
      <alignment horizontal="center" vertical="center"/>
    </xf>
    <xf numFmtId="0" fontId="19" fillId="0" borderId="0" xfId="0" applyFont="1" applyAlignment="1">
      <alignment horizontal="center" vertical="center"/>
    </xf>
  </cellXfs>
  <cellStyles count="4">
    <cellStyle name="Hipervínculo" xfId="2" builtinId="8"/>
    <cellStyle name="Incorrecto" xfId="1" builtinId="27"/>
    <cellStyle name="Normal" xfId="0" builtinId="0"/>
    <cellStyle name="Normal 2" xfId="3"/>
  </cellStyles>
  <dxfs count="1442">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FFC7C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64850</xdr:colOff>
      <xdr:row>2</xdr:row>
      <xdr:rowOff>1060450</xdr:rowOff>
    </xdr:to>
    <xdr:pic>
      <xdr:nvPicPr>
        <xdr:cNvPr id="8" name="Picture 7">
          <a:extLst>
            <a:ext uri="{FF2B5EF4-FFF2-40B4-BE49-F238E27FC236}">
              <a16:creationId xmlns=""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64850</xdr:colOff>
      <xdr:row>2</xdr:row>
      <xdr:rowOff>1349668</xdr:rowOff>
    </xdr:to>
    <xdr:pic>
      <xdr:nvPicPr>
        <xdr:cNvPr id="7" name="Picture 6">
          <a:extLst>
            <a:ext uri="{FF2B5EF4-FFF2-40B4-BE49-F238E27FC236}">
              <a16:creationId xmlns=""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94797</xdr:rowOff>
    </xdr:from>
    <xdr:to>
      <xdr:col>1</xdr:col>
      <xdr:colOff>1588</xdr:colOff>
      <xdr:row>13</xdr:row>
      <xdr:rowOff>293005</xdr:rowOff>
    </xdr:to>
    <xdr:sp macro="[0]!Sheet1.AddCredentials" textlink="">
      <xdr:nvSpPr>
        <xdr:cNvPr id="2" name="Rectangle 1">
          <a:extLst>
            <a:ext uri="{FF2B5EF4-FFF2-40B4-BE49-F238E27FC236}">
              <a16:creationId xmlns="" xmlns:a16="http://schemas.microsoft.com/office/drawing/2014/main" id="{6B2BA97F-491D-4111-A41F-0288F9B2FD2A}"/>
            </a:ext>
          </a:extLst>
        </xdr:cNvPr>
        <xdr:cNvSpPr/>
      </xdr:nvSpPr>
      <xdr:spPr>
        <a:xfrm>
          <a:off x="68489" y="2706235"/>
          <a:ext cx="1542824" cy="56333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r>
          <a:br>
            <a:rPr lang="hu-HU" sz="1400"/>
          </a:br>
          <a:r>
            <a:rPr lang="en-GB" sz="1400"/>
            <a:t>Credentials</a:t>
          </a:r>
        </a:p>
      </xdr:txBody>
    </xdr:sp>
    <xdr:clientData/>
  </xdr:twoCellAnchor>
  <xdr:twoCellAnchor editAs="absolute">
    <xdr:from>
      <xdr:col>0</xdr:col>
      <xdr:colOff>71438</xdr:colOff>
      <xdr:row>8</xdr:row>
      <xdr:rowOff>1103298</xdr:rowOff>
    </xdr:from>
    <xdr:to>
      <xdr:col>1</xdr:col>
      <xdr:colOff>3175</xdr:colOff>
      <xdr:row>10</xdr:row>
      <xdr:rowOff>127000</xdr:rowOff>
    </xdr:to>
    <xdr:sp macro="[0]!Sheet1.DeleteCredentials" textlink="">
      <xdr:nvSpPr>
        <xdr:cNvPr id="3" name="Rectangle 2">
          <a:extLst>
            <a:ext uri="{FF2B5EF4-FFF2-40B4-BE49-F238E27FC236}">
              <a16:creationId xmlns="" xmlns:a16="http://schemas.microsoft.com/office/drawing/2014/main" id="{83C11A62-C34D-474A-B11F-B627396875C1}"/>
            </a:ext>
          </a:extLst>
        </xdr:cNvPr>
        <xdr:cNvSpPr/>
      </xdr:nvSpPr>
      <xdr:spPr>
        <a:xfrm>
          <a:off x="71438" y="3135298"/>
          <a:ext cx="1531937" cy="555640"/>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r>
            <a:rPr lang="hu-HU" sz="1400">
              <a:solidFill>
                <a:schemeClr val="accent1"/>
              </a:solidFill>
            </a:rPr>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1585913</xdr:colOff>
      <xdr:row>13</xdr:row>
      <xdr:rowOff>274187</xdr:rowOff>
    </xdr:to>
    <xdr:sp macro="[0]!Sheet2.AddPersons" textlink="">
      <xdr:nvSpPr>
        <xdr:cNvPr id="2" name="Rectangle 1">
          <a:extLst>
            <a:ext uri="{FF2B5EF4-FFF2-40B4-BE49-F238E27FC236}">
              <a16:creationId xmlns="" xmlns:a16="http://schemas.microsoft.com/office/drawing/2014/main" id="{3898C87C-0EC0-4509-B8AC-407B5B2F652E}"/>
            </a:ext>
          </a:extLst>
        </xdr:cNvPr>
        <xdr:cNvSpPr/>
      </xdr:nvSpPr>
      <xdr:spPr>
        <a:xfrm>
          <a:off x="70316" y="2341563"/>
          <a:ext cx="1525122" cy="56787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71438</xdr:colOff>
      <xdr:row>14</xdr:row>
      <xdr:rowOff>1569</xdr:rowOff>
    </xdr:from>
    <xdr:to>
      <xdr:col>1</xdr:col>
      <xdr:colOff>0</xdr:colOff>
      <xdr:row>15</xdr:row>
      <xdr:rowOff>245703</xdr:rowOff>
    </xdr:to>
    <xdr:sp macro="[0]!Sheet2.DeletePersons" textlink="">
      <xdr:nvSpPr>
        <xdr:cNvPr id="3" name="Rectangle 2">
          <a:extLst>
            <a:ext uri="{FF2B5EF4-FFF2-40B4-BE49-F238E27FC236}">
              <a16:creationId xmlns="" xmlns:a16="http://schemas.microsoft.com/office/drawing/2014/main" id="{AEF21AA6-0FF6-472D-83E0-74A1FDBD59D3}"/>
            </a:ext>
          </a:extLst>
        </xdr:cNvPr>
        <xdr:cNvSpPr/>
      </xdr:nvSpPr>
      <xdr:spPr>
        <a:xfrm>
          <a:off x="71438" y="2643169"/>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1</xdr:col>
      <xdr:colOff>1588</xdr:colOff>
      <xdr:row>13</xdr:row>
      <xdr:rowOff>307254</xdr:rowOff>
    </xdr:to>
    <xdr:sp macro="[0]!Sheet3.AddOrganisations" textlink="">
      <xdr:nvSpPr>
        <xdr:cNvPr id="2" name="Rectangle 1">
          <a:extLst>
            <a:ext uri="{FF2B5EF4-FFF2-40B4-BE49-F238E27FC236}">
              <a16:creationId xmlns="" xmlns:a16="http://schemas.microsoft.com/office/drawing/2014/main" id="{B27C06CE-4CFE-4E06-9DFA-979D0566EDE8}"/>
            </a:ext>
          </a:extLst>
        </xdr:cNvPr>
        <xdr:cNvSpPr/>
      </xdr:nvSpPr>
      <xdr:spPr>
        <a:xfrm>
          <a:off x="55563" y="2030557"/>
          <a:ext cx="1555750" cy="578572"/>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1</xdr:col>
      <xdr:colOff>3175</xdr:colOff>
      <xdr:row>15</xdr:row>
      <xdr:rowOff>317159</xdr:rowOff>
    </xdr:to>
    <xdr:sp macro="[0]!Sheet3.DeleteOrganisations" textlink="">
      <xdr:nvSpPr>
        <xdr:cNvPr id="4" name="Rectangle 3">
          <a:extLst>
            <a:ext uri="{FF2B5EF4-FFF2-40B4-BE49-F238E27FC236}">
              <a16:creationId xmlns="" xmlns:a16="http://schemas.microsoft.com/office/drawing/2014/main" id="{B1A0FE1D-6B31-4129-B78D-6E837CCC7DE9}"/>
            </a:ext>
          </a:extLst>
        </xdr:cNvPr>
        <xdr:cNvSpPr/>
      </xdr:nvSpPr>
      <xdr:spPr>
        <a:xfrm>
          <a:off x="71438" y="2730500"/>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58965</xdr:colOff>
      <xdr:row>12</xdr:row>
      <xdr:rowOff>73030</xdr:rowOff>
    </xdr:from>
    <xdr:to>
      <xdr:col>0</xdr:col>
      <xdr:colOff>1571625</xdr:colOff>
      <xdr:row>13</xdr:row>
      <xdr:rowOff>331799</xdr:rowOff>
    </xdr:to>
    <xdr:sp macro="[0]!Sheet4.AddAchievements" textlink="">
      <xdr:nvSpPr>
        <xdr:cNvPr id="2" name="Rectangle 1">
          <a:extLst>
            <a:ext uri="{FF2B5EF4-FFF2-40B4-BE49-F238E27FC236}">
              <a16:creationId xmlns="" xmlns:a16="http://schemas.microsoft.com/office/drawing/2014/main" id="{71873FD2-502A-43E8-ACDC-6DAB449DFF52}"/>
            </a:ext>
          </a:extLst>
        </xdr:cNvPr>
        <xdr:cNvSpPr/>
      </xdr:nvSpPr>
      <xdr:spPr>
        <a:xfrm>
          <a:off x="58965" y="2381255"/>
          <a:ext cx="1512660" cy="62389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55562</xdr:colOff>
      <xdr:row>14</xdr:row>
      <xdr:rowOff>53981</xdr:rowOff>
    </xdr:from>
    <xdr:to>
      <xdr:col>0</xdr:col>
      <xdr:colOff>1587499</xdr:colOff>
      <xdr:row>15</xdr:row>
      <xdr:rowOff>307640</xdr:rowOff>
    </xdr:to>
    <xdr:sp macro="[0]!Sheet4.DeleteAchievements" textlink="">
      <xdr:nvSpPr>
        <xdr:cNvPr id="3" name="Rectangle 2">
          <a:extLst>
            <a:ext uri="{FF2B5EF4-FFF2-40B4-BE49-F238E27FC236}">
              <a16:creationId xmlns="" xmlns:a16="http://schemas.microsoft.com/office/drawing/2014/main" id="{87FDDF07-E618-4BEE-B056-DCC4918EC6B3}"/>
            </a:ext>
          </a:extLst>
        </xdr:cNvPr>
        <xdr:cNvSpPr/>
      </xdr:nvSpPr>
      <xdr:spPr>
        <a:xfrm>
          <a:off x="55562" y="3095631"/>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79374</xdr:colOff>
      <xdr:row>12</xdr:row>
      <xdr:rowOff>79377</xdr:rowOff>
    </xdr:from>
    <xdr:to>
      <xdr:col>0</xdr:col>
      <xdr:colOff>1585913</xdr:colOff>
      <xdr:row>13</xdr:row>
      <xdr:rowOff>342900</xdr:rowOff>
    </xdr:to>
    <xdr:sp macro="[0]!Sheet13.AddLOs" textlink="">
      <xdr:nvSpPr>
        <xdr:cNvPr id="2" name="Rectangle 1">
          <a:extLst>
            <a:ext uri="{FF2B5EF4-FFF2-40B4-BE49-F238E27FC236}">
              <a16:creationId xmlns="" xmlns:a16="http://schemas.microsoft.com/office/drawing/2014/main" id="{EBA94CD6-B231-4331-99BC-F303EE8D4B59}"/>
            </a:ext>
          </a:extLst>
        </xdr:cNvPr>
        <xdr:cNvSpPr/>
      </xdr:nvSpPr>
      <xdr:spPr>
        <a:xfrm>
          <a:off x="79374" y="1968502"/>
          <a:ext cx="1516064" cy="628648"/>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55562</xdr:rowOff>
    </xdr:from>
    <xdr:to>
      <xdr:col>1</xdr:col>
      <xdr:colOff>1588</xdr:colOff>
      <xdr:row>15</xdr:row>
      <xdr:rowOff>317500</xdr:rowOff>
    </xdr:to>
    <xdr:sp macro="[0]!Sheet13.DeleteLOs" textlink="">
      <xdr:nvSpPr>
        <xdr:cNvPr id="3" name="Rectangle 2">
          <a:extLst>
            <a:ext uri="{FF2B5EF4-FFF2-40B4-BE49-F238E27FC236}">
              <a16:creationId xmlns="" xmlns:a16="http://schemas.microsoft.com/office/drawing/2014/main" id="{FBFB78F2-FE20-496F-A233-99F13CEF4669}"/>
            </a:ext>
          </a:extLst>
        </xdr:cNvPr>
        <xdr:cNvSpPr/>
      </xdr:nvSpPr>
      <xdr:spPr>
        <a:xfrm>
          <a:off x="79376" y="2674937"/>
          <a:ext cx="1531937" cy="62706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1587500</xdr:colOff>
      <xdr:row>13</xdr:row>
      <xdr:rowOff>276839</xdr:rowOff>
    </xdr:to>
    <xdr:sp macro="[0]!Sheet5.AddActivities" textlink="">
      <xdr:nvSpPr>
        <xdr:cNvPr id="2" name="Rectangle 1">
          <a:extLst>
            <a:ext uri="{FF2B5EF4-FFF2-40B4-BE49-F238E27FC236}">
              <a16:creationId xmlns="" xmlns:a16="http://schemas.microsoft.com/office/drawing/2014/main" id="{CD0C0F34-1767-4752-92BC-5F9D3EB8C997}"/>
            </a:ext>
          </a:extLst>
        </xdr:cNvPr>
        <xdr:cNvSpPr/>
      </xdr:nvSpPr>
      <xdr:spPr>
        <a:xfrm>
          <a:off x="47626" y="2492375"/>
          <a:ext cx="1539874" cy="57846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350834</xdr:rowOff>
    </xdr:from>
    <xdr:to>
      <xdr:col>0</xdr:col>
      <xdr:colOff>1579562</xdr:colOff>
      <xdr:row>15</xdr:row>
      <xdr:rowOff>239368</xdr:rowOff>
    </xdr:to>
    <xdr:sp macro="[0]!Sheet5.DeleteActivities" textlink="">
      <xdr:nvSpPr>
        <xdr:cNvPr id="3" name="Rectangle 2">
          <a:extLst>
            <a:ext uri="{FF2B5EF4-FFF2-40B4-BE49-F238E27FC236}">
              <a16:creationId xmlns="" xmlns:a16="http://schemas.microsoft.com/office/drawing/2014/main" id="{9D61A470-B948-4D1E-92C2-A5B58AF6DCA2}"/>
            </a:ext>
          </a:extLst>
        </xdr:cNvPr>
        <xdr:cNvSpPr/>
      </xdr:nvSpPr>
      <xdr:spPr>
        <a:xfrm>
          <a:off x="47625" y="3167060"/>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126999</xdr:colOff>
      <xdr:row>12</xdr:row>
      <xdr:rowOff>72572</xdr:rowOff>
    </xdr:from>
    <xdr:to>
      <xdr:col>0</xdr:col>
      <xdr:colOff>1540286</xdr:colOff>
      <xdr:row>13</xdr:row>
      <xdr:rowOff>287875</xdr:rowOff>
    </xdr:to>
    <xdr:sp macro="[0]!Sheet6.AddAssessments" textlink="">
      <xdr:nvSpPr>
        <xdr:cNvPr id="2" name="Rectangle 1">
          <a:extLst>
            <a:ext uri="{FF2B5EF4-FFF2-40B4-BE49-F238E27FC236}">
              <a16:creationId xmlns="" xmlns:a16="http://schemas.microsoft.com/office/drawing/2014/main" id="{A7D72684-D674-4598-8C9B-F2F2B98AAD58}"/>
            </a:ext>
          </a:extLst>
        </xdr:cNvPr>
        <xdr:cNvSpPr/>
      </xdr:nvSpPr>
      <xdr:spPr>
        <a:xfrm>
          <a:off x="126999" y="2658754"/>
          <a:ext cx="1420091" cy="584757"/>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Assessments</a:t>
          </a:r>
        </a:p>
      </xdr:txBody>
    </xdr:sp>
    <xdr:clientData/>
  </xdr:twoCellAnchor>
  <xdr:twoCellAnchor editAs="absolute">
    <xdr:from>
      <xdr:col>0</xdr:col>
      <xdr:colOff>111125</xdr:colOff>
      <xdr:row>14</xdr:row>
      <xdr:rowOff>11092</xdr:rowOff>
    </xdr:from>
    <xdr:to>
      <xdr:col>0</xdr:col>
      <xdr:colOff>1555750</xdr:colOff>
      <xdr:row>15</xdr:row>
      <xdr:rowOff>264751</xdr:rowOff>
    </xdr:to>
    <xdr:sp macro="[0]!Sheet6.DeleteAssessments" textlink="">
      <xdr:nvSpPr>
        <xdr:cNvPr id="3" name="Rectangle 2">
          <a:extLst>
            <a:ext uri="{FF2B5EF4-FFF2-40B4-BE49-F238E27FC236}">
              <a16:creationId xmlns="" xmlns:a16="http://schemas.microsoft.com/office/drawing/2014/main" id="{F2AA0B05-6580-487A-BD56-FED1B6FD7381}"/>
            </a:ext>
          </a:extLst>
        </xdr:cNvPr>
        <xdr:cNvSpPr/>
      </xdr:nvSpPr>
      <xdr:spPr>
        <a:xfrm>
          <a:off x="111125" y="2722542"/>
          <a:ext cx="1444625"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1</xdr:col>
      <xdr:colOff>3175</xdr:colOff>
      <xdr:row>13</xdr:row>
      <xdr:rowOff>272509</xdr:rowOff>
    </xdr:to>
    <xdr:sp macro="[0]!Sheet7.AddEntitlements" textlink="">
      <xdr:nvSpPr>
        <xdr:cNvPr id="2" name="Rectangle 1">
          <a:extLst>
            <a:ext uri="{FF2B5EF4-FFF2-40B4-BE49-F238E27FC236}">
              <a16:creationId xmlns="" xmlns:a16="http://schemas.microsoft.com/office/drawing/2014/main" id="{C48CBA24-08F6-4010-BEE5-5986EC35F511}"/>
            </a:ext>
          </a:extLst>
        </xdr:cNvPr>
        <xdr:cNvSpPr/>
      </xdr:nvSpPr>
      <xdr:spPr>
        <a:xfrm>
          <a:off x="79375" y="2220334"/>
          <a:ext cx="1524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r>
          <a:br>
            <a:rPr lang="hu-HU" sz="1400"/>
          </a:br>
          <a:r>
            <a:rPr lang="en-GB" sz="1400"/>
            <a:t>Entitlements</a:t>
          </a:r>
        </a:p>
      </xdr:txBody>
    </xdr:sp>
    <xdr:clientData/>
  </xdr:twoCellAnchor>
  <xdr:twoCellAnchor editAs="absolute">
    <xdr:from>
      <xdr:col>0</xdr:col>
      <xdr:colOff>71438</xdr:colOff>
      <xdr:row>13</xdr:row>
      <xdr:rowOff>349260</xdr:rowOff>
    </xdr:from>
    <xdr:to>
      <xdr:col>1</xdr:col>
      <xdr:colOff>3175</xdr:colOff>
      <xdr:row>15</xdr:row>
      <xdr:rowOff>237794</xdr:rowOff>
    </xdr:to>
    <xdr:sp macro="[0]!Sheet7.DeleteEntitlements" textlink="">
      <xdr:nvSpPr>
        <xdr:cNvPr id="3" name="Rectangle 2">
          <a:extLst>
            <a:ext uri="{FF2B5EF4-FFF2-40B4-BE49-F238E27FC236}">
              <a16:creationId xmlns="" xmlns:a16="http://schemas.microsoft.com/office/drawing/2014/main" id="{648A5710-340E-4FD6-913B-7FE18A9F7D88}"/>
            </a:ext>
          </a:extLst>
        </xdr:cNvPr>
        <xdr:cNvSpPr/>
      </xdr:nvSpPr>
      <xdr:spPr>
        <a:xfrm>
          <a:off x="71438" y="2873385"/>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id="12" name="Credentials" displayName="Credentials" ref="B12:BK13" totalsRowShown="0" headerRowDxfId="1441" dataDxfId="1440">
  <autoFilter ref="B12:BK13"/>
  <tableColumns count="62">
    <tableColumn id="1" name="EuropassCredential.title.Property.content.en" dataDxfId="1439">
      <calculatedColumnFormula>B$11</calculatedColumnFormula>
    </tableColumn>
    <tableColumn id="2" name="EuropassCredential.title.Property.content.bg" dataDxfId="1438">
      <calculatedColumnFormula>C$11</calculatedColumnFormula>
    </tableColumn>
    <tableColumn id="3" name="EuropassCredential.title.Property.content.cs" dataDxfId="1437">
      <calculatedColumnFormula>D$11</calculatedColumnFormula>
    </tableColumn>
    <tableColumn id="4" name="EuropassCredential.title.Property.content.da" dataDxfId="1436">
      <calculatedColumnFormula>E$11</calculatedColumnFormula>
    </tableColumn>
    <tableColumn id="5" name="EuropassCredential.title.Property.content.de" dataDxfId="1435">
      <calculatedColumnFormula>F$11</calculatedColumnFormula>
    </tableColumn>
    <tableColumn id="6" name="EuropassCredential.title.Property.content.el" dataDxfId="1434">
      <calculatedColumnFormula>G$11</calculatedColumnFormula>
    </tableColumn>
    <tableColumn id="7" name="EuropassCredential.title.Property.content.es" dataDxfId="1433">
      <calculatedColumnFormula>H$11</calculatedColumnFormula>
    </tableColumn>
    <tableColumn id="8" name="EuropassCredential.title.Property.content.et" dataDxfId="1432">
      <calculatedColumnFormula>I$11</calculatedColumnFormula>
    </tableColumn>
    <tableColumn id="9" name="EuropassCredential.title.Property.content.fi" dataDxfId="1431">
      <calculatedColumnFormula>J$11</calculatedColumnFormula>
    </tableColumn>
    <tableColumn id="10" name="EuropassCredential.title.Property.content.fr" dataDxfId="1430">
      <calculatedColumnFormula>K$11</calculatedColumnFormula>
    </tableColumn>
    <tableColumn id="11" name="EuropassCredential.title.Property.content.ga" dataDxfId="1429">
      <calculatedColumnFormula>L$11</calculatedColumnFormula>
    </tableColumn>
    <tableColumn id="12" name="EuropassCredential.title.Property.content.hr" dataDxfId="1428">
      <calculatedColumnFormula>M$11</calculatedColumnFormula>
    </tableColumn>
    <tableColumn id="13" name="EuropassCredential.title.Property.content.hu" dataDxfId="1427">
      <calculatedColumnFormula>N$11</calculatedColumnFormula>
    </tableColumn>
    <tableColumn id="14" name="EuropassCredential.title.Property.content.is" dataDxfId="1426">
      <calculatedColumnFormula>O$11</calculatedColumnFormula>
    </tableColumn>
    <tableColumn id="15" name="EuropassCredential.title.Property.content.it" dataDxfId="1425">
      <calculatedColumnFormula>P$11</calculatedColumnFormula>
    </tableColumn>
    <tableColumn id="16" name="EuropassCredential.title.Property.content.lt" dataDxfId="1424">
      <calculatedColumnFormula>Q$11</calculatedColumnFormula>
    </tableColumn>
    <tableColumn id="17" name="EuropassCredential.title.Property.content.lv" dataDxfId="1423">
      <calculatedColumnFormula>R$11</calculatedColumnFormula>
    </tableColumn>
    <tableColumn id="18" name="EuropassCredential.title.Property.content.mt" dataDxfId="1422">
      <calculatedColumnFormula>S$11</calculatedColumnFormula>
    </tableColumn>
    <tableColumn id="19" name="EuropassCredential.title.Property.content.nl" dataDxfId="1421">
      <calculatedColumnFormula>T$11</calculatedColumnFormula>
    </tableColumn>
    <tableColumn id="20" name="EuropassCredential.title.Property.content.no" dataDxfId="1420">
      <calculatedColumnFormula>U$11</calculatedColumnFormula>
    </tableColumn>
    <tableColumn id="21" name="EuropassCredential.title.Property.content.pl" dataDxfId="1419">
      <calculatedColumnFormula>V$11</calculatedColumnFormula>
    </tableColumn>
    <tableColumn id="22" name="EuropassCredential.title.Property.content.pt" dataDxfId="1418">
      <calculatedColumnFormula>W$11</calculatedColumnFormula>
    </tableColumn>
    <tableColumn id="23" name="EuropassCredential.title.Property.content.ro" dataDxfId="1417">
      <calculatedColumnFormula>X$11</calculatedColumnFormula>
    </tableColumn>
    <tableColumn id="24" name="EuropassCredential.title.Property.content.sk" dataDxfId="1416">
      <calculatedColumnFormula>Y$11</calculatedColumnFormula>
    </tableColumn>
    <tableColumn id="25" name="EuropassCredential.title.Property.content.sl" dataDxfId="1415">
      <calculatedColumnFormula>Z$11</calculatedColumnFormula>
    </tableColumn>
    <tableColumn id="26" name="EuropassCredential.title.Property.content.sv" dataDxfId="1414">
      <calculatedColumnFormula>AA$11</calculatedColumnFormula>
    </tableColumn>
    <tableColumn id="27" name="EuropassCredential.description.Property.content.en" dataDxfId="1413">
      <calculatedColumnFormula>IF(ISBLANK(AB$11),"",AB$11)</calculatedColumnFormula>
    </tableColumn>
    <tableColumn id="28" name="EuropassCredential.description.Property.content.bg" dataDxfId="1412">
      <calculatedColumnFormula>AC$11</calculatedColumnFormula>
    </tableColumn>
    <tableColumn id="29" name="EuropassCredential.description.Property.content.cs" dataDxfId="1411">
      <calculatedColumnFormula>AD$11</calculatedColumnFormula>
    </tableColumn>
    <tableColumn id="30" name="EuropassCredential.description.Property.content.da" dataDxfId="1410">
      <calculatedColumnFormula>AE$11</calculatedColumnFormula>
    </tableColumn>
    <tableColumn id="31" name="EuropassCredential.description.Property.content.de" dataDxfId="1409">
      <calculatedColumnFormula>AF$11</calculatedColumnFormula>
    </tableColumn>
    <tableColumn id="32" name="EuropassCredential.description.Property.content.el" dataDxfId="1408">
      <calculatedColumnFormula>AG$11</calculatedColumnFormula>
    </tableColumn>
    <tableColumn id="33" name="EuropassCredential.description.Property.content.es" dataDxfId="1407">
      <calculatedColumnFormula>AH$11</calculatedColumnFormula>
    </tableColumn>
    <tableColumn id="34" name="EuropassCredential.description.Property.content.et" dataDxfId="1406">
      <calculatedColumnFormula>AI$11</calculatedColumnFormula>
    </tableColumn>
    <tableColumn id="35" name="EuropassCredential.description.Property.content.fi" dataDxfId="1405">
      <calculatedColumnFormula>AJ$11</calculatedColumnFormula>
    </tableColumn>
    <tableColumn id="36" name="EuropassCredential.description.Property.content.fr" dataDxfId="1404">
      <calculatedColumnFormula>AK$11</calculatedColumnFormula>
    </tableColumn>
    <tableColumn id="37" name="EuropassCredential.description.Property.content.ga" dataDxfId="1403">
      <calculatedColumnFormula>AL$11</calculatedColumnFormula>
    </tableColumn>
    <tableColumn id="38" name="EuropassCredential.description.Property.content.hr" dataDxfId="1402">
      <calculatedColumnFormula>AM$11</calculatedColumnFormula>
    </tableColumn>
    <tableColumn id="39" name="EuropassCredential.description.Property.content.hu" dataDxfId="1401">
      <calculatedColumnFormula>AN$11</calculatedColumnFormula>
    </tableColumn>
    <tableColumn id="40" name="EuropassCredential.description.Property.content.is" dataDxfId="1400">
      <calculatedColumnFormula>AO$11</calculatedColumnFormula>
    </tableColumn>
    <tableColumn id="41" name="EuropassCredential.description.Property.content.it" dataDxfId="1399">
      <calculatedColumnFormula>AP$11</calculatedColumnFormula>
    </tableColumn>
    <tableColumn id="42" name="EuropassCredential.description.Property.content.lt" dataDxfId="1398">
      <calculatedColumnFormula>AQ$11</calculatedColumnFormula>
    </tableColumn>
    <tableColumn id="43" name="EuropassCredential.description.Property.content.lv" dataDxfId="1397">
      <calculatedColumnFormula>AR$11</calculatedColumnFormula>
    </tableColumn>
    <tableColumn id="44" name="EuropassCredential.description.Property.content.mt" dataDxfId="1396">
      <calculatedColumnFormula>AS$11</calculatedColumnFormula>
    </tableColumn>
    <tableColumn id="45" name="EuropassCredential.description.Property.content.nl" dataDxfId="1395">
      <calculatedColumnFormula>AT$11</calculatedColumnFormula>
    </tableColumn>
    <tableColumn id="46" name="EuropassCredential.description.Property.content.no" dataDxfId="1394">
      <calculatedColumnFormula>AU$11</calculatedColumnFormula>
    </tableColumn>
    <tableColumn id="47" name="EuropassCredential.description.Property.content.pl" dataDxfId="1393">
      <calculatedColumnFormula>AV$11</calculatedColumnFormula>
    </tableColumn>
    <tableColumn id="48" name="EuropassCredential.description.Property.content.pt" dataDxfId="1392">
      <calculatedColumnFormula>AW$11</calculatedColumnFormula>
    </tableColumn>
    <tableColumn id="49" name="EuropassCredential.description.Property.content.ro" dataDxfId="1391">
      <calculatedColumnFormula>AX$11</calculatedColumnFormula>
    </tableColumn>
    <tableColumn id="50" name="EuropassCredential.description.Property.content.sk" dataDxfId="1390">
      <calculatedColumnFormula>AY$11</calculatedColumnFormula>
    </tableColumn>
    <tableColumn id="51" name="EuropassCredential.description.Property.content.sl" dataDxfId="1389">
      <calculatedColumnFormula>AZ$11</calculatedColumnFormula>
    </tableColumn>
    <tableColumn id="52" name="EuropassCredential.description.Property.content.sv" dataDxfId="1388">
      <calculatedColumnFormula>BA$11</calculatedColumnFormula>
    </tableColumn>
    <tableColumn id="53" name="VerifiableCredential.issuanceDate.Property." dataDxfId="1387">
      <calculatedColumnFormula>BB$11</calculatedColumnFormula>
    </tableColumn>
    <tableColumn id="54" name="VerifiableCredential.expirationDate.Property." dataDxfId="1386">
      <calculatedColumnFormula>IF(ISBLANK(BC$11),"",BC$11)</calculatedColumnFormula>
    </tableColumn>
    <tableColumn id="55" name="EuropassCredential.type.Property.content." dataDxfId="1385"/>
    <tableColumn id="56" name="EuropassCredential.type.Property.codeId." dataDxfId="1384">
      <calculatedColumnFormula array="1">MultiMatch(Credentials[[#This Row],[EuropassCredential.type.Property.content.]],Vocabularies[name],0)</calculatedColumnFormula>
    </tableColumn>
    <tableColumn id="58" name="EuropassCredential.credentialSubject.Reference.Person." dataDxfId="1383">
      <calculatedColumnFormula>Persons[[#This Row],[Person.fullName.Property.content.en]]</calculatedColumnFormula>
    </tableColumn>
    <tableColumn id="57" name="EuropassCredential.credentialSubject.Association.Person." dataDxfId="1382">
      <calculatedColumnFormula array="1">MultiMatch(Credentials[[#This Row],[EuropassCredential.credentialSubject.Reference.Person.]],PersonNames,0)</calculatedColumnFormula>
    </tableColumn>
    <tableColumn id="59" name="EuropassCredential.issuer.Reference.Organisation." dataDxfId="1381">
      <calculatedColumnFormula>BH$11</calculatedColumnFormula>
    </tableColumn>
    <tableColumn id="60" name="EuropassCredential.issuer.Association.Organisation." dataDxfId="1380">
      <calculatedColumnFormula array="1">MultiMatch(Credentials[[#This Row],[EuropassCredential.issuer.Reference.Organisation.]],OrganisationNames,0)</calculatedColumnFormula>
    </tableColumn>
    <tableColumn id="61" name="EuropassCredential.contains.NestedProperty.contentUrl.1." dataDxfId="1379"/>
    <tableColumn id="63" name="EuropassCredential.display.Property.html." dataDxfId="1378">
      <calculatedColumnFormula>BK$11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4" name="Persons" displayName="Persons" ref="B12:BV13" totalsRowShown="0" headerRowDxfId="1377" dataDxfId="1376">
  <autoFilter ref="B12:BV13"/>
  <tableColumns count="73">
    <tableColumn id="1" name="Person.fullName.Property.content.en" dataDxfId="1375">
      <calculatedColumnFormula>CONCATENATE(Persons[[#This Row],[Person.givenNames.Property.content.en]]," ",Persons[[#This Row],[Person.familyName.Property.content.en]])</calculatedColumnFormula>
    </tableColumn>
    <tableColumn id="27" name="Person.givenNames.Property.content.en" dataDxfId="1374"/>
    <tableColumn id="53" name="Person.familyName.Property.content.en" dataDxfId="1373"/>
    <tableColumn id="60" name="Person.dateOfBirth.Property." dataDxfId="1372"/>
    <tableColumn id="52" name="Column2" dataDxfId="1371"/>
    <tableColumn id="51" name="Column1" dataDxfId="1370">
      <calculatedColumnFormula array="1">MultiMatch(Persons[[#This Row],[Column2]],Vocabularies[name],0)</calculatedColumnFormula>
    </tableColumn>
    <tableColumn id="61" name="Person.nationalId.content.NestedProperty." dataDxfId="1369"/>
    <tableColumn id="78" name="Person.nationalId.identifierSchemeAgencyName.NestedProperty." dataDxfId="1368">
      <calculatedColumnFormula>IF(ISBLANK(I$11),"",I$11)</calculatedColumnFormula>
    </tableColumn>
    <tableColumn id="62" name="Person.nationalId.spatialId.NestedProperty." dataDxfId="1367">
      <calculatedColumnFormula>IFERROR(VLOOKUP(Persons[[#This Row],[Person.nationalId.identifierSchemeAgencyName.NestedProperty.]],References!$A$44:$F$325,5),"")</calculatedColumnFormula>
    </tableColumn>
    <tableColumn id="79" name="Person.placeOfBirth.spatialCode.Reference." dataDxfId="1366">
      <calculatedColumnFormula>IF(ISBLANK(K$11),"",K$11)</calculatedColumnFormula>
    </tableColumn>
    <tableColumn id="80" name="Person.placeOfBirth.spatialCode.NestedAssociation.code." dataDxfId="1365">
      <calculatedColumnFormula array="1">MultiMatch(Persons[[#This Row],[Person.placeOfBirth.spatialCode.Reference.]],Vocabularies[name],0)</calculatedColumnFormula>
    </tableColumn>
    <tableColumn id="50" name="Person.citizenshipCountry.citizenshipCountry.MultiReference." dataDxfId="1364">
      <calculatedColumnFormula>IF(ISBLANK(M$11),"",M$11)</calculatedColumnFormula>
    </tableColumn>
    <tableColumn id="49" name="Person.citizenshipCountry.citizenshipCountry.Association.Code." dataDxfId="1363">
      <calculatedColumnFormula array="1">MultiMatch(Persons[[#This Row],[Person.citizenshipCountry.citizenshipCountry.MultiReference.]],Vocabularies[name],0)</calculatedColumnFormula>
    </tableColumn>
    <tableColumn id="64" name="Person.identifier#1.identifierSchemeId.NestedProperty." dataDxfId="1362">
      <calculatedColumnFormula>IF(ISBLANK(O$11),"",O$11)</calculatedColumnFormula>
    </tableColumn>
    <tableColumn id="65" name="Person.identifier#1.content.NestedProperty." dataDxfId="1361"/>
    <tableColumn id="66" name="Person.identifier#2.identifierSchemeId.NestedProperty." dataDxfId="1360">
      <calculatedColumnFormula>IF(ISBLANK(Q$11),"",Q$11)</calculatedColumnFormula>
    </tableColumn>
    <tableColumn id="67" name="Person.identifier#2.content.NestedProperty." dataDxfId="1359"/>
    <tableColumn id="68" name="Person.contactPoint#1.email.NestedProperty.id.1." dataDxfId="1358" dataCellStyle="Hipervínculo"/>
    <tableColumn id="69" name="Person.contactPoint#1.walletAddress#1.id.NestedProperty." dataDxfId="1357" dataCellStyle="Hipervínculo"/>
    <tableColumn id="2" name="Person.contactPoint#1.hasAddress#2.fullAddress.NestedProperty.content.en" dataDxfId="1356"/>
    <tableColumn id="3" name="Person.contactPoint#1.hasAddress#2.fullAddress.NestedProperty.content.bg" dataDxfId="1355"/>
    <tableColumn id="4" name="Person.contactPoint#1.hasAddress#2.fullAddress.NestedProperty.content.cs" dataDxfId="1354"/>
    <tableColumn id="5" name="Person.contactPoint#1.hasAddress#2.fullAddress.NestedProperty.content.da" dataDxfId="1353"/>
    <tableColumn id="6" name="Person.contactPoint#1.hasAddress#2.fullAddress.NestedProperty.content.de" dataDxfId="1352"/>
    <tableColumn id="7" name="Person.contactPoint#1.hasAddress#2.fullAddress.NestedProperty.content.el" dataDxfId="1351"/>
    <tableColumn id="8" name="Person.contactPoint#1.hasAddress#2.fullAddress.NestedProperty.content.es" dataDxfId="1350"/>
    <tableColumn id="9" name="Person.contactPoint#1.hasAddress#2.fullAddress.NestedProperty.content.et" dataDxfId="1349"/>
    <tableColumn id="10" name="Person.contactPoint#1.hasAddress#2.fullAddress.NestedProperty.content.fi" dataDxfId="1348"/>
    <tableColumn id="11" name="Person.contactPoint#1.hasAddress#2.fullAddress.NestedProperty.content.fr" dataDxfId="1347"/>
    <tableColumn id="12" name="Person.contactPoint#1.hasAddress#2.fullAddress.NestedProperty.content.ga" dataDxfId="1346"/>
    <tableColumn id="13" name="Person.contactPoint#1.hasAddress#2.fullAddress.NestedProperty.content.hr" dataDxfId="1345"/>
    <tableColumn id="14" name="Person.contactPoint#1.hasAddress#2.fullAddress.NestedProperty.content.hu" dataDxfId="1344"/>
    <tableColumn id="15" name="Person.contactPoint#1.hasAddress#2.fullAddress.NestedProperty.content.is" dataDxfId="1343"/>
    <tableColumn id="16" name="Person.contactPoint#1.hasAddress#2.fullAddress.NestedProperty.content.it" dataDxfId="1342"/>
    <tableColumn id="17" name="Person.contactPoint#1.hasAddress#2.fullAddress.NestedProperty.content.lt" dataDxfId="1341"/>
    <tableColumn id="18" name="Person.contactPoint#1.hasAddress#2.fullAddress.NestedProperty.content.lv" dataDxfId="1340"/>
    <tableColumn id="19" name="Person.contactPoint#1.hasAddress#2.fullAddress.NestedProperty.content.mt" dataDxfId="1339"/>
    <tableColumn id="20" name="Person.contactPoint#1.hasAddress#2.fullAddress.NestedProperty.content.nl" dataDxfId="1338"/>
    <tableColumn id="21" name="Person.contactPoint#1.hasAddress#2.fullAddress.NestedProperty.content.no" dataDxfId="1337"/>
    <tableColumn id="22" name="Person.contactPoint#1.hasAddress#2.fullAddress.NestedProperty.content.pl" dataDxfId="1336"/>
    <tableColumn id="23" name="Person.contactPoint#1.hasAddress#2.fullAddress.NestedProperty.content.pt" dataDxfId="1335"/>
    <tableColumn id="24" name="Person.contactPoint#1.hasAddress#2.fullAddress.NestedProperty.content.ro" dataDxfId="1334"/>
    <tableColumn id="25" name="Person.contactPoint#1.hasAddress#2.fullAddress.NestedProperty.content.sk" dataDxfId="1333"/>
    <tableColumn id="26" name="Person.contactPoint#1.hasAddress#2.fullAddress.NestedProperty.content.sl" dataDxfId="1332"/>
    <tableColumn id="28" name="Person.contactPoint#1.hasAddress#2.fullAddress.NestedProperty.content.sv" dataDxfId="1331"/>
    <tableColumn id="55" name="Person.contactPoint#1.postalAddress#1.countryCode.Reference." dataDxfId="1330">
      <calculatedColumnFormula>IF(ISBLANK(AU$11),"",AU$11)</calculatedColumnFormula>
    </tableColumn>
    <tableColumn id="54" name="Person.contactPoint#1.postalAddress#1.countryCode.NestedAssociation." dataDxfId="1329">
      <calculatedColumnFormula array="1">MultiMatch(Persons[[#This Row],[Person.contactPoint'#1.postalAddress'#1.countryCode.Reference.]],Vocabularies[name],0)</calculatedColumnFormula>
    </tableColumn>
    <tableColumn id="70" name="Person.achieved.MultiReference.LearningAchievement." dataDxfId="1328">
      <calculatedColumnFormula>IF(ISBLANK(AW$11),"",AW$11)</calculatedColumnFormula>
    </tableColumn>
    <tableColumn id="71" name="Person.achieved.Association.LearningAchievement." dataDxfId="1327">
      <calculatedColumnFormula array="1">MultiMatch(Persons[[#This Row],[Person.achieved.MultiReference.LearningAchievement.]],AchievementNames,0)</calculatedColumnFormula>
    </tableColumn>
    <tableColumn id="72" name="Person.performed.MultiReference.LearningActivity." dataDxfId="1326">
      <calculatedColumnFormula>IF(ISBLANK(AY$11),"",AY$11)</calculatedColumnFormula>
    </tableColumn>
    <tableColumn id="73" name="Person.performed.Association.LearningActivity." dataDxfId="1325">
      <calculatedColumnFormula array="1">MultiMatch(Persons[[#This Row],[Person.performed.MultiReference.LearningActivity.]],ActivityNames,0)</calculatedColumnFormula>
    </tableColumn>
    <tableColumn id="74" name="Person.entitledTo.MultiReference.Entitlement." dataDxfId="1324">
      <calculatedColumnFormula>IF(ISBLANK(BA$11),"",BA$11)</calculatedColumnFormula>
    </tableColumn>
    <tableColumn id="75" name="Person.entitledTo.Association.Entitlement." dataDxfId="1323">
      <calculatedColumnFormula array="1">MultiMatch(Persons[[#This Row],[Person.entitledTo.MultiReference.Entitlement.]],EntitlementNames,0)</calculatedColumnFormula>
    </tableColumn>
    <tableColumn id="29" name="Person.13.GradesAssociation." dataDxfId="1322"/>
    <tableColumn id="30" name="Person.14.GradesAssociation." dataDxfId="1321"/>
    <tableColumn id="31" name="Person.15.GradesAssociation." dataDxfId="1320"/>
    <tableColumn id="32" name="Person.16.GradesAssociation." dataDxfId="1319"/>
    <tableColumn id="33" name="Person.17.GradesAssociation." dataDxfId="1318"/>
    <tableColumn id="34" name="Person.18.GradesAssociation." dataDxfId="1317"/>
    <tableColumn id="35" name="Person.19.GradesAssociation." dataDxfId="1316"/>
    <tableColumn id="36" name="Person.20.GradesAssociation." dataDxfId="1315"/>
    <tableColumn id="37" name="Person.21.GradesAssociation." dataDxfId="1314"/>
    <tableColumn id="38" name="Person.22.GradesAssociation." dataDxfId="1313"/>
    <tableColumn id="39" name="Person.23.GradesAssociation." dataDxfId="1312"/>
    <tableColumn id="40" name="Person.24.GradesAssociation." dataDxfId="1311"/>
    <tableColumn id="41" name="Person.25.GradesAssociation." dataDxfId="1310"/>
    <tableColumn id="42" name="Person.26.GradesAssociation." dataDxfId="1309"/>
    <tableColumn id="43" name="Person.27.GradesAssociation." dataDxfId="1308"/>
    <tableColumn id="44" name="Person.28.GradesAssociation." dataDxfId="1307"/>
    <tableColumn id="45" name="Person.29.GradesAssociation." dataDxfId="1306"/>
    <tableColumn id="46" name="Person.30.GradesAssociation." dataDxfId="1305"/>
    <tableColumn id="47" name="Person.31.GradesAssociation." dataDxfId="1304"/>
    <tableColumn id="48" name="Person.32.GradesAssociation." dataDxfId="1303"/>
  </tableColumns>
  <tableStyleInfo name="TableStyleMedium2" showFirstColumn="0" showLastColumn="0" showRowStripes="1" showColumnStripes="0"/>
</table>
</file>

<file path=xl/tables/table3.xml><?xml version="1.0" encoding="utf-8"?>
<table xmlns="http://schemas.openxmlformats.org/spreadsheetml/2006/main" id="15" name="Organisations" displayName="Organisations" ref="B12:DS14" totalsRowShown="0" headerRowDxfId="1302" dataDxfId="1301">
  <autoFilter ref="B12:DS14"/>
  <tableColumns count="122">
    <tableColumn id="1" name="Organisation.preferredName.Property.content.en" dataDxfId="1300"/>
    <tableColumn id="2" name="Organisation.preferredName.Property.content.bg" dataDxfId="1299"/>
    <tableColumn id="3" name="Organisation.preferredName.Property.content.cs" dataDxfId="1298"/>
    <tableColumn id="5" name="Organisation.preferredName.Property.content.da" dataDxfId="1297"/>
    <tableColumn id="6" name="Organisation.preferredName.Property.content.de" dataDxfId="1296"/>
    <tableColumn id="25" name="Organisation.preferredName.Property.content.el" dataDxfId="1295"/>
    <tableColumn id="26" name="Organisation.preferredName.Property.content.es" dataDxfId="1294"/>
    <tableColumn id="27" name="Organisation.preferredName.Property.content.et" dataDxfId="1293"/>
    <tableColumn id="28" name="Organisation.preferredName.Property.content.fi" dataDxfId="1292"/>
    <tableColumn id="29" name="Organisation.preferredName.Property.content.fr" dataDxfId="1291"/>
    <tableColumn id="30" name="Organisation.preferredName.Property.content.ga" dataDxfId="1290"/>
    <tableColumn id="31" name="Organisation.preferredName.Property.content.hr" dataDxfId="1289"/>
    <tableColumn id="32" name="Organisation.preferredName.Property.content.hu" dataDxfId="1288"/>
    <tableColumn id="33" name="Organisation.preferredName.Property.content.is" dataDxfId="1287"/>
    <tableColumn id="34" name="Organisation.preferredName.Property.content.it" dataDxfId="1286"/>
    <tableColumn id="35" name="Organisation.preferredName.Property.content.lt" dataDxfId="1285"/>
    <tableColumn id="36" name="Organisation.preferredName.Property.content.lv" dataDxfId="1284"/>
    <tableColumn id="37" name="Organisation.preferredName.Property.content.mt" dataDxfId="1283"/>
    <tableColumn id="38" name="Organisation.preferredName.Property.content.nl" dataDxfId="1282"/>
    <tableColumn id="39" name="Organisation.preferredName.Property.content.no" dataDxfId="1281"/>
    <tableColumn id="40" name="Organisation.preferredName.Property.content.pl" dataDxfId="1280"/>
    <tableColumn id="41" name="Organisation.preferredName.Property.content.pt" dataDxfId="1279"/>
    <tableColumn id="42" name="Organisation.preferredName.Property.content.ro" dataDxfId="1278"/>
    <tableColumn id="43" name="Organisation.preferredName.Property.content.sk" dataDxfId="1277"/>
    <tableColumn id="44" name="Organisation.preferredName.Property.content.sl" dataDxfId="1276"/>
    <tableColumn id="45" name="Organisation.preferredName.Property.content.sv" dataDxfId="1275"/>
    <tableColumn id="4" name="Organisation.alternativeName.Property.content.1.en" dataDxfId="1274"/>
    <tableColumn id="46" name="Organisation.alternativeName.Property.content.2.bg" dataDxfId="1273"/>
    <tableColumn id="47" name="Organisation.alternativeName.Property.content.3.cs" dataDxfId="1272"/>
    <tableColumn id="48" name="Organisation.alternativeName.Property.content.4.da" dataDxfId="1271"/>
    <tableColumn id="49" name="Organisation.alternativeName.Property.content.5.de" dataDxfId="1270"/>
    <tableColumn id="50" name="Organisation.alternativeName.Property.content.6.el" dataDxfId="1269"/>
    <tableColumn id="51" name="Organisation.alternativeName.Property.content.7.es" dataDxfId="1268"/>
    <tableColumn id="52" name="Organisation.alternativeName.Property.content.8.et" dataDxfId="1267"/>
    <tableColumn id="53" name="Organisation.alternativeName.Property.content.9.fi" dataDxfId="1266"/>
    <tableColumn id="54" name="Organisation.alternativeName.Property.content.10.fr" dataDxfId="1265"/>
    <tableColumn id="55" name="Organisation.alternativeName.Property.content.11.ga" dataDxfId="1264"/>
    <tableColumn id="56" name="Organisation.alternativeName.Property.content.12.hr" dataDxfId="1263"/>
    <tableColumn id="57" name="Organisation.alternativeName.Property.content.13.hu" dataDxfId="1262"/>
    <tableColumn id="58" name="Organisation.alternativeName.Property.content.14.is" dataDxfId="1261"/>
    <tableColumn id="59" name="Organisation.alternativeName.Property.content.15.it" dataDxfId="1260"/>
    <tableColumn id="60" name="Organisation.alternativeName.Property.content.16.lt" dataDxfId="1259"/>
    <tableColumn id="61" name="Organisation.alternativeName.Property.content.17.lv" dataDxfId="1258"/>
    <tableColumn id="62" name="Organisation.alternativeName.Property.content.18.mt" dataDxfId="1257"/>
    <tableColumn id="63" name="Organisation.alternativeName.Property.content.19.nl" dataDxfId="1256"/>
    <tableColumn id="64" name="Organisation.alternativeName.Property.content.20.no" dataDxfId="1255"/>
    <tableColumn id="65" name="Organisation.alternativeName.Property.content.21.pl" dataDxfId="1254"/>
    <tableColumn id="66" name="Organisation.alternativeName.Property.content.22.pt" dataDxfId="1253"/>
    <tableColumn id="67" name="Organisation.alternativeName.Property.content.23.ro" dataDxfId="1252"/>
    <tableColumn id="68" name="Organisation.alternativeName.Property.content.24.sk" dataDxfId="1251"/>
    <tableColumn id="69" name="Organisation.alternativeName.Property.content.25.sl" dataDxfId="1250"/>
    <tableColumn id="70" name="Organisation.alternativeName.Property.content.26.sv" dataDxfId="1249"/>
    <tableColumn id="10" name="Organisation.legalIdentifier.SpatialId.NestedProperty." dataDxfId="1248"/>
    <tableColumn id="71" name="Organisation.legalIdentifier#1.content.NestedProperty." dataDxfId="1247"/>
    <tableColumn id="7" name="Organisation.logo.contentUrl.NestedProperty." dataDxfId="1246"/>
    <tableColumn id="8" name="Organisation.homepage#1.id.NestedProperty." dataDxfId="1245"/>
    <tableColumn id="9" name="Agent.hasLocation#1.geographicName.NestedProperty.content.en" dataDxfId="1244"/>
    <tableColumn id="102" name="Agent.hasLocation#2.geographicName.NestedProperty.content.bg" dataDxfId="1243"/>
    <tableColumn id="103" name="Agent.hasLocation#3.geographicName.NestedProperty.content.cs" dataDxfId="1242"/>
    <tableColumn id="104" name="Agent.hasLocation#4.geographicName.NestedProperty.content.da" dataDxfId="1241"/>
    <tableColumn id="105" name="Agent.hasLocation#5.geographicName.NestedProperty.content.de" dataDxfId="1240"/>
    <tableColumn id="106" name="Agent.hasLocation#6.geographicName.NestedProperty.content.el" dataDxfId="1239"/>
    <tableColumn id="107" name="Agent.hasLocation#7.geographicName.NestedProperty.content.es" dataDxfId="1238"/>
    <tableColumn id="108" name="Agent.hasLocation#8.geographicName.NestedProperty.content.et" dataDxfId="1237"/>
    <tableColumn id="109" name="Agent.hasLocation#9.geographicName.NestedProperty.content.fi" dataDxfId="1236"/>
    <tableColumn id="110" name="Agent.hasLocation#10.geographicName.NestedProperty.content.fr" dataDxfId="1235"/>
    <tableColumn id="111" name="Agent.hasLocation#11.geographicName.NestedProperty.content.ga" dataDxfId="1234"/>
    <tableColumn id="112" name="Agent.hasLocation#12.geographicName.NestedProperty.content.hr" dataDxfId="1233"/>
    <tableColumn id="113" name="Agent.hasLocation#13.geographicName.NestedProperty.content.hu" dataDxfId="1232"/>
    <tableColumn id="114" name="Agent.hasLocation#14.geographicName.NestedProperty.content.is" dataDxfId="1231"/>
    <tableColumn id="115" name="Agent.hasLocation#15.geographicName.NestedProperty.content.it" dataDxfId="1230"/>
    <tableColumn id="116" name="Agent.hasLocation#16.geographicName.NestedProperty.content.lt" dataDxfId="1229"/>
    <tableColumn id="117" name="Agent.hasLocation#17.geographicName.NestedProperty.content.lv" dataDxfId="1228"/>
    <tableColumn id="118" name="Agent.hasLocation#18.geographicName.NestedProperty.content.mt" dataDxfId="1227"/>
    <tableColumn id="119" name="Agent.hasLocation#19.geographicName.NestedProperty.content.nl" dataDxfId="1226"/>
    <tableColumn id="120" name="Agent.hasLocation#20.geographicName.NestedProperty.content.no" dataDxfId="1225"/>
    <tableColumn id="121" name="Agent.hasLocation#21.geographicName.NestedProperty.content.pl" dataDxfId="1224"/>
    <tableColumn id="122" name="Agent.hasLocation#22.geographicName.NestedProperty.content.pt" dataDxfId="1223"/>
    <tableColumn id="123" name="Agent.hasLocation#23.geographicName.NestedProperty.content.ro" dataDxfId="1222"/>
    <tableColumn id="124" name="Agent.hasLocation#24.geographicName.NestedProperty.content.sk" dataDxfId="1221"/>
    <tableColumn id="125" name="Agent.hasLocation#25.geographicName.NestedProperty.content.sl" dataDxfId="1220"/>
    <tableColumn id="126" name="Agent.hasLocation#26.geographicName.NestedProperty.content.sv" dataDxfId="1219"/>
    <tableColumn id="12" name="Agent.hasLocation#1.hasAddress#1.fullAddress.NestedProperty.content.en" dataDxfId="1218"/>
    <tableColumn id="77" name="Agent.hasLocation#1.hasAddress#2.fullAddress.NestedProperty.content.bg" dataDxfId="1217"/>
    <tableColumn id="78" name="Agent.hasLocation#1.hasAddress#3.fullAddress.NestedProperty.content.cs" dataDxfId="1216"/>
    <tableColumn id="79" name="Agent.hasLocation#1.hasAddress#4.fullAddress.NestedProperty.content.da" dataDxfId="1215"/>
    <tableColumn id="80" name="Agent.hasLocation#1.hasAddress#5.fullAddress.NestedProperty.content.de" dataDxfId="1214"/>
    <tableColumn id="81" name="Agent.hasLocation#1.hasAddress#6.fullAddress.NestedProperty.content.el" dataDxfId="1213"/>
    <tableColumn id="82" name="Agent.hasLocation#1.hasAddress#7.fullAddress.NestedProperty.content.es" dataDxfId="1212"/>
    <tableColumn id="83" name="Agent.hasLocation#1.hasAddress#8.fullAddress.NestedProperty.content.et" dataDxfId="1211"/>
    <tableColumn id="84" name="Agent.hasLocation#1.hasAddress#9.fullAddress.NestedProperty.content.fi" dataDxfId="1210"/>
    <tableColumn id="85" name="Agent.hasLocation#1.hasAddress#10.fullAddress.NestedProperty.content.fr" dataDxfId="1209"/>
    <tableColumn id="86" name="Agent.hasLocation#1.hasAddress#11.fullAddress.NestedProperty.content.ga" dataDxfId="1208"/>
    <tableColumn id="87" name="Agent.hasLocation#1.hasAddress#12.fullAddress.NestedProperty.content.hr" dataDxfId="1207"/>
    <tableColumn id="88" name="Agent.hasLocation#1.hasAddress#13.fullAddress.NestedProperty.content.hu" dataDxfId="1206"/>
    <tableColumn id="89" name="Agent.hasLocation#1.hasAddress#14.fullAddress.NestedProperty.content.is" dataDxfId="1205"/>
    <tableColumn id="90" name="Agent.hasLocation#1.hasAddress#15.fullAddress.NestedProperty.content.it" dataDxfId="1204"/>
    <tableColumn id="91" name="Agent.hasLocation#1.hasAddress#16.fullAddress.NestedProperty.content.lt" dataDxfId="1203"/>
    <tableColumn id="92" name="Agent.hasLocation#1.hasAddress#17.fullAddress.NestedProperty.content.lv" dataDxfId="1202"/>
    <tableColumn id="93" name="Agent.hasLocation#1.hasAddress#18.fullAddress.NestedProperty.content.mt" dataDxfId="1201"/>
    <tableColumn id="94" name="Agent.hasLocation#1.hasAddress#19.fullAddress.NestedProperty.content.nl" dataDxfId="1200"/>
    <tableColumn id="95" name="Agent.hasLocation#1.hasAddress#20.fullAddress.NestedProperty.content.no" dataDxfId="1199"/>
    <tableColumn id="96" name="Agent.hasLocation#1.hasAddress#21.fullAddress.NestedProperty.content.pl" dataDxfId="1198"/>
    <tableColumn id="97" name="Agent.hasLocation#1.hasAddress#22.fullAddress.NestedProperty.content.pt" dataDxfId="1197"/>
    <tableColumn id="98" name="Agent.hasLocation#1.hasAddress#23.fullAddress.NestedProperty.content.ro" dataDxfId="1196"/>
    <tableColumn id="99" name="Agent.hasLocation#1.hasAddress#24.fullAddress.NestedProperty.content.sk" dataDxfId="1195"/>
    <tableColumn id="100" name="Agent.hasLocation#1.hasAddress#25.fullAddress.NestedProperty.content.sl" dataDxfId="1194"/>
    <tableColumn id="101" name="Agent.hasLocation#1.hasAddress#26.fullAddress.NestedProperty.content.sv" dataDxfId="1193"/>
    <tableColumn id="13" name="Organisation.hasLocation#1.hasAddress#1.countryCode.Reference." dataDxfId="1192">
      <calculatedColumnFormula>IF(ISBLANK(DF$11),"",DF$11)</calculatedColumnFormula>
    </tableColumn>
    <tableColumn id="72" name="Organisation.hasLocation#1.hasAddress#1.countryCode.NestedAssociation.Code." dataDxfId="1191">
      <calculatedColumnFormula array="1">MultiMatch(Organisations[[#This Row],[Organisation.hasLocation'#1.hasAddress'#1.countryCode.Reference.]],Vocabularies[name],0)</calculatedColumnFormula>
    </tableColumn>
    <tableColumn id="14" name="Organisation.vatIdentifier#1.spatialId.NestedProperty." dataDxfId="1190"/>
    <tableColumn id="15" name="Organisation.vatIdentifier#1.content.NestedProperty." dataDxfId="1189"/>
    <tableColumn id="11" name="Organisation.taxIdentifier#1.spatialId.NestedProperty." dataDxfId="1188"/>
    <tableColumn id="16" name="Organisation.taxIdentifier#1.content.NestedProperty." dataDxfId="1187"/>
    <tableColumn id="17" name="Organisation.identifier#1.identifierSchemeId.NestedProperty." dataDxfId="1186">
      <calculatedColumnFormula>IF(ISBLANK(DL$11),"",DL$11)</calculatedColumnFormula>
    </tableColumn>
    <tableColumn id="18" name="Organisation.identifier#1.content.NestedProperty." dataDxfId="1185"/>
    <tableColumn id="19" name="Organisation.identifier#2.identifierSchemeId.NestedProperty." dataDxfId="1184">
      <calculatedColumnFormula>IF(ISBLANK(DN$11),"",DN$11)</calculatedColumnFormula>
    </tableColumn>
    <tableColumn id="20" name="Organisation.identifier#2.content.NestedProperty." dataDxfId="1183"/>
    <tableColumn id="21" name="Organisation.hasUnit.Reference.Organisation." dataDxfId="1182"/>
    <tableColumn id="22" name="Organisation.hasUnit.Association.Organisation." dataDxfId="1181">
      <calculatedColumnFormula array="1">MultiMatch(Organisations[[#This Row],[Organisation.hasUnit.Reference.Organisation.]],OrganisationNames,0)</calculatedColumnFormula>
    </tableColumn>
    <tableColumn id="23" name="Organisation.unitOf.Reference.Organisation." dataDxfId="1180"/>
    <tableColumn id="24" name="Organisation.unitOf.Association.Organisation." dataDxfId="1179">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3" name="Achievements" displayName="Achievements" ref="B12:HP14" totalsRowShown="0" headerRowDxfId="1178" dataDxfId="1177">
  <autoFilter ref="B12:HP14"/>
  <tableColumns count="223">
    <tableColumn id="1" name="LearningAchievement.title.Property.content.en" dataDxfId="1176" totalsRowDxfId="1175"/>
    <tableColumn id="57" name="LearningAchievement.title.Property.content.bg" dataDxfId="1174" totalsRowDxfId="1173"/>
    <tableColumn id="58" name="LearningAchievement.title.Property.content.cs" dataDxfId="1172" totalsRowDxfId="1171"/>
    <tableColumn id="59" name="LearningAchievement.title.Property.content.da" dataDxfId="1170" totalsRowDxfId="1169"/>
    <tableColumn id="60" name="LearningAchievement.title.Property.content.de" dataDxfId="1168" totalsRowDxfId="1167"/>
    <tableColumn id="61" name="LearningAchievement.title.Property.content.el" dataDxfId="1166" totalsRowDxfId="1165"/>
    <tableColumn id="62" name="LearningAchievement.title.Property.content.es" dataDxfId="1164" totalsRowDxfId="1163"/>
    <tableColumn id="63" name="LearningAchievement.title.Property.content.et" dataDxfId="1162" totalsRowDxfId="1161"/>
    <tableColumn id="64" name="LearningAchievement.title.Property.content.fi" dataDxfId="1160" totalsRowDxfId="1159"/>
    <tableColumn id="65" name="LearningAchievement.title.Property.content.fr" dataDxfId="1158" totalsRowDxfId="1157"/>
    <tableColumn id="66" name="LearningAchievement.title.Property.content.ga" dataDxfId="1156" totalsRowDxfId="1155"/>
    <tableColumn id="67" name="LearningAchievement.title.Property.content.hr" dataDxfId="1154" totalsRowDxfId="1153"/>
    <tableColumn id="68" name="LearningAchievement.title.Property.content.hu" dataDxfId="1152" totalsRowDxfId="1151"/>
    <tableColumn id="69" name="LearningAchievement.title.Property.content.is" dataDxfId="1150" totalsRowDxfId="1149"/>
    <tableColumn id="70" name="LearningAchievement.title.Property.content.it" dataDxfId="1148" totalsRowDxfId="1147"/>
    <tableColumn id="71" name="LearningAchievement.title.Property.content.lt" dataDxfId="1146" totalsRowDxfId="1145"/>
    <tableColumn id="72" name="LearningAchievement.title.Property.content.lv" dataDxfId="1144" totalsRowDxfId="1143"/>
    <tableColumn id="73" name="LearningAchievement.title.Property.content.mt" dataDxfId="1142" totalsRowDxfId="1141"/>
    <tableColumn id="74" name="LearningAchievement.title.Property.content.nl" dataDxfId="1140" totalsRowDxfId="1139"/>
    <tableColumn id="75" name="LearningAchievement.title.Property.content.no" dataDxfId="1138" totalsRowDxfId="1137"/>
    <tableColumn id="76" name="LearningAchievement.title.Property.content.pl" dataDxfId="1136" totalsRowDxfId="1135"/>
    <tableColumn id="77" name="LearningAchievement.title.Property.content.pt" dataDxfId="1134" totalsRowDxfId="1133"/>
    <tableColumn id="78" name="LearningAchievement.title.Property.content.ro" dataDxfId="1132" totalsRowDxfId="1131"/>
    <tableColumn id="79" name="LearningAchievement.title.Property.content.sk" dataDxfId="1130" totalsRowDxfId="1129"/>
    <tableColumn id="80" name="LearningAchievement.title.Property.content.sl" dataDxfId="1128" totalsRowDxfId="1127"/>
    <tableColumn id="81" name="LearningAchievement.title.Property.content.sv" dataDxfId="1126" totalsRowDxfId="1125"/>
    <tableColumn id="3" name="LearningAchievement.identifier#1.identifierSchemeId.NestedProperty." dataDxfId="1124" totalsRowDxfId="1123">
      <calculatedColumnFormula>IF(ISBLANK(AB$11),"",AB$11)</calculatedColumnFormula>
    </tableColumn>
    <tableColumn id="2" name="LearningAchievement.identifier#1.content.NestedProperty." dataDxfId="1122" totalsRowDxfId="1121"/>
    <tableColumn id="6" name="LearningAchievement.wasAwardedBy.awardingDate.NestedProperty." dataDxfId="1120" totalsRowDxfId="1119">
      <calculatedColumnFormula>IF(ISBLANK(AD$11),"",AD$11)</calculatedColumnFormula>
    </tableColumn>
    <tableColumn id="7" name="LearningAchievement.wasAwardedBy.awardingBody.MultiReference.Organisation." dataDxfId="1118" totalsRowDxfId="1117">
      <calculatedColumnFormula>IF(ISBLANK(AE$11),"",AE$11)</calculatedColumnFormula>
    </tableColumn>
    <tableColumn id="8" name="LearningAchievement.wasAwardedBy.awardingBody.NestedAssociation.Organisation." dataDxfId="1116" totalsRowDxfId="1115">
      <calculatedColumnFormula array="1">MultiMatch(Achievements[[#This Row],[LearningAchievement.wasAwardedBy.awardingBody.MultiReference.Organisation.]],OrganisationNames,0)</calculatedColumnFormula>
    </tableColumn>
    <tableColumn id="9" name="LearningAchievement.description.Property.content.en" dataDxfId="1114" totalsRowDxfId="1113"/>
    <tableColumn id="102" name="LearningAchievement.description.Property.content.bg" dataDxfId="1112" totalsRowDxfId="1111"/>
    <tableColumn id="103" name="LearningAchievement.description.Property.content.cs" dataDxfId="1110" totalsRowDxfId="1109"/>
    <tableColumn id="104" name="LearningAchievement.description.Property.content.da" dataDxfId="1108" totalsRowDxfId="1107"/>
    <tableColumn id="105" name="LearningAchievement.description.Property.content.de" dataDxfId="1106" totalsRowDxfId="1105"/>
    <tableColumn id="106" name="LearningAchievement.description.Property.content.el" dataDxfId="1104" totalsRowDxfId="1103"/>
    <tableColumn id="107" name="LearningAchievement.description.Property.content.es" dataDxfId="1102" totalsRowDxfId="1101"/>
    <tableColumn id="108" name="LearningAchievement.description.Property.content.et" dataDxfId="1100" totalsRowDxfId="1099"/>
    <tableColumn id="109" name="LearningAchievement.description.Property.content.fi" dataDxfId="1098" totalsRowDxfId="1097"/>
    <tableColumn id="110" name="LearningAchievement.description.Property.content.fr" dataDxfId="1096" totalsRowDxfId="1095"/>
    <tableColumn id="111" name="LearningAchievement.description.Property.content.ga" dataDxfId="1094" totalsRowDxfId="1093"/>
    <tableColumn id="112" name="LearningAchievement.description.Property.content.hr" dataDxfId="1092" totalsRowDxfId="1091"/>
    <tableColumn id="113" name="LearningAchievement.description.Property.content.hu" dataDxfId="1090" totalsRowDxfId="1089"/>
    <tableColumn id="114" name="LearningAchievement.description.Property.content.is" dataDxfId="1088" totalsRowDxfId="1087"/>
    <tableColumn id="115" name="LearningAchievement.description.Property.content.it" dataDxfId="1086" totalsRowDxfId="1085"/>
    <tableColumn id="116" name="LearningAchievement.description.Property.content.lt" dataDxfId="1084" totalsRowDxfId="1083"/>
    <tableColumn id="117" name="LearningAchievement.description.Property.content.lv" dataDxfId="1082" totalsRowDxfId="1081"/>
    <tableColumn id="118" name="LearningAchievement.description.Property.content.mt" dataDxfId="1080" totalsRowDxfId="1079"/>
    <tableColumn id="119" name="LearningAchievement.description.Property.content.nl" dataDxfId="1078" totalsRowDxfId="1077"/>
    <tableColumn id="120" name="LearningAchievement.description.Property.content.no" dataDxfId="1076" totalsRowDxfId="1075"/>
    <tableColumn id="121" name="LearningAchievement.description.Property.content.pl" dataDxfId="1074" totalsRowDxfId="1073"/>
    <tableColumn id="122" name="LearningAchievement.description.Property.content.pt" dataDxfId="1072" totalsRowDxfId="1071"/>
    <tableColumn id="123" name="LearningAchievement.description.Property.content.ro" dataDxfId="1070" totalsRowDxfId="1069"/>
    <tableColumn id="124" name="LearningAchievement.description.Property.content.sk" dataDxfId="1068" totalsRowDxfId="1067"/>
    <tableColumn id="125" name="LearningAchievement.description.Property.content.sl" dataDxfId="1066" totalsRowDxfId="1065"/>
    <tableColumn id="126" name="LearningAchievement.description.Property.content.sv" dataDxfId="1064" totalsRowDxfId="1063"/>
    <tableColumn id="10" name="LearningAchievement.wasDerivedFrom.Reference.Assessment." dataDxfId="1062" totalsRowDxfId="1061"/>
    <tableColumn id="11" name="LearningAchievement.wasDerivedFrom.Association.Assessment." dataDxfId="1060" totalsRowDxfId="1059">
      <calculatedColumnFormula>IF(ISBLANK(Achievements[[#This Row],[LearningAchievement.wasDerivedFrom.Reference.Assessment.]]),"",(MATCH(Achievements[[#This Row],[LearningAchievement.wasDerivedFrom.Reference.Assessment.]],AssessmentNames,0)+12))</calculatedColumnFormula>
    </tableColumn>
    <tableColumn id="12" name="LearningAchievement.wasInfluencedBy.MultiReference.LearningActivity." dataDxfId="1058" totalsRowDxfId="1057"/>
    <tableColumn id="13" name="LearningAchievement.wasInfluencedBy.Association.LearningActivity." dataDxfId="1056" totalsRowDxfId="1055">
      <calculatedColumnFormula array="1">MultiMatch(Achievements[[#This Row],[LearningAchievement.wasInfluencedBy.MultiReference.LearningActivity.]],ActivityNames,0)</calculatedColumnFormula>
    </tableColumn>
    <tableColumn id="41" name="Column2" totalsRowDxfId="1054"/>
    <tableColumn id="5" name="Column1" totalsRowDxfId="1053">
      <calculatedColumnFormula array="1">MultiMatch(Achievements[[#This Row],[Column2]],EntitlementNames,0)</calculatedColumnFormula>
    </tableColumn>
    <tableColumn id="14" name="LearningAchievement.hasPart.MutiReference.LearningAchievement." dataDxfId="1052" totalsRowDxfId="1051"/>
    <tableColumn id="15" name="LearningAchievement.hasPart.Association.LearningAchievement." dataDxfId="1050" totalsRowDxfId="1049">
      <calculatedColumnFormula array="1">MultiMatch(Achievements[[#This Row],[LearningAchievement.hasPart.MutiReference.LearningAchievement.]],AchievementNames,0)</calculatedColumnFormula>
    </tableColumn>
    <tableColumn id="4" name="LearningAchievement.specifiedBy.isPartialQualification.NestedProperty." dataDxfId="1048" totalsRowDxfId="1047"/>
    <tableColumn id="47" name="LearningAchievement.specifiedBy.eqfLevel.Reference." dataDxfId="1046" totalsRowDxfId="1045">
      <calculatedColumnFormula>IF(ISBLANK(BP$11),"",BP$11)</calculatedColumnFormula>
    </tableColumn>
    <tableColumn id="48" name="LearningAchievement.specifiedBy.eqfLevel.NestedAssociation.Code." dataDxfId="1044" totalsRowDxfId="1043">
      <calculatedColumnFormula array="1">MultiMatch(Achievements[[#This Row],[LearningAchievement.specifiedBy.eqfLevel.Reference.]],Vocabularies[name],0)</calculatedColumnFormula>
    </tableColumn>
    <tableColumn id="50" name="LearningAchievement.specifiedBy.nqfLevel.Reference." dataDxfId="1042" totalsRowDxfId="1041">
      <calculatedColumnFormula>IF(ISBLANK(BR$11),"",BR$11)</calculatedColumnFormula>
    </tableColumn>
    <tableColumn id="193" name="LearningAchievement.specifiedBy.nqfLevel.NestedAssociation.Code." dataDxfId="1040" totalsRowDxfId="1039">
      <calculatedColumnFormula array="1">MultiMatch(Achievements[[#This Row],[LearningAchievement.specifiedBy.nqfLevel.Reference.]],Vocabularies[name],0)</calculatedColumnFormula>
    </tableColumn>
    <tableColumn id="51" name="LearningAchievement.specifiedBy.nqfLevel#1.content.NestedProperty." dataDxfId="1038" totalsRowDxfId="1037">
      <calculatedColumnFormula>IF(ISBLANK(BT$11),"",BT$11)</calculatedColumnFormula>
    </tableColumn>
    <tableColumn id="272" name="LearningAchievement.specifiedBy.nqfLevel.Reference.Code." totalsRowDxfId="1036">
      <calculatedColumnFormula array="1">MultiMatch(Achievements[[#This Row],[LearningAchievement.specifiedBy.nqfLevel'#1.content.NestedProperty.]],Vocabularies[name],0)</calculatedColumnFormula>
    </tableColumn>
    <tableColumn id="16" name="LearningAchievement.specifiedBy.title.NestedProperty.content.en" dataDxfId="1035" totalsRowDxfId="1034">
      <calculatedColumnFormula>IF(ISBLANK(Achievements[[#This Row],[LearningAchievement.title.Property.content.en]]),"",Achievements[[#This Row],[LearningAchievement.title.Property.content.en]])</calculatedColumnFormula>
    </tableColumn>
    <tableColumn id="197" name="LearningAchievement.specifiedBy.title.NestedProperty.content.bg" dataDxfId="1033" totalsRowDxfId="1032">
      <calculatedColumnFormula>IF(ISBLANK(Achievements[[#This Row],[LearningAchievement.title.Property.content.bg]]),"",Achievements[[#This Row],[LearningAchievement.title.Property.content.bg]])</calculatedColumnFormula>
    </tableColumn>
    <tableColumn id="198" name="LearningAchievement.specifiedBy.title.NestedProperty.content.cs" dataDxfId="1031" totalsRowDxfId="1030">
      <calculatedColumnFormula>IF(ISBLANK(Achievements[[#This Row],[LearningAchievement.title.Property.content.bg]]),"",Achievements[[#This Row],[LearningAchievement.title.Property.content.bg]])</calculatedColumnFormula>
    </tableColumn>
    <tableColumn id="199" name="LearningAchievement.specifiedBy.title.NestedProperty.content.da" dataDxfId="1029" totalsRowDxfId="1028">
      <calculatedColumnFormula>IF(ISBLANK(Achievements[[#This Row],[LearningAchievement.title.Property.content.cs]]),"",Achievements[[#This Row],[LearningAchievement.title.Property.content.cs]])</calculatedColumnFormula>
    </tableColumn>
    <tableColumn id="200" name="LearningAchievement.specifiedBy.title.NestedProperty.content.de" dataDxfId="1027" totalsRowDxfId="1026">
      <calculatedColumnFormula>IF(ISBLANK(Achievements[[#This Row],[LearningAchievement.title.Property.content.cs]]),"",Achievements[[#This Row],[LearningAchievement.title.Property.content.cs]])</calculatedColumnFormula>
    </tableColumn>
    <tableColumn id="201" name="LearningAchievement.specifiedBy.title.NestedProperty.content.el" dataDxfId="1025" totalsRowDxfId="1024">
      <calculatedColumnFormula>IF(ISBLANK(Achievements[[#This Row],[LearningAchievement.title.Property.content.da]]),"",Achievements[[#This Row],[LearningAchievement.title.Property.content.da]])</calculatedColumnFormula>
    </tableColumn>
    <tableColumn id="202" name="LearningAchievement.specifiedBy.title.NestedProperty.content.es" dataDxfId="1023" totalsRowDxfId="1022">
      <calculatedColumnFormula>IF(ISBLANK(Achievements[[#This Row],[LearningAchievement.title.Property.content.da]]),"",Achievements[[#This Row],[LearningAchievement.title.Property.content.da]])</calculatedColumnFormula>
    </tableColumn>
    <tableColumn id="203" name="LearningAchievement.specifiedBy.title.NestedProperty.content.et" dataDxfId="1021" totalsRowDxfId="1020">
      <calculatedColumnFormula>IF(ISBLANK(Achievements[[#This Row],[LearningAchievement.title.Property.content.de]]),"",Achievements[[#This Row],[LearningAchievement.title.Property.content.de]])</calculatedColumnFormula>
    </tableColumn>
    <tableColumn id="204" name="LearningAchievement.specifiedBy.title.NestedProperty.content.fi" dataDxfId="1019" totalsRowDxfId="1018">
      <calculatedColumnFormula>IF(ISBLANK(Achievements[[#This Row],[LearningAchievement.title.Property.content.de]]),"",Achievements[[#This Row],[LearningAchievement.title.Property.content.de]])</calculatedColumnFormula>
    </tableColumn>
    <tableColumn id="205" name="LearningAchievement.specifiedBy.title.NestedProperty.content.fr" dataDxfId="1017" totalsRowDxfId="1016">
      <calculatedColumnFormula>IF(ISBLANK(Achievements[[#This Row],[LearningAchievement.title.Property.content.el]]),"",Achievements[[#This Row],[LearningAchievement.title.Property.content.el]])</calculatedColumnFormula>
    </tableColumn>
    <tableColumn id="206" name="LearningAchievement.specifiedBy.title.NestedProperty.content.ga" dataDxfId="1015" totalsRowDxfId="1014">
      <calculatedColumnFormula>IF(ISBLANK(Achievements[[#This Row],[LearningAchievement.title.Property.content.el]]),"",Achievements[[#This Row],[LearningAchievement.title.Property.content.el]])</calculatedColumnFormula>
    </tableColumn>
    <tableColumn id="207" name="LearningAchievement.specifiedBy.title.NestedProperty.content.hr" dataDxfId="1013" totalsRowDxfId="1012">
      <calculatedColumnFormula>IF(ISBLANK(Achievements[[#This Row],[LearningAchievement.title.Property.content.es]]),"",Achievements[[#This Row],[LearningAchievement.title.Property.content.es]])</calculatedColumnFormula>
    </tableColumn>
    <tableColumn id="208" name="LearningAchievement.specifiedBy.title.NestedProperty.content.hu" dataDxfId="1011" totalsRowDxfId="1010">
      <calculatedColumnFormula>IF(ISBLANK(Achievements[[#This Row],[LearningAchievement.title.Property.content.es]]),"",Achievements[[#This Row],[LearningAchievement.title.Property.content.es]])</calculatedColumnFormula>
    </tableColumn>
    <tableColumn id="209" name="LearningAchievement.specifiedBy.title.NestedProperty.content.is" dataDxfId="1009" totalsRowDxfId="1008">
      <calculatedColumnFormula>IF(ISBLANK(Achievements[[#This Row],[LearningAchievement.title.Property.content.et]]),"",Achievements[[#This Row],[LearningAchievement.title.Property.content.et]])</calculatedColumnFormula>
    </tableColumn>
    <tableColumn id="210" name="LearningAchievement.specifiedBy.title.NestedProperty.content.it" dataDxfId="1007" totalsRowDxfId="1006">
      <calculatedColumnFormula>IF(ISBLANK(Achievements[[#This Row],[LearningAchievement.title.Property.content.et]]),"",Achievements[[#This Row],[LearningAchievement.title.Property.content.et]])</calculatedColumnFormula>
    </tableColumn>
    <tableColumn id="211" name="LearningAchievement.specifiedBy.title.NestedProperty.content.lt" dataDxfId="1005" totalsRowDxfId="1004">
      <calculatedColumnFormula>IF(ISBLANK(Achievements[[#This Row],[LearningAchievement.title.Property.content.fi]]),"",Achievements[[#This Row],[LearningAchievement.title.Property.content.fi]])</calculatedColumnFormula>
    </tableColumn>
    <tableColumn id="212" name="LearningAchievement.specifiedBy.title.NestedProperty.content.lv" dataDxfId="1003" totalsRowDxfId="1002">
      <calculatedColumnFormula>IF(ISBLANK(Achievements[[#This Row],[LearningAchievement.title.Property.content.fi]]),"",Achievements[[#This Row],[LearningAchievement.title.Property.content.fi]])</calculatedColumnFormula>
    </tableColumn>
    <tableColumn id="213" name="LearningAchievement.specifiedBy.title.NestedProperty.content.mt" dataDxfId="1001" totalsRowDxfId="1000">
      <calculatedColumnFormula>IF(ISBLANK(Achievements[[#This Row],[LearningAchievement.title.Property.content.fr]]),"",Achievements[[#This Row],[LearningAchievement.title.Property.content.fr]])</calculatedColumnFormula>
    </tableColumn>
    <tableColumn id="214" name="LearningAchievement.specifiedBy.title.NestedProperty.content.nl" dataDxfId="999" totalsRowDxfId="998">
      <calculatedColumnFormula>IF(ISBLANK(Achievements[[#This Row],[LearningAchievement.title.Property.content.fr]]),"",Achievements[[#This Row],[LearningAchievement.title.Property.content.fr]])</calculatedColumnFormula>
    </tableColumn>
    <tableColumn id="215" name="LearningAchievement.specifiedBy.title.NestedProperty.content.no" dataDxfId="997" totalsRowDxfId="996">
      <calculatedColumnFormula>IF(ISBLANK(Achievements[[#This Row],[LearningAchievement.title.Property.content.ga]]),"",Achievements[[#This Row],[LearningAchievement.title.Property.content.ga]])</calculatedColumnFormula>
    </tableColumn>
    <tableColumn id="216" name="LearningAchievement.specifiedBy.title.NestedProperty.content.pl" dataDxfId="995" totalsRowDxfId="994">
      <calculatedColumnFormula>IF(ISBLANK(Achievements[[#This Row],[LearningAchievement.title.Property.content.ga]]),"",Achievements[[#This Row],[LearningAchievement.title.Property.content.ga]])</calculatedColumnFormula>
    </tableColumn>
    <tableColumn id="217" name="LearningAchievement.specifiedBy.title.NestedProperty.content.pt" dataDxfId="993" totalsRowDxfId="992">
      <calculatedColumnFormula>IF(ISBLANK(Achievements[[#This Row],[LearningAchievement.title.Property.content.hr]]),"",Achievements[[#This Row],[LearningAchievement.title.Property.content.hr]])</calculatedColumnFormula>
    </tableColumn>
    <tableColumn id="218" name="LearningAchievement.specifiedBy.title.NestedProperty.content.ro" dataDxfId="991" totalsRowDxfId="990">
      <calculatedColumnFormula>IF(ISBLANK(Achievements[[#This Row],[LearningAchievement.title.Property.content.hr]]),"",Achievements[[#This Row],[LearningAchievement.title.Property.content.hr]])</calculatedColumnFormula>
    </tableColumn>
    <tableColumn id="219" name="LearningAchievement.specifiedBy.title.NestedProperty.content.sk" dataDxfId="989" totalsRowDxfId="988">
      <calculatedColumnFormula>IF(ISBLANK(Achievements[[#This Row],[LearningAchievement.title.Property.content.hu]]),"",Achievements[[#This Row],[LearningAchievement.title.Property.content.hu]])</calculatedColumnFormula>
    </tableColumn>
    <tableColumn id="220" name="LearningAchievement.specifiedBy.title.NestedProperty.content.sl" dataDxfId="987" totalsRowDxfId="986">
      <calculatedColumnFormula>IF(ISBLANK(Achievements[[#This Row],[LearningAchievement.title.Property.content.hu]]),"",Achievements[[#This Row],[LearningAchievement.title.Property.content.hu]])</calculatedColumnFormula>
    </tableColumn>
    <tableColumn id="221" name="LearningAchievement.specifiedBy.title.NestedProperty.content.sv" dataDxfId="985" totalsRowDxfId="984">
      <calculatedColumnFormula>IF(ISBLANK(Achievements[[#This Row],[LearningAchievement.title.Property.content.is]]),"",Achievements[[#This Row],[LearningAchievement.title.Property.content.is]])</calculatedColumnFormula>
    </tableColumn>
    <tableColumn id="196" name="LearningAchievement.specifiedBy.description.NestedProperty.content.en" dataDxfId="983" totalsRowDxfId="982"/>
    <tableColumn id="222" name="LearningAchievement.specifiedBy.description.NestedProperty.content.bg" dataDxfId="981" totalsRowDxfId="980"/>
    <tableColumn id="223" name="LearningAchievement.specifiedBy.description.NestedProperty.content.cs" dataDxfId="979" totalsRowDxfId="978"/>
    <tableColumn id="224" name="LearningAchievement.specifiedBy.description.NestedProperty.content.da" dataDxfId="977" totalsRowDxfId="976"/>
    <tableColumn id="225" name="LearningAchievement.specifiedBy.description.NestedProperty.content.de" dataDxfId="975" totalsRowDxfId="974"/>
    <tableColumn id="251" name="LearningAchievement.specifiedBy.description.NestedProperty.content.el" dataDxfId="973" totalsRowDxfId="972"/>
    <tableColumn id="252" name="LearningAchievement.specifiedBy.description.NestedProperty.content.es" dataDxfId="971" totalsRowDxfId="970"/>
    <tableColumn id="253" name="LearningAchievement.specifiedBy.description.NestedProperty.content.et" dataDxfId="969" totalsRowDxfId="968"/>
    <tableColumn id="254" name="LearningAchievement.specifiedBy.description.NestedProperty.content.fi" dataDxfId="967" totalsRowDxfId="966"/>
    <tableColumn id="255" name="LearningAchievement.specifiedBy.description.NestedProperty.content.fr" dataDxfId="965" totalsRowDxfId="964"/>
    <tableColumn id="256" name="LearningAchievement.specifiedBy.description.NestedProperty.content.ga" dataDxfId="963" totalsRowDxfId="962"/>
    <tableColumn id="257" name="LearningAchievement.specifiedBy.description.NestedProperty.content.hr" dataDxfId="961" totalsRowDxfId="960"/>
    <tableColumn id="258" name="LearningAchievement.specifiedBy.description.NestedProperty.content.hu" dataDxfId="959" totalsRowDxfId="958"/>
    <tableColumn id="259" name="LearningAchievement.specifiedBy.description.NestedProperty.content.is" dataDxfId="957" totalsRowDxfId="956"/>
    <tableColumn id="260" name="LearningAchievement.specifiedBy.description.NestedProperty.content.it" dataDxfId="955" totalsRowDxfId="954"/>
    <tableColumn id="261" name="LearningAchievement.specifiedBy.description.NestedProperty.content.lt" dataDxfId="953" totalsRowDxfId="952"/>
    <tableColumn id="262" name="LearningAchievement.specifiedBy.description.NestedProperty.content.lv" dataDxfId="951" totalsRowDxfId="950"/>
    <tableColumn id="263" name="LearningAchievement.specifiedBy.description.NestedProperty.content.mt" dataDxfId="949" totalsRowDxfId="948"/>
    <tableColumn id="264" name="LearningAchievement.specifiedBy.description.NestedProperty.content.nl" dataDxfId="947" totalsRowDxfId="946"/>
    <tableColumn id="265" name="LearningAchievement.specifiedBy.description.NestedProperty.content.no" dataDxfId="945" totalsRowDxfId="944"/>
    <tableColumn id="266" name="LearningAchievement.specifiedBy.description.NestedProperty.content.pl" dataDxfId="943" totalsRowDxfId="942"/>
    <tableColumn id="267" name="LearningAchievement.specifiedBy.description.NestedProperty.content.pt" dataDxfId="941" totalsRowDxfId="940"/>
    <tableColumn id="268" name="LearningAchievement.specifiedBy.description.NestedProperty.content.ro" dataDxfId="939" totalsRowDxfId="938"/>
    <tableColumn id="269" name="LearningAchievement.specifiedBy.description.NestedProperty.content.sk" dataDxfId="937" totalsRowDxfId="936"/>
    <tableColumn id="270" name="LearningAchievement.specifiedBy.description.NestedProperty.content.sl" dataDxfId="935" totalsRowDxfId="934"/>
    <tableColumn id="23" name="LearningAchievement.specifiedBy.description.NestedProperty.content.sv" dataDxfId="933" totalsRowDxfId="932"/>
    <tableColumn id="271" name="LearningAchievement.specifiedBy.identifier#1.identifierSchemeId.NestedProperty" dataDxfId="931" totalsRowDxfId="930">
      <calculatedColumnFormula>IF(ISBLANK(DV$11),"",DV$11)</calculatedColumnFormula>
    </tableColumn>
    <tableColumn id="273" name="LearningAchievement.specifiedBy.identifier.content.NestedProperty" dataDxfId="929" totalsRowDxfId="928"/>
    <tableColumn id="195" name="LearningAchievement.specifiedBy.homePage#1.id.NestedProperty." dataDxfId="927" totalsRowDxfId="926"/>
    <tableColumn id="17" name="LearningAchievement.specifiedBy.learningOutcome.MultiReference.LearningOutcome." dataDxfId="925" totalsRowDxfId="924"/>
    <tableColumn id="139" name="LearningAchievement.specifiedBy.learningOutcome.NestedAssociation.LearningOutcome." dataDxfId="923" totalsRowDxfId="922">
      <calculatedColumnFormula array="1">MultiMatch(Achievements[[#This Row],[LearningAchievement.specifiedBy.learningOutcome.MultiReference.LearningOutcome.]],LearningOutcomeNames,0)</calculatedColumnFormula>
    </tableColumn>
    <tableColumn id="18" name="LearningAchievement.specifiedBy.volumeOfLearning.NestedProperty." dataDxfId="921" totalsRowDxfId="920"/>
    <tableColumn id="19" name="LearningAchievement.specifiedBy.maximumDuration.NestedProperty." dataDxfId="919" totalsRowDxfId="918"/>
    <tableColumn id="20" name="LearningAchievement.specifiedBy.ectsCreditPoints.content.NestedProperty." dataDxfId="917" totalsRowDxfId="916"/>
    <tableColumn id="83" name="LearningAchievement.specifiedBy.iscedFCode.reference." dataDxfId="915" totalsRowDxfId="914">
      <calculatedColumnFormula>IF(ISBLANK(ED$11),"",ED$11)</calculatedColumnFormula>
    </tableColumn>
    <tableColumn id="21" name="LearningAchievement.specifiedBy.iscedFCode.NestedAssociation.Code." dataDxfId="913" totalsRowDxfId="912">
      <calculatedColumnFormula array="1">MultiMatch(Achievements[[#This Row],[LearningAchievement.specifiedBy.iscedFCode.reference.]],Vocabularies[name],0)</calculatedColumnFormula>
    </tableColumn>
    <tableColumn id="25" name="LearningAchievement.specifiedBy.mode.MultiReference." dataDxfId="911" totalsRowDxfId="910">
      <calculatedColumnFormula>IF(ISBLANK(EF$11),"",EF$11)</calculatedColumnFormula>
    </tableColumn>
    <tableColumn id="26" name="LearningAchievement.specifiedBy.mode.NestedAssociation.Code." dataDxfId="909" totalsRowDxfId="908">
      <calculatedColumnFormula array="1">MultiMatch(Achievements[[#This Row],[LearningAchievement.specifiedBy.mode.MultiReference.]],Vocabularies[name],0)</calculatedColumnFormula>
    </tableColumn>
    <tableColumn id="29" name="LearningAchievement.specifiedBy.language.MultiReference." dataDxfId="907" totalsRowDxfId="906">
      <calculatedColumnFormula>IF(ISBLANK(EH$11),"",EH$11)</calculatedColumnFormula>
    </tableColumn>
    <tableColumn id="30" name="LearningAchievement.specifiedBy.language.NestedAssociation.Code." dataDxfId="905" totalsRowDxfId="904">
      <calculatedColumnFormula array="1">MultiMatch(Achievements[[#This Row],[LearningAchievement.specifiedBy.language.MultiReference.]],Vocabularies[name],0)</calculatedColumnFormula>
    </tableColumn>
    <tableColumn id="33" name="LearningAchievement.specifiedBy.learningSetting.Reference." dataDxfId="903" totalsRowDxfId="902">
      <calculatedColumnFormula>IF(ISBLANK(EJ$11),"",EJ$11)</calculatedColumnFormula>
    </tableColumn>
    <tableColumn id="34" name="LearningAchievement.specifiedBy.learningSetting.NestedAssociation.Code." dataDxfId="901" totalsRowDxfId="900">
      <calculatedColumnFormula array="1">MultiMatch(Achievements[[#This Row],[LearningAchievement.specifiedBy.learningSetting.Reference.]],Vocabularies[name],0)</calculatedColumnFormula>
    </tableColumn>
    <tableColumn id="35" name="LearningAchievement.specifiedBy.learningOpportunityType.Reference." dataDxfId="899" totalsRowDxfId="898">
      <calculatedColumnFormula>IF(ISBLANK(EL$11),"",EL$11)</calculatedColumnFormula>
    </tableColumn>
    <tableColumn id="36" name="LearningAchievement.specifiedBy.learningOpportunityType.NestedAssociation.Code." dataDxfId="897" totalsRowDxfId="896">
      <calculatedColumnFormula array="1">MultiMatch(Achievements[[#This Row],[LearningAchievement.specifiedBy.learningOpportunityType.Reference.]],Vocabularies[name],0)</calculatedColumnFormula>
    </tableColumn>
    <tableColumn id="40" name="LearningAchievement.specifiedBy.entryRequirementNote.NestedProperty.en" dataDxfId="895" totalsRowDxfId="894"/>
    <tableColumn id="226" name="LearningAchievement.specifiedBy.entryRequirementNote.NestedProperty.bg" dataDxfId="893" totalsRowDxfId="892"/>
    <tableColumn id="227" name="LearningAchievement.specifiedBy.entryRequirementNote.NestedProperty.cs" dataDxfId="891" totalsRowDxfId="890"/>
    <tableColumn id="228" name="LearningAchievement.specifiedBy.entryRequirementNote.NestedProperty.da" dataDxfId="889" totalsRowDxfId="888"/>
    <tableColumn id="229" name="LearningAchievement.specifiedBy.entryRequirementNote.NestedProperty.de" dataDxfId="887" totalsRowDxfId="886"/>
    <tableColumn id="230" name="LearningAchievement.specifiedBy.entryRequirementNote.NestedProperty.el" dataDxfId="885" totalsRowDxfId="884"/>
    <tableColumn id="231" name="LearningAchievement.specifiedBy.entryRequirementNote.NestedProperty.es" dataDxfId="883" totalsRowDxfId="882"/>
    <tableColumn id="232" name="LearningAchievement.specifiedBy.entryRequirementNote.NestedProperty.et" dataDxfId="881" totalsRowDxfId="880"/>
    <tableColumn id="233" name="LearningAchievement.specifiedBy.entryRequirementNote.NestedProperty.fi" dataDxfId="879" totalsRowDxfId="878"/>
    <tableColumn id="234" name="LearningAchievement.specifiedBy.entryRequirementNote.NestedProperty.fr" dataDxfId="877" totalsRowDxfId="876"/>
    <tableColumn id="235" name="LearningAchievement.specifiedBy.entryRequirementNote.NestedProperty.ga" dataDxfId="875" totalsRowDxfId="874"/>
    <tableColumn id="236" name="LearningAchievement.specifiedBy.entryRequirementNote.NestedProperty.hr" dataDxfId="873" totalsRowDxfId="872"/>
    <tableColumn id="237" name="LearningAchievement.specifiedBy.entryRequirementNote.NestedProperty.hu" dataDxfId="871" totalsRowDxfId="870"/>
    <tableColumn id="238" name="LearningAchievement.specifiedBy.entryRequirementNote.NestedProperty.is" dataDxfId="869" totalsRowDxfId="868"/>
    <tableColumn id="239" name="LearningAchievement.specifiedBy.entryRequirementNote.NestedProperty.it" dataDxfId="867" totalsRowDxfId="866"/>
    <tableColumn id="240" name="LearningAchievement.specifiedBy.entryRequirementNote.NestedProperty.lt" dataDxfId="865" totalsRowDxfId="864"/>
    <tableColumn id="241" name="LearningAchievement.specifiedBy.entryRequirementNote.NestedProperty.lv" dataDxfId="863" totalsRowDxfId="862"/>
    <tableColumn id="242" name="LearningAchievement.specifiedBy.entryRequirementNote.NestedProperty.mt" dataDxfId="861" totalsRowDxfId="860"/>
    <tableColumn id="243" name="LearningAchievement.specifiedBy.entryRequirementNote.NestedProperty.nl" dataDxfId="859" totalsRowDxfId="858"/>
    <tableColumn id="244" name="LearningAchievement.specifiedBy.entryRequirementNote.NestedProperty.no" dataDxfId="857" totalsRowDxfId="856"/>
    <tableColumn id="245" name="LearningAchievement.specifiedBy.entryRequirementNote.NestedProperty.pl" dataDxfId="855" totalsRowDxfId="854"/>
    <tableColumn id="246" name="LearningAchievement.specifiedBy.entryRequirementNote.NestedProperty.pt" dataDxfId="853" totalsRowDxfId="852"/>
    <tableColumn id="247" name="LearningAchievement.specifiedBy.entryRequirementNote.NestedProperty.ro" dataDxfId="851" totalsRowDxfId="850"/>
    <tableColumn id="248" name="LearningAchievement.specifiedBy.entryRequirementNote.NestedProperty.sk" dataDxfId="849" totalsRowDxfId="848"/>
    <tableColumn id="249" name="LearningAchievement.specifiedBy.entryRequirementNote.NestedProperty.sl" dataDxfId="847" totalsRowDxfId="846"/>
    <tableColumn id="250" name="LearningAchievement.specifiedBy.entryRequirementNote.NestedProperty.sv" dataDxfId="845" totalsRowDxfId="844"/>
    <tableColumn id="194" name="LearningAchievement.specifiedBy.entryRequirementNote.NestedProperty.en2" dataDxfId="843" totalsRowDxfId="842"/>
    <tableColumn id="43" name="LearningAchievement.specifiedBy.additionalNote.NestedProperty.topic.1.en" dataDxfId="841" totalsRowDxfId="840">
      <calculatedColumnFormula>IF(ISBLANK(FO$11),"",FO$11)</calculatedColumnFormula>
    </tableColumn>
    <tableColumn id="44" name="LearningAchievement.specifiedBy.additionalNote.NestedProperty.content.1.en" dataDxfId="839" totalsRowDxfId="838">
      <calculatedColumnFormula>IF(ISBLANK(FP$11),"",FP$11)</calculatedColumnFormula>
    </tableColumn>
    <tableColumn id="92" name="LearningAchievement.specifiedBy.additionalNote.NestedProperty.content.1.bg" dataDxfId="837" totalsRowDxfId="836">
      <calculatedColumnFormula>IF(ISBLANK(FQ$11),"",FQ$11)</calculatedColumnFormula>
    </tableColumn>
    <tableColumn id="93" name="LearningAchievement.specifiedBy.additionalNote.NestedProperty.content.1.cs" dataDxfId="835" totalsRowDxfId="834">
      <calculatedColumnFormula>IF(ISBLANK(FR$11),"",FR$11)</calculatedColumnFormula>
    </tableColumn>
    <tableColumn id="94" name="LearningAchievement.specifiedBy.additionalNote.NestedProperty.content.1.da" dataDxfId="833" totalsRowDxfId="832">
      <calculatedColumnFormula>IF(ISBLANK(FS$11),"",FS$11)</calculatedColumnFormula>
    </tableColumn>
    <tableColumn id="95" name="LearningAchievement.specifiedBy.additionalNote.NestedProperty.content.1.de" dataDxfId="831" totalsRowDxfId="830">
      <calculatedColumnFormula>IF(ISBLANK(FT$11),"",FT$11)</calculatedColumnFormula>
    </tableColumn>
    <tableColumn id="96" name="LearningAchievement.specifiedBy.additionalNote.NestedProperty.content.1.el" dataDxfId="829" totalsRowDxfId="828">
      <calculatedColumnFormula>IF(ISBLANK(FU$11),"",FU$11)</calculatedColumnFormula>
    </tableColumn>
    <tableColumn id="97" name="LearningAchievement.specifiedBy.additionalNote.NestedProperty.content.1.es" dataDxfId="827" totalsRowDxfId="826">
      <calculatedColumnFormula>IF(ISBLANK(FV$11),"",FV$11)</calculatedColumnFormula>
    </tableColumn>
    <tableColumn id="98" name="LearningAchievement.specifiedBy.additionalNote.NestedProperty.content.1.et" dataDxfId="825" totalsRowDxfId="824">
      <calculatedColumnFormula>IF(ISBLANK(FW$11),"",FW$11)</calculatedColumnFormula>
    </tableColumn>
    <tableColumn id="99" name="LearningAchievement.specifiedBy.additionalNote.NestedProperty.content.1.fi" dataDxfId="823" totalsRowDxfId="822">
      <calculatedColumnFormula>IF(ISBLANK(FX$11),"",FX$11)</calculatedColumnFormula>
    </tableColumn>
    <tableColumn id="100" name="LearningAchievement.specifiedBy.additionalNote.NestedProperty.content.1.fr" dataDxfId="821" totalsRowDxfId="820">
      <calculatedColumnFormula>IF(ISBLANK(FY$11),"",FY$11)</calculatedColumnFormula>
    </tableColumn>
    <tableColumn id="101" name="LearningAchievement.specifiedBy.additionalNote.NestedProperty.content.1.ga" dataDxfId="819" totalsRowDxfId="818">
      <calculatedColumnFormula>IF(ISBLANK(FZ$11),"",FZ$11)</calculatedColumnFormula>
    </tableColumn>
    <tableColumn id="127" name="LearningAchievement.specifiedBy.additionalNote.NestedProperty.content.1.hr" dataDxfId="817" totalsRowDxfId="816">
      <calculatedColumnFormula>IF(ISBLANK(GA$11),"",GA$11)</calculatedColumnFormula>
    </tableColumn>
    <tableColumn id="128" name="LearningAchievement.specifiedBy.additionalNote.NestedProperty.content.1.hu" dataDxfId="815" totalsRowDxfId="814">
      <calculatedColumnFormula>IF(ISBLANK(GB$11),"",GB$11)</calculatedColumnFormula>
    </tableColumn>
    <tableColumn id="129" name="LearningAchievement.specifiedBy.additionalNote.NestedProperty.content.1.is" dataDxfId="813" totalsRowDxfId="812">
      <calculatedColumnFormula>IF(ISBLANK(GC$11),"",GC$11)</calculatedColumnFormula>
    </tableColumn>
    <tableColumn id="130" name="LearningAchievement.specifiedBy.additionalNote.NestedProperty.content.1.it" dataDxfId="811" totalsRowDxfId="810">
      <calculatedColumnFormula>IF(ISBLANK(GD$11),"",GD$11)</calculatedColumnFormula>
    </tableColumn>
    <tableColumn id="131" name="LearningAchievement.specifiedBy.additionalNote.NestedProperty.content.1.lt" dataDxfId="809" totalsRowDxfId="808">
      <calculatedColumnFormula>IF(ISBLANK(GE$11),"",GE$11)</calculatedColumnFormula>
    </tableColumn>
    <tableColumn id="132" name="LearningAchievement.specifiedBy.additionalNote.NestedProperty.content.1.lv" dataDxfId="807" totalsRowDxfId="806">
      <calculatedColumnFormula>IF(ISBLANK(GF$11),"",GF$11)</calculatedColumnFormula>
    </tableColumn>
    <tableColumn id="133" name="LearningAchievement.specifiedBy.additionalNote.NestedProperty.content.1.mt" dataDxfId="805" totalsRowDxfId="804">
      <calculatedColumnFormula>IF(ISBLANK(GG$11),"",GG$11)</calculatedColumnFormula>
    </tableColumn>
    <tableColumn id="134" name="LearningAchievement.specifiedBy.additionalNote.NestedProperty.content.1.nl" dataDxfId="803" totalsRowDxfId="802">
      <calculatedColumnFormula>IF(ISBLANK(GH$11),"",GH$11)</calculatedColumnFormula>
    </tableColumn>
    <tableColumn id="135" name="LearningAchievement.specifiedBy.additionalNote.NestedProperty.content.1.no" dataDxfId="801" totalsRowDxfId="800">
      <calculatedColumnFormula>IF(ISBLANK(GI$11),"",GI$11)</calculatedColumnFormula>
    </tableColumn>
    <tableColumn id="136" name="LearningAchievement.specifiedBy.additionalNote.NestedProperty.content.1.pl" dataDxfId="799" totalsRowDxfId="798">
      <calculatedColumnFormula>IF(ISBLANK(GJ$11),"",GJ$11)</calculatedColumnFormula>
    </tableColumn>
    <tableColumn id="137" name="LearningAchievement.specifiedBy.additionalNote.NestedProperty.content.1.pt" dataDxfId="797" totalsRowDxfId="796">
      <calculatedColumnFormula>IF(ISBLANK(GK$11),"",GK$11)</calculatedColumnFormula>
    </tableColumn>
    <tableColumn id="138" name="LearningAchievement.specifiedBy.additionalNote.NestedProperty.content.1.ro" dataDxfId="795" totalsRowDxfId="794">
      <calculatedColumnFormula>IF(ISBLANK(GL$11),"",GL$11)</calculatedColumnFormula>
    </tableColumn>
    <tableColumn id="140" name="LearningAchievement.specifiedBy.additionalNote.NestedProperty.content.1.sk" dataDxfId="793" totalsRowDxfId="792">
      <calculatedColumnFormula>IF(ISBLANK(GM$11),"",GM$11)</calculatedColumnFormula>
    </tableColumn>
    <tableColumn id="141" name="LearningAchievement.specifiedBy.additionalNote.NestedProperty.content.1.sl" dataDxfId="791" totalsRowDxfId="790">
      <calculatedColumnFormula>IF(ISBLANK(GN$11),"",GN$11)</calculatedColumnFormula>
    </tableColumn>
    <tableColumn id="142" name="LearningAchievement.specifiedBy.additionalNote.NestedProperty.content.1.sv" dataDxfId="789" totalsRowDxfId="788">
      <calculatedColumnFormula>IF(ISBLANK(GO$11),"",GO$11)</calculatedColumnFormula>
    </tableColumn>
    <tableColumn id="22" name="LearningAchievement.specifiedBy.additionalNote.NestedProperty.topic.2." dataDxfId="787" totalsRowDxfId="786">
      <calculatedColumnFormula>IF(ISBLANK(GP$11),"",GP$11)</calculatedColumnFormula>
    </tableColumn>
    <tableColumn id="46" name="LearningAchievement.specifiedBy.additionalNote.NestedProperty.content.2.en" dataDxfId="785" totalsRowDxfId="784"/>
    <tableColumn id="168" name="LearningAchievement.specifiedBy.additionalNote.NestedProperty.content.2.bg" dataDxfId="783" totalsRowDxfId="782"/>
    <tableColumn id="169" name="LearningAchievement.specifiedBy.additionalNote.NestedProperty.content.2.cs" dataDxfId="781" totalsRowDxfId="780"/>
    <tableColumn id="170" name="LearningAchievement.specifiedBy.additionalNote.NestedProperty.content.2.da" dataDxfId="779" totalsRowDxfId="778"/>
    <tableColumn id="171" name="LearningAchievement.specifiedBy.additionalNote.NestedProperty.content.2.de" dataDxfId="777" totalsRowDxfId="776"/>
    <tableColumn id="172" name="LearningAchievement.specifiedBy.additionalNote.NestedProperty.content.2.el" dataDxfId="775" totalsRowDxfId="774"/>
    <tableColumn id="173" name="LearningAchievement.specifiedBy.additionalNote.NestedProperty.content.2.es" dataDxfId="773" totalsRowDxfId="772"/>
    <tableColumn id="174" name="LearningAchievement.specifiedBy.additionalNote.NestedProperty.content.2.et" dataDxfId="771" totalsRowDxfId="770"/>
    <tableColumn id="175" name="LearningAchievement.specifiedBy.additionalNote.NestedProperty.content.2.fi" dataDxfId="769" totalsRowDxfId="768"/>
    <tableColumn id="176" name="LearningAchievement.specifiedBy.additionalNote.NestedProperty.content.2.fr" dataDxfId="767" totalsRowDxfId="766"/>
    <tableColumn id="177" name="LearningAchievement.specifiedBy.additionalNote.NestedProperty.content.2.ga" dataDxfId="765" totalsRowDxfId="764"/>
    <tableColumn id="178" name="LearningAchievement.specifiedBy.additionalNote.NestedProperty.content.2.hr" dataDxfId="763" totalsRowDxfId="762"/>
    <tableColumn id="179" name="LearningAchievement.specifiedBy.additionalNote.NestedProperty.content.2.hu" dataDxfId="761" totalsRowDxfId="760"/>
    <tableColumn id="180" name="LearningAchievement.specifiedBy.additionalNote.NestedProperty.content.2.is" dataDxfId="759" totalsRowDxfId="758"/>
    <tableColumn id="181" name="LearningAchievement.specifiedBy.additionalNote.NestedProperty.content.2.it" dataDxfId="757" totalsRowDxfId="756"/>
    <tableColumn id="182" name="LearningAchievement.specifiedBy.additionalNote.NestedProperty.content.2.lt" dataDxfId="755" totalsRowDxfId="754"/>
    <tableColumn id="183" name="LearningAchievement.specifiedBy.additionalNote.NestedProperty.content.2.lv" dataDxfId="753" totalsRowDxfId="752"/>
    <tableColumn id="184" name="LearningAchievement.specifiedBy.additionalNote.NestedProperty.content.2.mt" dataDxfId="751" totalsRowDxfId="750"/>
    <tableColumn id="185" name="LearningAchievement.specifiedBy.additionalNote.NestedProperty.content.2.nl" dataDxfId="749" totalsRowDxfId="748"/>
    <tableColumn id="186" name="LearningAchievement.specifiedBy.additionalNote.NestedProperty.content.2.no" dataDxfId="747" totalsRowDxfId="746"/>
    <tableColumn id="187" name="LearningAchievement.specifiedBy.additionalNote.NestedProperty.content.2.pl" dataDxfId="745" totalsRowDxfId="744"/>
    <tableColumn id="188" name="LearningAchievement.specifiedBy.additionalNote.NestedProperty.content.2.pt" dataDxfId="743" totalsRowDxfId="742"/>
    <tableColumn id="189" name="LearningAchievement.specifiedBy.additionalNote.NestedProperty.content.2.ro" dataDxfId="741" totalsRowDxfId="740"/>
    <tableColumn id="190" name="LearningAchievement.specifiedBy.additionalNote.NestedProperty.content.2.sk" dataDxfId="739" totalsRowDxfId="738"/>
    <tableColumn id="191" name="LearningAchievement.specifiedBy.additionalNote.NestedProperty.content.2.sl" dataDxfId="737" totalsRowDxfId="736"/>
    <tableColumn id="192" name="LearningAchievement.specifiedBy.additionalNote.NestedProperty.content.2.sv" dataDxfId="735" totalsRowDxfId="734"/>
  </tableColumns>
  <tableStyleInfo name="TableStyleMedium2" showFirstColumn="0" showLastColumn="0" showRowStripes="1" showColumnStripes="0"/>
</table>
</file>

<file path=xl/tables/table5.xml><?xml version="1.0" encoding="utf-8"?>
<table xmlns="http://schemas.openxmlformats.org/spreadsheetml/2006/main" id="19" name="LearningOutcomes" displayName="LearningOutcomes" ref="B12:BJ13" totalsRowShown="0" dataDxfId="733">
  <autoFilter ref="B12:BJ13"/>
  <tableColumns count="61">
    <tableColumn id="1" name="LearningOutcome.name.Property.content.en" dataDxfId="732"/>
    <tableColumn id="12" name="LearningOutcome.name.Property.content.bg" dataDxfId="731"/>
    <tableColumn id="13" name="LearningOutcome.name.Property.content.cs" dataDxfId="730"/>
    <tableColumn id="14" name="LearningOutcome.name.Property.content.da" dataDxfId="729"/>
    <tableColumn id="15" name="LearningOutcome.name.Property.content.de" dataDxfId="728"/>
    <tableColumn id="16" name="LearningOutcome.name.Property.content.el" dataDxfId="727"/>
    <tableColumn id="17" name="LearningOutcome.name.Property.content.es" dataDxfId="726"/>
    <tableColumn id="18" name="LearningOutcome.name.Property.content.et" dataDxfId="725"/>
    <tableColumn id="19" name="LearningOutcome.name.Property.content.fi" dataDxfId="724"/>
    <tableColumn id="20" name="LearningOutcome.name.Property.content.fr" dataDxfId="723"/>
    <tableColumn id="21" name="LearningOutcome.name.Property.content.ga" dataDxfId="722"/>
    <tableColumn id="22" name="LearningOutcome.name.Property.content.hr" dataDxfId="721"/>
    <tableColumn id="23" name="LearningOutcome.name.Property.content.hu" dataDxfId="720"/>
    <tableColumn id="24" name="LearningOutcome.name.Property.content.is" dataDxfId="719"/>
    <tableColumn id="25" name="LearningOutcome.name.Property.content.it" dataDxfId="718"/>
    <tableColumn id="26" name="LearningOutcome.name.Property.content.lt" dataDxfId="717"/>
    <tableColumn id="27" name="LearningOutcome.name.Property.content.lv" dataDxfId="716"/>
    <tableColumn id="28" name="LearningOutcome.name.Property.content.mt" dataDxfId="715"/>
    <tableColumn id="29" name="LearningOutcome.name.Property.content.nl" dataDxfId="714"/>
    <tableColumn id="30" name="LearningOutcome.name.Property.content.no" dataDxfId="713"/>
    <tableColumn id="31" name="LearningOutcome.name.Property.content.pl" dataDxfId="712"/>
    <tableColumn id="32" name="LearningOutcome.name.Property.content.pt" dataDxfId="711"/>
    <tableColumn id="33" name="LearningOutcome.name.Property.content.ro" dataDxfId="710"/>
    <tableColumn id="34" name="LearningOutcome.name.Property.content.sk" dataDxfId="709"/>
    <tableColumn id="35" name="LearningOutcome.name.Property.content.sl" dataDxfId="708"/>
    <tableColumn id="36" name="LearningOutcome.name.Property.content.sv" dataDxfId="707"/>
    <tableColumn id="4" name="LearningOutcome.identifier#1.identifierSchemeId.NestedProperty." dataDxfId="706">
      <calculatedColumnFormula>IF(ISBLANK(AB$11),"",AB$11)</calculatedColumnFormula>
    </tableColumn>
    <tableColumn id="3" name="LearningOutcome.identifier#1.content.NestedProperty." dataDxfId="705"/>
    <tableColumn id="2" name="LearningOutcome.description.Property.content.en" dataDxfId="704"/>
    <tableColumn id="37" name="LearningOutcome.description.Property.content.bg" dataDxfId="703"/>
    <tableColumn id="38" name="LearningOutcome.description.Property.content.cs" dataDxfId="702"/>
    <tableColumn id="39" name="LearningOutcome.description.Property.content.da" dataDxfId="701"/>
    <tableColumn id="40" name="LearningOutcome.description.Property.content.de" dataDxfId="700"/>
    <tableColumn id="41" name="LearningOutcome.description.Property.content.el" dataDxfId="699"/>
    <tableColumn id="42" name="LearningOutcome.description.Property.content.es" dataDxfId="698"/>
    <tableColumn id="43" name="LearningOutcome.description.Property.content.et" dataDxfId="697"/>
    <tableColumn id="44" name="LearningOutcome.description.Property.content.fi" dataDxfId="696"/>
    <tableColumn id="45" name="LearningOutcome.description.Property.content.fr" dataDxfId="695"/>
    <tableColumn id="46" name="LearningOutcome.description.Property.content.ga" dataDxfId="694"/>
    <tableColumn id="47" name="LearningOutcome.description.Property.content.hr" dataDxfId="693"/>
    <tableColumn id="48" name="LearningOutcome.description.Property.content.hu" dataDxfId="692"/>
    <tableColumn id="49" name="LearningOutcome.description.Property.content.is" dataDxfId="691"/>
    <tableColumn id="50" name="LearningOutcome.description.Property.content.it" dataDxfId="690"/>
    <tableColumn id="51" name="LearningOutcome.description.Property.content.lt" dataDxfId="689"/>
    <tableColumn id="52" name="LearningOutcome.description.Property.content.lv" dataDxfId="688"/>
    <tableColumn id="53" name="LearningOutcome.description.Property.content.mt" dataDxfId="687"/>
    <tableColumn id="54" name="LearningOutcome.description.Property.content.nl" dataDxfId="686"/>
    <tableColumn id="55" name="LearningOutcome.description.Property.content.no" dataDxfId="685"/>
    <tableColumn id="56" name="LearningOutcome.description.Property.content.pl" dataDxfId="684"/>
    <tableColumn id="57" name="LearningOutcome.description.Property.content.pt" dataDxfId="683"/>
    <tableColumn id="58" name="LearningOutcome.description.Property.content.ro" dataDxfId="682"/>
    <tableColumn id="59" name="LearningOutcome.description.Property.content.sk" dataDxfId="681"/>
    <tableColumn id="60" name="LearningOutcome.description.Property.content.sl" dataDxfId="680"/>
    <tableColumn id="61" name="LearningOutcome.description.Property.content.sv" dataDxfId="679"/>
    <tableColumn id="5" name="LearningOutcome.learningOutcomeType.Reference." dataDxfId="678"/>
    <tableColumn id="6" name="LearningOutcome.learningOutcomeType.Association.code.en" dataDxfId="677">
      <calculatedColumnFormula array="1">MultiMatch(LearningOutcomes[[#This Row],[LearningOutcome.learningOutcomeType.Reference.]],Vocabularies[name],0)</calculatedColumnFormula>
    </tableColumn>
    <tableColumn id="7" name="LearningOutcome.reusabilityLevel.Reference." dataDxfId="676"/>
    <tableColumn id="8" name="LearningOutcome.reusabilityLevel.Association.content.en" dataDxfId="675">
      <calculatedColumnFormula array="1">MultiMatch(LearningOutcomes[[#This Row],[LearningOutcome.reusabilityLevel.Reference.]],Vocabularies[name],0)</calculatedColumnFormula>
    </tableColumn>
    <tableColumn id="9" name="LearningOutcome.relatedESCOSkill#1.targetResource.NestedProperty." dataDxfId="674"/>
    <tableColumn id="10" name="LearningOutcome.relatedESCOSkill#2.targetResource.NestedProperty." dataDxfId="673"/>
    <tableColumn id="11" name="LearningOutcome.relatedESCOSkill#3.targetResource.NestedProperty." dataDxfId="672"/>
  </tableColumns>
  <tableStyleInfo name="TableStyleMedium2" showFirstColumn="0" showLastColumn="0" showRowStripes="1" showColumnStripes="0"/>
</table>
</file>

<file path=xl/tables/table6.xml><?xml version="1.0" encoding="utf-8"?>
<table xmlns="http://schemas.openxmlformats.org/spreadsheetml/2006/main" id="16" name="Activities" displayName="Activities" ref="B12:KA13" totalsRowShown="0" headerRowDxfId="671" dataDxfId="670">
  <autoFilter ref="B12:KA13"/>
  <tableColumns count="286">
    <tableColumn id="1" name="LearningActivity.title.Property.content.en" dataDxfId="669"/>
    <tableColumn id="29" name="LearningActivity.title.Property.content.bg" dataDxfId="668"/>
    <tableColumn id="30" name="LearningActivity.title.Property.content.cs" dataDxfId="667"/>
    <tableColumn id="31" name="LearningActivity.title.Property.content.da" dataDxfId="666"/>
    <tableColumn id="32" name="LearningActivity.title.Property.content.de" dataDxfId="665"/>
    <tableColumn id="33" name="LearningActivity.title.Property.content.el" dataDxfId="664"/>
    <tableColumn id="34" name="LearningActivity.title.Property.content.es" dataDxfId="663"/>
    <tableColumn id="35" name="LearningActivity.title.Property.content.et" dataDxfId="662"/>
    <tableColumn id="36" name="LearningActivity.title.Property.content.fi" dataDxfId="661"/>
    <tableColumn id="37" name="LearningActivity.title.Property.content.fr" dataDxfId="660"/>
    <tableColumn id="38" name="LearningActivity.title.Property.content.ga" dataDxfId="659"/>
    <tableColumn id="39" name="LearningActivity.title.Property.content.hr" dataDxfId="658"/>
    <tableColumn id="40" name="LearningActivity.title.Property.content.hu" dataDxfId="657"/>
    <tableColumn id="41" name="LearningActivity.title.Property.content.is" dataDxfId="656"/>
    <tableColumn id="42" name="LearningActivity.title.Property.content.it" dataDxfId="655"/>
    <tableColumn id="43" name="LearningActivity.title.Property.content.lt" dataDxfId="654"/>
    <tableColumn id="44" name="LearningActivity.title.Property.content.lv" dataDxfId="653"/>
    <tableColumn id="45" name="LearningActivity.title.Property.content.mt" dataDxfId="652"/>
    <tableColumn id="46" name="LearningActivity.title.Property.content.nl" dataDxfId="651"/>
    <tableColumn id="47" name="LearningActivity.title.Property.content.no" dataDxfId="650"/>
    <tableColumn id="48" name="LearningActivity.title.Property.content.pl" dataDxfId="649"/>
    <tableColumn id="49" name="LearningActivity.title.Property.content.pt" dataDxfId="648"/>
    <tableColumn id="50" name="LearningActivity.title.Property.content.ro" dataDxfId="647"/>
    <tableColumn id="51" name="LearningActivity.title.Property.content.sk" dataDxfId="646"/>
    <tableColumn id="52" name="LearningActivity.title.Property.content.sl" dataDxfId="645"/>
    <tableColumn id="53" name="LearningActivity.title.Property.content.sv" dataDxfId="644"/>
    <tableColumn id="9" name="LearningActivity.identifier#1.identifierSchemeId.NestedProperty." dataDxfId="643">
      <calculatedColumnFormula>IF(ISBLANK(AB$11),"",AB$11)</calculatedColumnFormula>
    </tableColumn>
    <tableColumn id="8" name="LearningActivity.identifier#1.content.NestedProperty." dataDxfId="642"/>
    <tableColumn id="2" name="LearningActivity.Description.Property.content.en" dataDxfId="641"/>
    <tableColumn id="54" name="LearningActivity.Description.Property.content.bg" dataDxfId="640"/>
    <tableColumn id="55" name="LearningActivity.Description.Property.content.cs" dataDxfId="639"/>
    <tableColumn id="56" name="LearningActivity.Description.Property.content.da" dataDxfId="638"/>
    <tableColumn id="57" name="LearningActivity.Description.Property.content.de" dataDxfId="637"/>
    <tableColumn id="58" name="LearningActivity.Description.Property.content.el" dataDxfId="636"/>
    <tableColumn id="59" name="LearningActivity.Description.Property.content.es" dataDxfId="635"/>
    <tableColumn id="60" name="LearningActivity.Description.Property.content.et" dataDxfId="634"/>
    <tableColumn id="61" name="LearningActivity.Description.Property.content.fi" dataDxfId="633"/>
    <tableColumn id="62" name="LearningActivity.Description.Property.content.fr" dataDxfId="632"/>
    <tableColumn id="63" name="LearningActivity.Description.Property.content.ga" dataDxfId="631"/>
    <tableColumn id="64" name="LearningActivity.Description.Property.content.hr" dataDxfId="630"/>
    <tableColumn id="65" name="LearningActivity.Description.Property.content.hu" dataDxfId="629"/>
    <tableColumn id="66" name="LearningActivity.Description.Property.content.is" dataDxfId="628"/>
    <tableColumn id="67" name="LearningActivity.Description.Property.content.it" dataDxfId="627"/>
    <tableColumn id="68" name="LearningActivity.Description.Property.content.lt" dataDxfId="626"/>
    <tableColumn id="69" name="LearningActivity.Description.Property.content.lv" dataDxfId="625"/>
    <tableColumn id="70" name="LearningActivity.Description.Property.content.mt" dataDxfId="624"/>
    <tableColumn id="71" name="LearningActivity.Description.Property.content.nl" dataDxfId="623"/>
    <tableColumn id="72" name="LearningActivity.Description.Property.content.no" dataDxfId="622"/>
    <tableColumn id="73" name="LearningActivity.Description.Property.content.pl" dataDxfId="621"/>
    <tableColumn id="74" name="LearningActivity.Description.Property.content.pt" dataDxfId="620"/>
    <tableColumn id="75" name="LearningActivity.Description.Property.content.ro" dataDxfId="619"/>
    <tableColumn id="76" name="LearningActivity.Description.Property.content.sk" dataDxfId="618"/>
    <tableColumn id="77" name="LearningActivity.Description.Property.content.sl" dataDxfId="617"/>
    <tableColumn id="78" name="LearningActivity.Description.Property.content.sv" dataDxfId="616"/>
    <tableColumn id="3" name="LearningActivity.startedAtTime.Property." dataDxfId="615"/>
    <tableColumn id="4" name="LearningActivity.endedAtTime.Property." dataDxfId="614"/>
    <tableColumn id="5" name="LearningActivity.workload.Property." dataDxfId="613"/>
    <tableColumn id="6" name="LearningActivity.Directedby.Reference.Organisation." dataDxfId="612">
      <calculatedColumnFormula>IF(ISBLANK(BG$11),"",BG$11)</calculatedColumnFormula>
    </tableColumn>
    <tableColumn id="7" name="LearningActivity.directedBy.Association.Organisation." dataDxfId="611">
      <calculatedColumnFormula array="1">MultiMatch(Activities[[#This Row],[LearningActivity.Directedby.Reference.Organisation.]],OrganisationNames,0)</calculatedColumnFormula>
    </tableColumn>
    <tableColumn id="132" name="LearningActivity.location#1.spatialCode#1.geographicName.NestedProperty.content.en" dataDxfId="610">
      <calculatedColumnFormula>IF(ISBLANK(BI$11),"",BI$11)</calculatedColumnFormula>
    </tableColumn>
    <tableColumn id="131" name="LearningActivity.location#1.spatialCode#1.geographicName.NestedProperty.content.bg" dataDxfId="609">
      <calculatedColumnFormula>IF(ISBLANK(BJ$11),"",BJ$11)</calculatedColumnFormula>
    </tableColumn>
    <tableColumn id="130" name="LearningActivity.location#1.spatialCode#1.geographicName.NestedProperty.content.cs" dataDxfId="608">
      <calculatedColumnFormula>IF(ISBLANK(BK$11),"",BK$11)</calculatedColumnFormula>
    </tableColumn>
    <tableColumn id="129" name="LearningActivity.location#1.spatialCode#1.geographicName.NestedProperty.content.da" dataDxfId="607">
      <calculatedColumnFormula>IF(ISBLANK(BL$11),"",BL$11)</calculatedColumnFormula>
    </tableColumn>
    <tableColumn id="10" name="LearningActivity.location#1.spatialCode#1.geographicName.NestedProperty.content.de" dataDxfId="606">
      <calculatedColumnFormula>IF(ISBLANK(BM$11),"",BM$11)</calculatedColumnFormula>
    </tableColumn>
    <tableColumn id="11" name="LearningActivity.location#1.spatialCode#1.geographicName.NestedProperty.content.el" dataDxfId="605">
      <calculatedColumnFormula>IF(ISBLANK(BN$11),"",BN$11)</calculatedColumnFormula>
    </tableColumn>
    <tableColumn id="12" name="LearningActivity.location#1.spatialCode#1.geographicName.NestedProperty.content.es" dataDxfId="604">
      <calculatedColumnFormula>IF(ISBLANK(BO$11),"",BO$11)</calculatedColumnFormula>
    </tableColumn>
    <tableColumn id="13" name="LearningActivity.location#1.spatialCode#1.geographicName.NestedProperty.content.et" dataDxfId="603">
      <calculatedColumnFormula>IF(ISBLANK(BP$11),"",BP$11)</calculatedColumnFormula>
    </tableColumn>
    <tableColumn id="14" name="LearningActivity.location#1.spatialCode#1.geographicName.NestedProperty.content.fi" dataDxfId="602">
      <calculatedColumnFormula>IF(ISBLANK(BQ$11),"",BQ$11)</calculatedColumnFormula>
    </tableColumn>
    <tableColumn id="79" name="LearningActivity.location#1.spatialCode#1.geographicName.NestedProperty.content.fr" dataDxfId="601">
      <calculatedColumnFormula>IF(ISBLANK(BR$11),"",BR$11)</calculatedColumnFormula>
    </tableColumn>
    <tableColumn id="80" name="LearningActivity.location#1.spatialCode#1.geographicName.NestedProperty.content.ga" dataDxfId="600">
      <calculatedColumnFormula>IF(ISBLANK(BS$11),"",BS$11)</calculatedColumnFormula>
    </tableColumn>
    <tableColumn id="81" name="LearningActivity.location#1.spatialCode#1.geographicName.NestedProperty.content.hr" dataDxfId="599">
      <calculatedColumnFormula>IF(ISBLANK(BT$11),"",BT$11)</calculatedColumnFormula>
    </tableColumn>
    <tableColumn id="82" name="LearningActivity.location#1.spatialCode#1.geographicName.NestedProperty.content.hu" dataDxfId="598">
      <calculatedColumnFormula>IF(ISBLANK(BU$11),"",BU$11)</calculatedColumnFormula>
    </tableColumn>
    <tableColumn id="83" name="LearningActivity.location#1.spatialCode#1.geographicName.NestedProperty.content.is" dataDxfId="597">
      <calculatedColumnFormula>IF(ISBLANK(BV$11),"",BV$11)</calculatedColumnFormula>
    </tableColumn>
    <tableColumn id="84" name="LearningActivity.location#1.spatialCode#1.geographicName.NestedProperty.content.it" dataDxfId="596">
      <calculatedColumnFormula>IF(ISBLANK(BW$11),"",BW$11)</calculatedColumnFormula>
    </tableColumn>
    <tableColumn id="85" name="LearningActivity.location#1.spatialCode#1.geographicName.NestedProperty.content.lt" dataDxfId="595">
      <calculatedColumnFormula>IF(ISBLANK(BX$11),"",BX$11)</calculatedColumnFormula>
    </tableColumn>
    <tableColumn id="86" name="LearningActivity.location#1.spatialCode#1.geographicName.NestedProperty.content.lv" dataDxfId="594">
      <calculatedColumnFormula>IF(ISBLANK(BY$11),"",BY$11)</calculatedColumnFormula>
    </tableColumn>
    <tableColumn id="87" name="LearningActivity.location#1.spatialCode#1.geographicName.NestedProperty.content.mt" dataDxfId="593">
      <calculatedColumnFormula>IF(ISBLANK(BZ$11),"",BZ$11)</calculatedColumnFormula>
    </tableColumn>
    <tableColumn id="88" name="LearningActivity.location#1.spatialCode#1.geographicName.NestedProperty.content.nl" dataDxfId="592">
      <calculatedColumnFormula>IF(ISBLANK(CA$11),"",CA$11)</calculatedColumnFormula>
    </tableColumn>
    <tableColumn id="89" name="LearningActivity.location#1.spatialCode#1.geographicName.NestedProperty.content.no" dataDxfId="591">
      <calculatedColumnFormula>IF(ISBLANK(CB$11),"",CB$11)</calculatedColumnFormula>
    </tableColumn>
    <tableColumn id="90" name="LearningActivity.location#1.spatialCode#1.geographicName.NestedProperty.content.pl" dataDxfId="590">
      <calculatedColumnFormula>IF(ISBLANK(CC$11),"",CC$11)</calculatedColumnFormula>
    </tableColumn>
    <tableColumn id="91" name="LearningActivity.location#1.spatialCode#1.geographicName.NestedProperty.content.pt" dataDxfId="589">
      <calculatedColumnFormula>IF(ISBLANK(CD$11),"",CD$11)</calculatedColumnFormula>
    </tableColumn>
    <tableColumn id="92" name="LearningActivity.location#1.spatialCode#1.geographicName.NestedProperty.content.ro" dataDxfId="588">
      <calculatedColumnFormula>IF(ISBLANK(CE$11),"",CE$11)</calculatedColumnFormula>
    </tableColumn>
    <tableColumn id="93" name="LearningActivity.location#1.spatialCode#1.geographicName.NestedProperty.content.sk" dataDxfId="587">
      <calculatedColumnFormula>IF(ISBLANK(CF$11),"",CF$11)</calculatedColumnFormula>
    </tableColumn>
    <tableColumn id="94" name="LearningActivity.location#1.spatialCode#1.geographicName.NestedProperty.content.sl" dataDxfId="586">
      <calculatedColumnFormula>IF(ISBLANK(CG$11),"",CG$11)</calculatedColumnFormula>
    </tableColumn>
    <tableColumn id="95" name="LearningActivity.location#1.spatialCode#1.geographicName.NestedProperty.content.sv" dataDxfId="585">
      <calculatedColumnFormula>IF(ISBLANK(CH$11),"",CH$11)</calculatedColumnFormula>
    </tableColumn>
    <tableColumn id="96" name="LearningActivity.location#1.spatialCode#1.fullAddress.NestedProperty.content.en" dataDxfId="584">
      <calculatedColumnFormula>IF(ISBLANK(CI$11),"",CI$11)</calculatedColumnFormula>
    </tableColumn>
    <tableColumn id="97" name="LearningActivity.location#1.spatialCode#1.fullAddress.NestedProperty.content.bg" dataDxfId="583">
      <calculatedColumnFormula>IF(ISBLANK(CJ$11),"",CJ$11)</calculatedColumnFormula>
    </tableColumn>
    <tableColumn id="98" name="LearningActivity.location#1.spatialCode#1.fullAddress.NestedProperty.content.cs" dataDxfId="582">
      <calculatedColumnFormula>IF(ISBLANK(CK$11),"",CK$11)</calculatedColumnFormula>
    </tableColumn>
    <tableColumn id="99" name="LearningActivity.location#1.spatialCode#1.fullAddress.NestedProperty.content.da" dataDxfId="581">
      <calculatedColumnFormula>IF(ISBLANK(CL$11),"",CL$11)</calculatedColumnFormula>
    </tableColumn>
    <tableColumn id="100" name="LearningActivity.location#1.spatialCode#1.fullAddress.NestedProperty.content.de" dataDxfId="580">
      <calculatedColumnFormula>IF(ISBLANK(CM$11),"",CM$11)</calculatedColumnFormula>
    </tableColumn>
    <tableColumn id="101" name="LearningActivity.location#1.spatialCode#1.fullAddress.NestedProperty.content.el" dataDxfId="579">
      <calculatedColumnFormula>IF(ISBLANK(CN$11),"",CN$11)</calculatedColumnFormula>
    </tableColumn>
    <tableColumn id="102" name="LearningActivity.location#1.spatialCode#1.fullAddress.NestedProperty.content.es" dataDxfId="578">
      <calculatedColumnFormula>IF(ISBLANK(CO$11),"",CO$11)</calculatedColumnFormula>
    </tableColumn>
    <tableColumn id="103" name="LearningActivity.location#1.spatialCode#1.fullAddress.NestedProperty.content.et" dataDxfId="577">
      <calculatedColumnFormula>IF(ISBLANK(CP$11),"",CP$11)</calculatedColumnFormula>
    </tableColumn>
    <tableColumn id="15" name="LearningActivity.location#1.spatialCode#1.fullAddress.NestedProperty.content.fi" dataDxfId="576">
      <calculatedColumnFormula>IF(ISBLANK(CQ$11),"",CQ$11)</calculatedColumnFormula>
    </tableColumn>
    <tableColumn id="16" name="LearningActivity.location#1.spatialCode#1.fullAddress.NestedProperty.content.fr" dataDxfId="575">
      <calculatedColumnFormula>IF(ISBLANK(CR$11),"",CR$11)</calculatedColumnFormula>
    </tableColumn>
    <tableColumn id="17" name="LearningActivity.location#1.spatialCode#1.fullAddress.NestedProperty.content.ga" dataDxfId="574">
      <calculatedColumnFormula>IF(ISBLANK(CS$11),"",CS$11)</calculatedColumnFormula>
    </tableColumn>
    <tableColumn id="18" name="LearningActivity.location#1.spatialCode#1.fullAddress.NestedProperty.content.hr" dataDxfId="573">
      <calculatedColumnFormula>IF(ISBLANK(CT$11),"",CT$11)</calculatedColumnFormula>
    </tableColumn>
    <tableColumn id="19" name="LearningActivity.location#1.spatialCode#1.fullAddress.NestedProperty.content.hu" dataDxfId="572">
      <calculatedColumnFormula>IF(ISBLANK(CU$11),"",CU$11)</calculatedColumnFormula>
    </tableColumn>
    <tableColumn id="20" name="LearningActivity.location#1.spatialCode#1.fullAddress.NestedProperty.content.is" dataDxfId="571">
      <calculatedColumnFormula>IF(ISBLANK(CV$11),"",CV$11)</calculatedColumnFormula>
    </tableColumn>
    <tableColumn id="21" name="LearningActivity.location#1.spatialCode#1.fullAddress.NestedProperty.content.it" dataDxfId="570">
      <calculatedColumnFormula>IF(ISBLANK(CW$11),"",CW$11)</calculatedColumnFormula>
    </tableColumn>
    <tableColumn id="22" name="LearningActivity.location#1.spatialCode#1.fullAddress.NestedProperty.content.lt" dataDxfId="569">
      <calculatedColumnFormula>IF(ISBLANK(CX$11),"",CX$11)</calculatedColumnFormula>
    </tableColumn>
    <tableColumn id="23" name="LearningActivity.location#1.spatialCode#1.fullAddress.NestedProperty.content.lv" dataDxfId="568">
      <calculatedColumnFormula>IF(ISBLANK(CY$11),"",CY$11)</calculatedColumnFormula>
    </tableColumn>
    <tableColumn id="24" name="LearningActivity.location#1.spatialCode#1.fullAddress.NestedProperty.content.mt" dataDxfId="567">
      <calculatedColumnFormula>IF(ISBLANK(CZ$11),"",CZ$11)</calculatedColumnFormula>
    </tableColumn>
    <tableColumn id="25" name="LearningActivity.location#1.spatialCode#1.fullAddress.NestedProperty.content.nl" dataDxfId="566">
      <calculatedColumnFormula>IF(ISBLANK(DA$11),"",DA$11)</calculatedColumnFormula>
    </tableColumn>
    <tableColumn id="26" name="LearningActivity.location#1.spatialCode#1.fullAddress.NestedProperty.content.no" dataDxfId="565">
      <calculatedColumnFormula>IF(ISBLANK(DB$11),"",DB$11)</calculatedColumnFormula>
    </tableColumn>
    <tableColumn id="104" name="LearningActivity.location#1.spatialCode#1.fullAddress.NestedProperty.content.pl" dataDxfId="564">
      <calculatedColumnFormula>IF(ISBLANK(DC$11),"",DC$11)</calculatedColumnFormula>
    </tableColumn>
    <tableColumn id="105" name="LearningActivity.location#1.spatialCode#1.fullAddress.NestedProperty.content.pt" dataDxfId="563">
      <calculatedColumnFormula>IF(ISBLANK(DD$11),"",DD$11)</calculatedColumnFormula>
    </tableColumn>
    <tableColumn id="106" name="LearningActivity.location#1.spatialCode#1.fullAddress.NestedProperty.content.ro" dataDxfId="562">
      <calculatedColumnFormula>IF(ISBLANK(DE$11),"",DE$11)</calculatedColumnFormula>
    </tableColumn>
    <tableColumn id="107" name="LearningActivity.location#1.spatialCode#1.fullAddress.NestedProperty.content.sk" dataDxfId="561">
      <calculatedColumnFormula>IF(ISBLANK(DF$11),"",DF$11)</calculatedColumnFormula>
    </tableColumn>
    <tableColumn id="108" name="LearningActivity.location#1.spatialCode#1.fullAddress.NestedProperty.content.sl" dataDxfId="560">
      <calculatedColumnFormula>IF(ISBLANK(DG$11),"",DG$11)</calculatedColumnFormula>
    </tableColumn>
    <tableColumn id="109" name="LearningActivity.location#1.spatialCode#1.fullAddress.NestedProperty.content.sv" dataDxfId="559">
      <calculatedColumnFormula>IF(ISBLANK(DH$11),"",DH$11)</calculatedColumnFormula>
    </tableColumn>
    <tableColumn id="110" name="LearningActivity.location#1.hasAddress#1.countryCode.Reference." dataDxfId="558">
      <calculatedColumnFormula>IF(ISBLANK(DI$11),"",(DI$11))</calculatedColumnFormula>
    </tableColumn>
    <tableColumn id="111" name="LearningActivity.location#1.hasAddress#1.countryCode.NestedAssociation." dataDxfId="557">
      <calculatedColumnFormula array="1">MultiMatch(Activities[[#This Row],[LearningActivity.location'#1.hasAddress'#1.countryCode.Reference.]],Vocabularies[name],0)</calculatedColumnFormula>
    </tableColumn>
    <tableColumn id="135" name="LearningActivity.hasPart.MultiReference.LearningAchievement." dataDxfId="556"/>
    <tableColumn id="136" name="LearningActivity.hasPart.Association.LearningActivity." dataDxfId="555">
      <calculatedColumnFormula array="1">MultiMatch(Activities[[#This Row],[LearningActivity.hasPart.MultiReference.LearningAchievement.]],ActivityNames,0)</calculatedColumnFormula>
    </tableColumn>
    <tableColumn id="189" name="LearningActivity.additionalNote.NestedProperty.topic.1." dataDxfId="554">
      <calculatedColumnFormula>IF(ISBLANK(DM$11),"",DM$11)</calculatedColumnFormula>
    </tableColumn>
    <tableColumn id="215" name="LearningActivity.additionalNote.NestedProperty.content.1.en" dataDxfId="553">
      <calculatedColumnFormula>IF(ISBLANK(DN$11),"",DN$11)</calculatedColumnFormula>
    </tableColumn>
    <tableColumn id="216" name="LearningActivity.additionalNote.NestedProperty.content.1.bg" dataDxfId="552">
      <calculatedColumnFormula>IF(ISBLANK(DO$11),"",DO$11)</calculatedColumnFormula>
    </tableColumn>
    <tableColumn id="217" name="LearningActivity.additionalNote.NestedProperty.content.1.cs" dataDxfId="551">
      <calculatedColumnFormula>IF(ISBLANK(DP$11),"",DP$11)</calculatedColumnFormula>
    </tableColumn>
    <tableColumn id="218" name="LearningActivity.additionalNote.NestedProperty.content.1.da" dataDxfId="550">
      <calculatedColumnFormula>IF(ISBLANK(DQ$11),"",DQ$11)</calculatedColumnFormula>
    </tableColumn>
    <tableColumn id="219" name="LearningActivity.additionalNote.NestedProperty.content.1.de" dataDxfId="549">
      <calculatedColumnFormula>IF(ISBLANK(DR$11),"",DR$11)</calculatedColumnFormula>
    </tableColumn>
    <tableColumn id="220" name="LearningActivity.additionalNote.NestedProperty.content.1.el" dataDxfId="548">
      <calculatedColumnFormula>IF(ISBLANK(DS$11),"",DS$11)</calculatedColumnFormula>
    </tableColumn>
    <tableColumn id="221" name="LearningActivity.additionalNote.NestedProperty.content.1.es" dataDxfId="547">
      <calculatedColumnFormula>IF(ISBLANK(DT$11),"",DT$11)</calculatedColumnFormula>
    </tableColumn>
    <tableColumn id="222" name="LearningActivity.additionalNote.NestedProperty.content.1.et" dataDxfId="546">
      <calculatedColumnFormula>IF(ISBLANK(DU$11),"",DU$11)</calculatedColumnFormula>
    </tableColumn>
    <tableColumn id="223" name="LearningActivity.additionalNote.NestedProperty.content.1.fi" dataDxfId="545">
      <calculatedColumnFormula>IF(ISBLANK(DV$11),"",DV$11)</calculatedColumnFormula>
    </tableColumn>
    <tableColumn id="224" name="LearningActivity.additionalNote.NestedProperty.content.1.fr" dataDxfId="544">
      <calculatedColumnFormula>IF(ISBLANK(DW$11),"",DW$11)</calculatedColumnFormula>
    </tableColumn>
    <tableColumn id="225" name="LearningActivity.additionalNote.NestedProperty.content.1.ga" dataDxfId="543">
      <calculatedColumnFormula>IF(ISBLANK(DX$11),"",DX$11)</calculatedColumnFormula>
    </tableColumn>
    <tableColumn id="226" name="LearningActivity.additionalNote.NestedProperty.content.1.hr" dataDxfId="542">
      <calculatedColumnFormula>IF(ISBLANK(DY$11),"",DY$11)</calculatedColumnFormula>
    </tableColumn>
    <tableColumn id="227" name="LearningActivity.additionalNote.NestedProperty.content.1.hu" dataDxfId="541">
      <calculatedColumnFormula>IF(ISBLANK(DZ$11),"",DZ$11)</calculatedColumnFormula>
    </tableColumn>
    <tableColumn id="228" name="LearningActivity.additionalNote.NestedProperty.content.1.is" dataDxfId="540">
      <calculatedColumnFormula>IF(ISBLANK(EA$11),"",EA$11)</calculatedColumnFormula>
    </tableColumn>
    <tableColumn id="229" name="LearningActivity.additionalNote.NestedProperty.content.1.it" dataDxfId="539">
      <calculatedColumnFormula>IF(ISBLANK(EB$11),"",EB$11)</calculatedColumnFormula>
    </tableColumn>
    <tableColumn id="230" name="LearningActivity.additionalNote.NestedProperty.content.1.lt" dataDxfId="538">
      <calculatedColumnFormula>IF(ISBLANK(EC$11),"",EC$11)</calculatedColumnFormula>
    </tableColumn>
    <tableColumn id="231" name="LearningActivity.additionalNote.NestedProperty.content.1.lv" dataDxfId="537">
      <calculatedColumnFormula>IF(ISBLANK(ED$11),"",ED$11)</calculatedColumnFormula>
    </tableColumn>
    <tableColumn id="232" name="LearningActivity.additionalNote.NestedProperty.content.1.mt" dataDxfId="536">
      <calculatedColumnFormula>IF(ISBLANK(EE$11),"",EE$11)</calculatedColumnFormula>
    </tableColumn>
    <tableColumn id="233" name="LearningActivity.additionalNote.NestedProperty.content.1.nl" dataDxfId="535">
      <calculatedColumnFormula>IF(ISBLANK(EF$11),"",EF$11)</calculatedColumnFormula>
    </tableColumn>
    <tableColumn id="234" name="LearningActivity.additionalNote.NestedProperty.content.1.no" dataDxfId="534">
      <calculatedColumnFormula>IF(ISBLANK(EG$11),"",EG$11)</calculatedColumnFormula>
    </tableColumn>
    <tableColumn id="235" name="LearningActivity.additionalNote.NestedProperty.content.1.pl" dataDxfId="533">
      <calculatedColumnFormula>IF(ISBLANK(EH$11),"",EH$11)</calculatedColumnFormula>
    </tableColumn>
    <tableColumn id="236" name="LearningActivity.additionalNote.NestedProperty.content.1.pt" dataDxfId="532">
      <calculatedColumnFormula>IF(ISBLANK(EI$11),"",EI$11)</calculatedColumnFormula>
    </tableColumn>
    <tableColumn id="237" name="LearningActivity.additionalNote.NestedProperty.content.1.ro" dataDxfId="531">
      <calculatedColumnFormula>IF(ISBLANK(EJ$11),"",EJ$11)</calculatedColumnFormula>
    </tableColumn>
    <tableColumn id="238" name="LearningActivity.additionalNote.NestedProperty.content.1.sk" dataDxfId="530">
      <calculatedColumnFormula>IF(ISBLANK(EK$11),"",EK$11)</calculatedColumnFormula>
    </tableColumn>
    <tableColumn id="239" name="LearningActivity.additionalNote.NestedProperty.content.1.sl" dataDxfId="529">
      <calculatedColumnFormula>IF(ISBLANK(EL$11),"",EL$11)</calculatedColumnFormula>
    </tableColumn>
    <tableColumn id="240" name="LearningActivity.additionalNote.NestedProperty.content.1.sv" dataDxfId="528">
      <calculatedColumnFormula>IF(ISBLANK(EM$11),"",EM$11)</calculatedColumnFormula>
    </tableColumn>
    <tableColumn id="241" name="LearningActivity.additionalNote.NestedProperty.topic.2." dataDxfId="527">
      <calculatedColumnFormula>IF(ISBLANK(EN$11),"",EN$11)</calculatedColumnFormula>
    </tableColumn>
    <tableColumn id="267" name="LearningActivity.additionalNote.NestedProperty.content.2.en" dataDxfId="526"/>
    <tableColumn id="268" name="LearningActivity.additionalNote.NestedProperty.content.2.bg" dataDxfId="525"/>
    <tableColumn id="269" name="LearningActivity.additionalNote.NestedProperty.content.2.cs" dataDxfId="524"/>
    <tableColumn id="270" name="LearningActivity.additionalNote.NestedProperty.content.2.da" dataDxfId="523"/>
    <tableColumn id="271" name="LearningActivity.additionalNote.NestedProperty.content.2.de" dataDxfId="522"/>
    <tableColumn id="272" name="LearningActivity.additionalNote.NestedProperty.content.2.el" dataDxfId="521"/>
    <tableColumn id="273" name="LearningActivity.additionalNote.NestedProperty.content.2.es" dataDxfId="520"/>
    <tableColumn id="274" name="LearningActivity.additionalNote.NestedProperty.content.2.et" dataDxfId="519"/>
    <tableColumn id="275" name="LearningActivity.additionalNote.NestedProperty.content.2.fi" dataDxfId="518"/>
    <tableColumn id="276" name="LearningActivity.additionalNote.NestedProperty.content.2.fr" dataDxfId="517"/>
    <tableColumn id="277" name="LearningActivity.additionalNote.NestedProperty.content.2.ga" dataDxfId="516"/>
    <tableColumn id="278" name="LearningActivity.additionalNote.NestedProperty.content.2.hr" dataDxfId="515"/>
    <tableColumn id="279" name="LearningActivity.additionalNote.NestedProperty.content.2.hu" dataDxfId="514"/>
    <tableColumn id="280" name="LearningActivity.additionalNote.NestedProperty.content.2.is" dataDxfId="513"/>
    <tableColumn id="281" name="LearningActivity.additionalNote.NestedProperty.content.2.it" dataDxfId="512"/>
    <tableColumn id="282" name="LearningActivity.additionalNote.NestedProperty.content.2.lt" dataDxfId="511"/>
    <tableColumn id="283" name="LearningActivity.additionalNote.NestedProperty.content.2.lv" dataDxfId="510"/>
    <tableColumn id="284" name="LearningActivity.additionalNote.NestedProperty.content.2.mt" dataDxfId="509"/>
    <tableColumn id="285" name="LearningActivity.additionalNote.NestedProperty.content.2.nl" dataDxfId="508"/>
    <tableColumn id="286" name="LearningActivity.additionalNote.NestedProperty.content.2.no" dataDxfId="507"/>
    <tableColumn id="287" name="LearningActivity.additionalNote.NestedProperty.content.2.pl" dataDxfId="506"/>
    <tableColumn id="288" name="LearningActivity.additionalNote.NestedProperty.content.2.pt" dataDxfId="505"/>
    <tableColumn id="289" name="LearningActivity.additionalNote.NestedProperty.content.2.ro" dataDxfId="504"/>
    <tableColumn id="290" name="LearningActivity.additionalNote.NestedProperty.content.2.sk" dataDxfId="503"/>
    <tableColumn id="291" name="LearningActivity.additionalNote.NestedProperty.content.2.sl" dataDxfId="502"/>
    <tableColumn id="292" name="LearningActivity.additionalNote.NestedProperty.content.2.sv" dataDxfId="501"/>
    <tableColumn id="293" name="LearningActivity.specifiedBy.title.NestedProperty.content.en" dataDxfId="500">
      <calculatedColumnFormula>IF(ISBLANK(Activities[[#This Row],[LearningActivity.title.Property.content.en]]),"",Activities[[#This Row],[LearningActivity.title.Property.content.en]])</calculatedColumnFormula>
    </tableColumn>
    <tableColumn id="298" name="LearningActivity.specifiedBy.title.NestedProperty.content.bg" dataDxfId="499">
      <calculatedColumnFormula>IF(ISBLANK(Activities[[#This Row],[LearningActivity.title.Property.content.bg]]),"",Activities[[#This Row],[LearningActivity.title.Property.content.bg]])</calculatedColumnFormula>
    </tableColumn>
    <tableColumn id="299" name="LearningActivity.specifiedBy.title.NestedProperty.content.cs" dataDxfId="498">
      <calculatedColumnFormula>IF(ISBLANK(Activities[[#This Row],[LearningActivity.title.Property.content.cs]]),"",Activities[[#This Row],[LearningActivity.title.Property.content.cs]])</calculatedColumnFormula>
    </tableColumn>
    <tableColumn id="300" name="LearningActivity.specifiedBy.title.NestedProperty.content.da" dataDxfId="497">
      <calculatedColumnFormula>IF(ISBLANK(Activities[[#This Row],[LearningActivity.title.Property.content.da]]),"",Activities[[#This Row],[LearningActivity.title.Property.content.da]])</calculatedColumnFormula>
    </tableColumn>
    <tableColumn id="301" name="LearningActivity.specifiedBy.title.NestedProperty.content.de" dataDxfId="496">
      <calculatedColumnFormula>IF(ISBLANK(Activities[[#This Row],[LearningActivity.title.Property.content.de]]),"",Activities[[#This Row],[LearningActivity.title.Property.content.de]])</calculatedColumnFormula>
    </tableColumn>
    <tableColumn id="302" name="LearningActivity.specifiedBy.title.NestedProperty.content.el" dataDxfId="495">
      <calculatedColumnFormula>IF(ISBLANK(Activities[[#This Row],[LearningActivity.title.Property.content.el]]),"",Activities[[#This Row],[LearningActivity.title.Property.content.el]])</calculatedColumnFormula>
    </tableColumn>
    <tableColumn id="303" name="LearningActivity.specifiedBy.title.NestedProperty.content.es" dataDxfId="494">
      <calculatedColumnFormula>IF(ISBLANK(Activities[[#This Row],[LearningActivity.title.Property.content.es]]),"",Activities[[#This Row],[LearningActivity.title.Property.content.es]])</calculatedColumnFormula>
    </tableColumn>
    <tableColumn id="304" name="LearningActivity.specifiedBy.title.NestedProperty.content.et" dataDxfId="493">
      <calculatedColumnFormula>IF(ISBLANK(Activities[[#This Row],[LearningActivity.title.Property.content.et]]),"",Activities[[#This Row],[LearningActivity.title.Property.content.et]])</calculatedColumnFormula>
    </tableColumn>
    <tableColumn id="305" name="LearningActivity.specifiedBy.title.NestedProperty.content.fi" dataDxfId="492">
      <calculatedColumnFormula>IF(ISBLANK(Activities[[#This Row],[LearningActivity.title.Property.content.fi]]),"",Activities[[#This Row],[LearningActivity.title.Property.content.fi]])</calculatedColumnFormula>
    </tableColumn>
    <tableColumn id="306" name="LearningActivity.specifiedBy.title.NestedProperty.content.fr" dataDxfId="491">
      <calculatedColumnFormula>IF(ISBLANK(Activities[[#This Row],[LearningActivity.title.Property.content.fr]]),"",Activities[[#This Row],[LearningActivity.title.Property.content.fr]])</calculatedColumnFormula>
    </tableColumn>
    <tableColumn id="307" name="LearningActivity.specifiedBy.title.NestedProperty.content.ga" dataDxfId="490">
      <calculatedColumnFormula>IF(ISBLANK(Activities[[#This Row],[LearningActivity.title.Property.content.ga]]),"",Activities[[#This Row],[LearningActivity.title.Property.content.ga]])</calculatedColumnFormula>
    </tableColumn>
    <tableColumn id="308" name="LearningActivity.specifiedBy.title.NestedProperty.content.hr" dataDxfId="489">
      <calculatedColumnFormula>IF(ISBLANK(Activities[[#This Row],[LearningActivity.title.Property.content.hr]]),"",Activities[[#This Row],[LearningActivity.title.Property.content.hr]])</calculatedColumnFormula>
    </tableColumn>
    <tableColumn id="309" name="LearningActivity.specifiedBy.title.NestedProperty.content.hu" dataDxfId="488">
      <calculatedColumnFormula>IF(ISBLANK(Activities[[#This Row],[LearningActivity.title.Property.content.hu]]),"",Activities[[#This Row],[LearningActivity.title.Property.content.hu]])</calculatedColumnFormula>
    </tableColumn>
    <tableColumn id="310" name="LearningActivity.specifiedBy.title.NestedProperty.content.is" dataDxfId="487">
      <calculatedColumnFormula>IF(ISBLANK(Activities[[#This Row],[LearningActivity.title.Property.content.is]]),"",Activities[[#This Row],[LearningActivity.title.Property.content.is]])</calculatedColumnFormula>
    </tableColumn>
    <tableColumn id="311" name="LearningActivity.specifiedBy.title.NestedProperty.content.it" dataDxfId="486">
      <calculatedColumnFormula>IF(ISBLANK(Activities[[#This Row],[LearningActivity.title.Property.content.it]]),"",Activities[[#This Row],[LearningActivity.title.Property.content.it]])</calculatedColumnFormula>
    </tableColumn>
    <tableColumn id="312" name="LearningActivity.specifiedBy.title.NestedProperty.content.lt" dataDxfId="485">
      <calculatedColumnFormula>IF(ISBLANK(Activities[[#This Row],[LearningActivity.title.Property.content.lt]]),"",Activities[[#This Row],[LearningActivity.title.Property.content.lt]])</calculatedColumnFormula>
    </tableColumn>
    <tableColumn id="313" name="LearningActivity.specifiedBy.title.NestedProperty.content.lv" dataDxfId="484">
      <calculatedColumnFormula>IF(ISBLANK(Activities[[#This Row],[LearningActivity.title.Property.content.lv]]),"",Activities[[#This Row],[LearningActivity.title.Property.content.lv]])</calculatedColumnFormula>
    </tableColumn>
    <tableColumn id="314" name="LearningActivity.specifiedBy.title.NestedProperty.content.mt" dataDxfId="483">
      <calculatedColumnFormula>IF(ISBLANK(Activities[[#This Row],[LearningActivity.title.Property.content.mt]]),"",Activities[[#This Row],[LearningActivity.title.Property.content.mt]])</calculatedColumnFormula>
    </tableColumn>
    <tableColumn id="315" name="LearningActivity.specifiedBy.title.NestedProperty.content.nl" dataDxfId="482">
      <calculatedColumnFormula>IF(ISBLANK(Activities[[#This Row],[LearningActivity.title.Property.content.nl]]),"",Activities[[#This Row],[LearningActivity.title.Property.content.nl]])</calculatedColumnFormula>
    </tableColumn>
    <tableColumn id="316" name="LearningActivity.specifiedBy.title.NestedProperty.content.no" dataDxfId="481">
      <calculatedColumnFormula>IF(ISBLANK(Activities[[#This Row],[LearningActivity.title.Property.content.no]]),"",Activities[[#This Row],[LearningActivity.title.Property.content.no]])</calculatedColumnFormula>
    </tableColumn>
    <tableColumn id="317" name="LearningActivity.specifiedBy.title.NestedProperty.content.pl" dataDxfId="480">
      <calculatedColumnFormula>IF(ISBLANK(Activities[[#This Row],[LearningActivity.title.Property.content.pl]]),"",Activities[[#This Row],[LearningActivity.title.Property.content.pl]])</calculatedColumnFormula>
    </tableColumn>
    <tableColumn id="318" name="LearningActivity.specifiedBy.title.NestedProperty.content.pt" dataDxfId="479">
      <calculatedColumnFormula>IF(ISBLANK(Activities[[#This Row],[LearningActivity.title.Property.content.pt]]),"",Activities[[#This Row],[LearningActivity.title.Property.content.pt]])</calculatedColumnFormula>
    </tableColumn>
    <tableColumn id="319" name="LearningActivity.specifiedBy.title.NestedProperty.content.ro" dataDxfId="478">
      <calculatedColumnFormula>IF(ISBLANK(Activities[[#This Row],[LearningActivity.title.Property.content.ro]]),"",Activities[[#This Row],[LearningActivity.title.Property.content.ro]])</calculatedColumnFormula>
    </tableColumn>
    <tableColumn id="320" name="LearningActivity.specifiedBy.title.NestedProperty.content.sk" dataDxfId="477">
      <calculatedColumnFormula>IF(ISBLANK(Activities[[#This Row],[LearningActivity.title.Property.content.sk]]),"",Activities[[#This Row],[LearningActivity.title.Property.content.sk]])</calculatedColumnFormula>
    </tableColumn>
    <tableColumn id="321" name="LearningActivity.specifiedBy.title.NestedProperty.content.sl" dataDxfId="476">
      <calculatedColumnFormula>IF(ISBLANK(Activities[[#This Row],[LearningActivity.title.Property.content.sl]]),"",Activities[[#This Row],[LearningActivity.title.Property.content.sl]])</calculatedColumnFormula>
    </tableColumn>
    <tableColumn id="322" name="LearningActivity.specifiedBy.title.NestedProperty.content.sv" dataDxfId="475">
      <calculatedColumnFormula>IF(ISBLANK(Activities[[#This Row],[LearningActivity.title.Property.content.sv]]),"",Activities[[#This Row],[LearningActivity.title.Property.content.sv]])</calculatedColumnFormula>
    </tableColumn>
    <tableColumn id="28" name="LearningActivity.specifiedBy.identifier#1.identifierSchemeId.NestedProperty.2" dataDxfId="474">
      <calculatedColumnFormula>IF(ISBLANK(GO$11),"",GO$11)</calculatedColumnFormula>
    </tableColumn>
    <tableColumn id="27" name="LearningActivity.specifiedBy.identifier#1.content.NestedProperty.3" dataDxfId="473"/>
    <tableColumn id="295" name="LearningActivity.specifiedBy.description.NestedProperty.content.en" dataDxfId="472"/>
    <tableColumn id="330" name="LearningActivity.specifiedBy.description.NestedProperty.content.bg" dataDxfId="471"/>
    <tableColumn id="331" name="LearningActivity.specifiedBy.description.NestedProperty.content.cs" dataDxfId="470"/>
    <tableColumn id="332" name="LearningActivity.specifiedBy.description.NestedProperty.content.da" dataDxfId="469"/>
    <tableColumn id="333" name="LearningActivity.specifiedBy.description.NestedProperty.content.de" dataDxfId="468"/>
    <tableColumn id="334" name="LearningActivity.specifiedBy.description.NestedProperty.content.el" dataDxfId="467"/>
    <tableColumn id="335" name="LearningActivity.specifiedBy.description.NestedProperty.content.es" dataDxfId="466"/>
    <tableColumn id="336" name="LearningActivity.specifiedBy.description.NestedProperty.content.et" dataDxfId="465"/>
    <tableColumn id="337" name="LearningActivity.specifiedBy.description.NestedProperty.content.fi" dataDxfId="464"/>
    <tableColumn id="338" name="LearningActivity.specifiedBy.description.NestedProperty.content.fr" dataDxfId="463"/>
    <tableColumn id="339" name="LearningActivity.specifiedBy.description.NestedProperty.content.ga" dataDxfId="462"/>
    <tableColumn id="340" name="LearningActivity.specifiedBy.description.NestedProperty.content.hr" dataDxfId="461"/>
    <tableColumn id="341" name="LearningActivity.specifiedBy.description.NestedProperty.content.hu" dataDxfId="460"/>
    <tableColumn id="342" name="LearningActivity.specifiedBy.description.NestedProperty.content.is" dataDxfId="459"/>
    <tableColumn id="343" name="LearningActivity.specifiedBy.description.NestedProperty.content.it" dataDxfId="458"/>
    <tableColumn id="344" name="LearningActivity.specifiedBy.description.NestedProperty.content.lt" dataDxfId="457"/>
    <tableColumn id="345" name="LearningActivity.specifiedBy.description.NestedProperty.content.lv" dataDxfId="456"/>
    <tableColumn id="346" name="LearningActivity.specifiedBy.description.NestedProperty.content.mt" dataDxfId="455"/>
    <tableColumn id="347" name="LearningActivity.specifiedBy.description.NestedProperty.content.nl" dataDxfId="454"/>
    <tableColumn id="348" name="LearningActivity.specifiedBy.description.NestedProperty.content.no" dataDxfId="453"/>
    <tableColumn id="349" name="LearningActivity.specifiedBy.description.NestedProperty.content.pl" dataDxfId="452"/>
    <tableColumn id="350" name="LearningActivity.specifiedBy.description.NestedProperty.content.pt" dataDxfId="451"/>
    <tableColumn id="351" name="LearningActivity.specifiedBy.description.NestedProperty.content.ro" dataDxfId="450"/>
    <tableColumn id="352" name="LearningActivity.specifiedBy.description.NestedProperty.content.sk" dataDxfId="449"/>
    <tableColumn id="353" name="LearningActivity.specifiedBy.description.NestedProperty.content.sl" dataDxfId="448"/>
    <tableColumn id="354" name="LearningActivity.specifiedBy.description.NestedProperty.content.sv" dataDxfId="447"/>
    <tableColumn id="294" name="LearningActivity.specifiedBy.homePage#1.id.NestedProperty." dataDxfId="446"/>
    <tableColumn id="297" name="LearningActivity.specifiedBy.learningActivityType.Reference." dataDxfId="445">
      <calculatedColumnFormula>IF(ISBLANK(HR$11),"",HR$11)</calculatedColumnFormula>
    </tableColumn>
    <tableColumn id="323" name="LearningActivity.specifiedBy.learningActivityType.NestedAssociation.Code." dataDxfId="444">
      <calculatedColumnFormula array="1">MultiMatch(Activities[[#This Row],[LearningActivity.specifiedBy.learningActivityType.Reference.]],Vocabularies[name],0)</calculatedColumnFormula>
    </tableColumn>
    <tableColumn id="325" name="LearningActivity.specifiedBy.mode.Reference." dataDxfId="443">
      <calculatedColumnFormula>IF(ISBLANK(HT$11),"",HT$11)</calculatedColumnFormula>
    </tableColumn>
    <tableColumn id="326" name="LearningActivity.specifiedBy.mode.NestedAssociation.Code." dataDxfId="442">
      <calculatedColumnFormula array="1">MultiMatch(Activities[[#This Row],[LearningActivity.specifiedBy.mode.Reference.]],Vocabularies[name],0)</calculatedColumnFormula>
    </tableColumn>
    <tableColumn id="327" name="LearningActivity.specifiedBy.NestedProperty.workload." dataDxfId="441"/>
    <tableColumn id="328" name="LearningActivity.specifiedBy.language.MultiReference." dataDxfId="440">
      <calculatedColumnFormula>IF(ISBLANK(HW$11),"",HW$11)</calculatedColumnFormula>
    </tableColumn>
    <tableColumn id="329" name="LearningActivity.specifiedBy.language.NestedAssociation.Code." dataDxfId="439">
      <calculatedColumnFormula array="1">MultiMatch(Activities[[#This Row],[LearningActivity.specifiedBy.language.MultiReference.]],Vocabularies[name],0)</calculatedColumnFormula>
    </tableColumn>
    <tableColumn id="383" name="LearningActivity.specifiedBy.supplementaryDocument#1.id.NestedProperty." dataDxfId="438">
      <calculatedColumnFormula>IF(ISBLANK(HY$11),"",HY$11)</calculatedColumnFormula>
    </tableColumn>
    <tableColumn id="112" name="LearningActivity.specifiedBy.additionalNote.NestedProperty.topic.1." dataDxfId="437">
      <calculatedColumnFormula>IF(ISBLANK(HZ$11),"",(HZ$11))</calculatedColumnFormula>
    </tableColumn>
    <tableColumn id="144" name="LearningActivity.specifiedBy.additionalNote.NestedProperty.content.1.en" dataDxfId="436">
      <calculatedColumnFormula>IF(ISBLANK(IA$11),"",(IA$11))</calculatedColumnFormula>
    </tableColumn>
    <tableColumn id="145" name="LearningActivity.specifiedBy.additionalNote.NestedProperty.content.1.bg" dataDxfId="435">
      <calculatedColumnFormula>IF(ISBLANK(IB$11),"",(IB$11))</calculatedColumnFormula>
    </tableColumn>
    <tableColumn id="146" name="LearningActivity.specifiedBy.additionalNote.NestedProperty.content.1.cs" dataDxfId="434">
      <calculatedColumnFormula>IF(ISBLANK(IC$11),"",(IC$11))</calculatedColumnFormula>
    </tableColumn>
    <tableColumn id="147" name="LearningActivity.specifiedBy.additionalNote.NestedProperty.content.1.da" dataDxfId="433">
      <calculatedColumnFormula>IF(ISBLANK(ID$11),"",(ID$11))</calculatedColumnFormula>
    </tableColumn>
    <tableColumn id="148" name="LearningActivity.specifiedBy.additionalNote.NestedProperty.content.1.de" dataDxfId="432">
      <calculatedColumnFormula>IF(ISBLANK(IE$11),"",(IE$11))</calculatedColumnFormula>
    </tableColumn>
    <tableColumn id="149" name="LearningActivity.specifiedBy.additionalNote.NestedProperty.content.1.el" dataDxfId="431">
      <calculatedColumnFormula>IF(ISBLANK(IF$11),"",(IF$11))</calculatedColumnFormula>
    </tableColumn>
    <tableColumn id="150" name="LearningActivity.specifiedBy.additionalNote.NestedProperty.content.1.es" dataDxfId="430">
      <calculatedColumnFormula>IF(ISBLANK(IG$11),"",(IG$11))</calculatedColumnFormula>
    </tableColumn>
    <tableColumn id="151" name="LearningActivity.specifiedBy.additionalNote.NestedProperty.content.1.et" dataDxfId="429">
      <calculatedColumnFormula>IF(ISBLANK(IH$11),"",(IH$11))</calculatedColumnFormula>
    </tableColumn>
    <tableColumn id="152" name="LearningActivity.specifiedBy.additionalNote.NestedProperty.content.1.fi" dataDxfId="428">
      <calculatedColumnFormula>IF(ISBLANK(II$11),"",(II$11))</calculatedColumnFormula>
    </tableColumn>
    <tableColumn id="153" name="LearningActivity.specifiedBy.additionalNote.NestedProperty.content.1.fr" dataDxfId="427">
      <calculatedColumnFormula>IF(ISBLANK(IJ$11),"",(IJ$11))</calculatedColumnFormula>
    </tableColumn>
    <tableColumn id="154" name="LearningActivity.specifiedBy.additionalNote.NestedProperty.content.1.ga" dataDxfId="426">
      <calculatedColumnFormula>IF(ISBLANK(IK$11),"",(IK$11))</calculatedColumnFormula>
    </tableColumn>
    <tableColumn id="155" name="LearningActivity.specifiedBy.additionalNote.NestedProperty.content.1.hr" dataDxfId="425">
      <calculatedColumnFormula>IF(ISBLANK(IL$11),"",(IL$11))</calculatedColumnFormula>
    </tableColumn>
    <tableColumn id="156" name="LearningActivity.specifiedBy.additionalNote.NestedProperty.content.1.hu" dataDxfId="424">
      <calculatedColumnFormula>IF(ISBLANK(IM$11),"",(IM$11))</calculatedColumnFormula>
    </tableColumn>
    <tableColumn id="157" name="LearningActivity.specifiedBy.additionalNote.NestedProperty.content.1.is" dataDxfId="423">
      <calculatedColumnFormula>IF(ISBLANK(IN$11),"",(IN$11))</calculatedColumnFormula>
    </tableColumn>
    <tableColumn id="158" name="LearningActivity.specifiedBy.additionalNote.NestedProperty.content.1.it" dataDxfId="422">
      <calculatedColumnFormula>IF(ISBLANK(IO$11),"",(IO$11))</calculatedColumnFormula>
    </tableColumn>
    <tableColumn id="159" name="LearningActivity.specifiedBy.additionalNote.NestedProperty.content.1.lt" dataDxfId="421">
      <calculatedColumnFormula>IF(ISBLANK(IP$11),"",(IP$11))</calculatedColumnFormula>
    </tableColumn>
    <tableColumn id="160" name="LearningActivity.specifiedBy.additionalNote.NestedProperty.content.1.lv" dataDxfId="420">
      <calculatedColumnFormula>IF(ISBLANK(IQ$11),"",(IQ$11))</calculatedColumnFormula>
    </tableColumn>
    <tableColumn id="161" name="LearningActivity.specifiedBy.additionalNote.NestedProperty.content.1.mt" dataDxfId="419">
      <calculatedColumnFormula>IF(ISBLANK(IR$11),"",(IR$11))</calculatedColumnFormula>
    </tableColumn>
    <tableColumn id="162" name="LearningActivity.specifiedBy.additionalNote.NestedProperty.content.1.nl" dataDxfId="418">
      <calculatedColumnFormula>IF(ISBLANK(IS$11),"",(IS$11))</calculatedColumnFormula>
    </tableColumn>
    <tableColumn id="163" name="LearningActivity.specifiedBy.additionalNote.NestedProperty.content.1.no" dataDxfId="417">
      <calculatedColumnFormula>IF(ISBLANK(IT$11),"",(IT$11))</calculatedColumnFormula>
    </tableColumn>
    <tableColumn id="164" name="LearningActivity.specifiedBy.additionalNote.NestedProperty.content.1.pl" dataDxfId="416">
      <calculatedColumnFormula>IF(ISBLANK(IU$11),"",(IU$11))</calculatedColumnFormula>
    </tableColumn>
    <tableColumn id="165" name="LearningActivity.specifiedBy.additionalNote.NestedProperty.content.1.pt" dataDxfId="415">
      <calculatedColumnFormula>IF(ISBLANK(IV$11),"",(IV$11))</calculatedColumnFormula>
    </tableColumn>
    <tableColumn id="166" name="LearningActivity.specifiedBy.additionalNote.NestedProperty.content.1.ro" dataDxfId="414">
      <calculatedColumnFormula>IF(ISBLANK(IW$11),"",(IW$11))</calculatedColumnFormula>
    </tableColumn>
    <tableColumn id="167" name="LearningActivity.specifiedBy.additionalNote.NestedProperty.content.1.sk" dataDxfId="413">
      <calculatedColumnFormula>IF(ISBLANK(IX$11),"",(IX$11))</calculatedColumnFormula>
    </tableColumn>
    <tableColumn id="168" name="LearningActivity.specifiedBy.additionalNote.NestedProperty.content.1.sl" dataDxfId="412">
      <calculatedColumnFormula>IF(ISBLANK(IY$11),"",(IY$11))</calculatedColumnFormula>
    </tableColumn>
    <tableColumn id="169" name="LearningActivity.specifiedBy.additionalNote.NestedProperty.content.1.sv" dataDxfId="411">
      <calculatedColumnFormula>IF(ISBLANK(IZ$11),"",(IZ$11))</calculatedColumnFormula>
    </tableColumn>
    <tableColumn id="170" name="LearningActivity.specifiedBy.additionalNote.NestedProperty.topic.2.en" dataDxfId="410">
      <calculatedColumnFormula>IF(ISBLANK(JA$11),"",(JA$11))</calculatedColumnFormula>
    </tableColumn>
    <tableColumn id="360" name="LearningActivity.specifiedBy.additionalNote.NestedProperty.content.2.en" dataDxfId="409"/>
    <tableColumn id="361" name="LearningActivity.specifiedBy.additionalNote.NestedProperty.content.2.bg" dataDxfId="408"/>
    <tableColumn id="362" name="LearningActivity.specifiedBy.additionalNote.NestedProperty.content.2.cs" dataDxfId="407"/>
    <tableColumn id="363" name="LearningActivity.specifiedBy.additionalNote.NestedProperty.content.2.da" dataDxfId="406"/>
    <tableColumn id="364" name="LearningActivity.specifiedBy.additionalNote.NestedProperty.content.2.de" dataDxfId="405"/>
    <tableColumn id="365" name="LearningActivity.specifiedBy.additionalNote.NestedProperty.content.2.el" dataDxfId="404"/>
    <tableColumn id="366" name="LearningActivity.specifiedBy.additionalNote.NestedProperty.content.2.es" dataDxfId="403"/>
    <tableColumn id="367" name="LearningActivity.specifiedBy.additionalNote.NestedProperty.content.2.et" dataDxfId="402"/>
    <tableColumn id="368" name="LearningActivity.specifiedBy.additionalNote.NestedProperty.content.2.fi" dataDxfId="401"/>
    <tableColumn id="369" name="LearningActivity.specifiedBy.additionalNote.NestedProperty.content.2.fr" dataDxfId="400"/>
    <tableColumn id="370" name="LearningActivity.specifiedBy.additionalNote.NestedProperty.content.2.ga" dataDxfId="399"/>
    <tableColumn id="371" name="LearningActivity.specifiedBy.additionalNote.NestedProperty.content.2.hr" dataDxfId="398"/>
    <tableColumn id="372" name="LearningActivity.specifiedBy.additionalNote.NestedProperty.content.2.hu" dataDxfId="397"/>
    <tableColumn id="373" name="LearningActivity.specifiedBy.additionalNote.NestedProperty.content.2.is" dataDxfId="396"/>
    <tableColumn id="374" name="LearningActivity.specifiedBy.additionalNote.NestedProperty.content.2.it" dataDxfId="395"/>
    <tableColumn id="375" name="LearningActivity.specifiedBy.additionalNote.NestedProperty.content.2.lt" dataDxfId="394"/>
    <tableColumn id="376" name="LearningActivity.specifiedBy.additionalNote.NestedProperty.content.2.lv" dataDxfId="393"/>
    <tableColumn id="377" name="LearningActivity.specifiedBy.additionalNote.NestedProperty.content.2.mt" dataDxfId="392"/>
    <tableColumn id="378" name="LearningActivity.specifiedBy.additionalNote.NestedProperty.content.2.nl" dataDxfId="391"/>
    <tableColumn id="379" name="LearningActivity.specifiedBy.additionalNote.NestedProperty.content.2.no" dataDxfId="390"/>
    <tableColumn id="380" name="LearningActivity.specifiedBy.additionalNote.NestedProperty.content.2.pl" dataDxfId="389"/>
    <tableColumn id="381" name="LearningActivity.specifiedBy.additionalNote.NestedProperty.content.2.pt" dataDxfId="388"/>
    <tableColumn id="382" name="LearningActivity.specifiedBy.additionalNote.NestedProperty.content.2.ro" dataDxfId="387"/>
    <tableColumn id="384" name="LearningActivity.specifiedBy.additionalNote.NestedProperty.content.2.sk" dataDxfId="386"/>
    <tableColumn id="410" name="LearningActivity.specifiedBy.additionalNote.NestedProperty.content.2.sl" dataDxfId="385"/>
    <tableColumn id="411" name="LearningActivity.specifiedBy.additionalNote.NestedProperty.content.2.sv" dataDxfId="384"/>
  </tableColumns>
  <tableStyleInfo name="TableStyleMedium2" showFirstColumn="0" showLastColumn="0" showRowStripes="1" showColumnStripes="0"/>
</table>
</file>

<file path=xl/tables/table7.xml><?xml version="1.0" encoding="utf-8"?>
<table xmlns="http://schemas.openxmlformats.org/spreadsheetml/2006/main" id="17" name="Assessments" displayName="Assessments" ref="B12:IY13" totalsRowShown="0" headerRowDxfId="383" dataDxfId="382">
  <autoFilter ref="B12:IY13"/>
  <tableColumns count="258">
    <tableColumn id="1" name="Assessment.title.Property.content.en" dataDxfId="381"/>
    <tableColumn id="20" name="Assessment.title.Property.content.bg" dataDxfId="380"/>
    <tableColumn id="21" name="Assessment.title.Property.content.cs" dataDxfId="379"/>
    <tableColumn id="22" name="Assessment.title.Property.content.da" dataDxfId="378"/>
    <tableColumn id="23" name="Assessment.title.Property.content.de" dataDxfId="377"/>
    <tableColumn id="24" name="Assessment.title.Property.content.el" dataDxfId="376"/>
    <tableColumn id="25" name="Assessment.title.Property.content.es" dataDxfId="375"/>
    <tableColumn id="26" name="Assessment.title.Property.content.et" dataDxfId="374"/>
    <tableColumn id="27" name="Assessment.title.Property.content.fi" dataDxfId="373"/>
    <tableColumn id="28" name="Assessment.title.Property.content.fr" dataDxfId="372"/>
    <tableColumn id="29" name="Assessment.title.Property.content.ga" dataDxfId="371"/>
    <tableColumn id="30" name="Assessment.title.Property.content.hr" dataDxfId="370"/>
    <tableColumn id="31" name="Assessment.title.Property.content.hu" dataDxfId="369"/>
    <tableColumn id="32" name="Assessment.title.Property.content.is" dataDxfId="368"/>
    <tableColumn id="33" name="Assessment.title.Property.content.it" dataDxfId="367"/>
    <tableColumn id="34" name="Assessment.title.Property.content.lt" dataDxfId="366"/>
    <tableColumn id="35" name="Assessment.title.Property.content.lv" dataDxfId="365"/>
    <tableColumn id="36" name="Assessment.title.Property.content.mt" dataDxfId="364"/>
    <tableColumn id="37" name="Assessment.title.Property.content.nl" dataDxfId="363"/>
    <tableColumn id="38" name="Assessment.title.Property.content.no" dataDxfId="362"/>
    <tableColumn id="39" name="Assessment.title.Property.content.pl" dataDxfId="361"/>
    <tableColumn id="40" name="Assessment.title.Property.content.pt" dataDxfId="360"/>
    <tableColumn id="41" name="Assessment.title.Property.content.ro" dataDxfId="359"/>
    <tableColumn id="42" name="Assessment.title.Property.content.sk" dataDxfId="358"/>
    <tableColumn id="43" name="Assessment.title.Property.content.sl" dataDxfId="357"/>
    <tableColumn id="44" name="Assessment.title.Property.content.sv" dataDxfId="356"/>
    <tableColumn id="3" name="Assessment.identifier#1.identifierSchemeId.NestedProperty." dataDxfId="355">
      <calculatedColumnFormula>IF(ISBLANK(AB$11),"",AB$11)</calculatedColumnFormula>
    </tableColumn>
    <tableColumn id="2" name="Assessment.identifier#1.content.NestedProperty." dataDxfId="354"/>
    <tableColumn id="10" name="Assessment.description.Property.content.en" dataDxfId="353"/>
    <tableColumn id="4" name="Assessment.description.Property.content.bg" dataDxfId="352"/>
    <tableColumn id="5" name="Assessment.description.Property.content.cs" dataDxfId="351"/>
    <tableColumn id="45" name="Assessment.description.Property.content.da" dataDxfId="350"/>
    <tableColumn id="46" name="Assessment.description.Property.content.de" dataDxfId="349"/>
    <tableColumn id="47" name="Assessment.description.Property.content.el" dataDxfId="348"/>
    <tableColumn id="48" name="Assessment.description.Property.content.es" dataDxfId="347"/>
    <tableColumn id="49" name="Assessment.description.Property.content.et" dataDxfId="346"/>
    <tableColumn id="50" name="Assessment.description.Property.content.fi" dataDxfId="345"/>
    <tableColumn id="51" name="Assessment.description.Property.content.fr" dataDxfId="344"/>
    <tableColumn id="52" name="Assessment.description.Property.content.ga" dataDxfId="343"/>
    <tableColumn id="53" name="Assessment.description.Property.content.hr" dataDxfId="342"/>
    <tableColumn id="54" name="Assessment.description.Property.content.hu" dataDxfId="341"/>
    <tableColumn id="55" name="Assessment.description.Property.content.is" dataDxfId="340"/>
    <tableColumn id="56" name="Assessment.description.Property.content.it" dataDxfId="339"/>
    <tableColumn id="57" name="Assessment.description.Property.content.lt" dataDxfId="338"/>
    <tableColumn id="58" name="Assessment.description.Property.content.lv" dataDxfId="337"/>
    <tableColumn id="59" name="Assessment.description.Property.content.mt" dataDxfId="336"/>
    <tableColumn id="60" name="Assessment.description.Property.content.nl" dataDxfId="335"/>
    <tableColumn id="61" name="Assessment.description.Property.content.no" dataDxfId="334"/>
    <tableColumn id="62" name="Assessment.description.Property.content.pl" dataDxfId="333"/>
    <tableColumn id="63" name="Assessment.description.Property.content.pt" dataDxfId="332"/>
    <tableColumn id="64" name="Assessment.description.Property.content.ro" dataDxfId="331"/>
    <tableColumn id="65" name="Assessment.description.Property.content.sk" dataDxfId="330"/>
    <tableColumn id="66" name="Assessment.description.Property.content.sl" dataDxfId="329"/>
    <tableColumn id="67" name="Assessment.description.Property.content.sv" dataDxfId="328"/>
    <tableColumn id="6" name="Assessment.assessedBy.Reference.Organisation." dataDxfId="327">
      <calculatedColumnFormula>IF(ISBLANK(BD$11),"",BD$11)</calculatedColumnFormula>
    </tableColumn>
    <tableColumn id="7" name="Assessment.assessedBy.Association.Organisation." dataDxfId="326">
      <calculatedColumnFormula array="1">MultiMatch(Assessments[[#This Row],[Assessment.assessedBy.Reference.Organisation.]],OrganisationNames,0)</calculatedColumnFormula>
    </tableColumn>
    <tableColumn id="8" name="Assessment.idVerification.Reference.name." dataDxfId="325">
      <calculatedColumnFormula>IF(ISBLANK(BF$11),"",BF$11)</calculatedColumnFormula>
    </tableColumn>
    <tableColumn id="9" name="Assessment.idVerification.Association.Code." dataDxfId="324">
      <calculatedColumnFormula array="1">MultiMatch(Assessments[[#This Row],[Assessment.idVerification.Reference.name.]],Vocabularies[name],0)</calculatedColumnFormula>
    </tableColumn>
    <tableColumn id="11" name="Assessment.issuedDate.Property." dataDxfId="323">
      <calculatedColumnFormula>IF(ISBLANK(BH$11),"",(BH$11))</calculatedColumnFormula>
    </tableColumn>
    <tableColumn id="12" name="Assessment.hasPart.MultiReference.Assessment." dataDxfId="322"/>
    <tableColumn id="13" name="Assessment.hasPart.Association.Assessment." dataDxfId="321">
      <calculatedColumnFormula array="1">MultiMatch(Assessments[[#This Row],[Assessment.hasPart.MultiReference.Assessment.]],AssessmentNames,0)</calculatedColumnFormula>
    </tableColumn>
    <tableColumn id="15" name="Assessment.additionalNote.NestedProperty.topic.1.en" dataDxfId="320">
      <calculatedColumnFormula>IF(ISBLANK(BK$11),"",BK$11)</calculatedColumnFormula>
    </tableColumn>
    <tableColumn id="142" name="Assessment.additionalNote.NestedProperty.content.1.en" dataDxfId="319"/>
    <tableColumn id="143" name="Assessment.additionalNote.NestedProperty.content.1.bg" dataDxfId="318"/>
    <tableColumn id="144" name="Assessment.additionalNote.NestedProperty.content.1.cs" dataDxfId="317"/>
    <tableColumn id="145" name="Assessment.additionalNote.NestedProperty.content.1.da" dataDxfId="316"/>
    <tableColumn id="146" name="Assessment.additionalNote.NestedProperty.content.1.de" dataDxfId="315"/>
    <tableColumn id="147" name="Assessment.additionalNote.NestedProperty.content.1.el" dataDxfId="314"/>
    <tableColumn id="148" name="Assessment.additionalNote.NestedProperty.content.1.es" dataDxfId="313"/>
    <tableColumn id="149" name="Assessment.additionalNote.NestedProperty.content.1.et" dataDxfId="312"/>
    <tableColumn id="150" name="Assessment.additionalNote.NestedProperty.content.1.fi" dataDxfId="311"/>
    <tableColumn id="151" name="Assessment.additionalNote.NestedProperty.content.1.fr" dataDxfId="310"/>
    <tableColumn id="152" name="Assessment.additionalNote.NestedProperty.content.1.ga" dataDxfId="309"/>
    <tableColumn id="153" name="Assessment.additionalNote.NestedProperty.content.1.hr" dataDxfId="308"/>
    <tableColumn id="154" name="Assessment.additionalNote.NestedProperty.content.1.hu" dataDxfId="307"/>
    <tableColumn id="155" name="Assessment.additionalNote.NestedProperty.content.1.is" dataDxfId="306"/>
    <tableColumn id="156" name="Assessment.additionalNote.NestedProperty.content.1.it" dataDxfId="305"/>
    <tableColumn id="157" name="Assessment.additionalNote.NestedProperty.content.1.lt" dataDxfId="304"/>
    <tableColumn id="158" name="Assessment.additionalNote.NestedProperty.content.1.lv" dataDxfId="303"/>
    <tableColumn id="159" name="Assessment.additionalNote.NestedProperty.content.1.mt" dataDxfId="302"/>
    <tableColumn id="160" name="Assessment.additionalNote.NestedProperty.content.1.nl" dataDxfId="301"/>
    <tableColumn id="161" name="Assessment.additionalNote.NestedProperty.content.1.no" dataDxfId="300"/>
    <tableColumn id="162" name="Assessment.additionalNote.NestedProperty.content.1.pl" dataDxfId="299"/>
    <tableColumn id="163" name="Assessment.additionalNote.NestedProperty.content.1.pt" dataDxfId="298"/>
    <tableColumn id="164" name="Assessment.additionalNote.NestedProperty.content.1.ro" dataDxfId="297"/>
    <tableColumn id="165" name="Assessment.additionalNote.NestedProperty.content.1.sk" dataDxfId="296"/>
    <tableColumn id="166" name="Assessment.additionalNote.NestedProperty.content.1.sl" dataDxfId="295"/>
    <tableColumn id="167" name="Assessment.additionalNote.NestedProperty.content.1.sv" dataDxfId="294"/>
    <tableColumn id="376" name="Assessment.specifiedBy.title.NestedProperty.content.en" dataDxfId="293">
      <calculatedColumnFormula>IF(ISBLANK(Assessments[[#This Row],[Assessment.title.Property.content.en]]),"",Assessments[[#This Row],[Assessment.title.Property.content.en]])</calculatedColumnFormula>
    </tableColumn>
    <tableColumn id="377" name="Assessment.specifiedBy.title.NestedProperty.content.bg" dataDxfId="292"/>
    <tableColumn id="378" name="Assessment.specifiedBy.title.NestedProperty.content.cs" dataDxfId="291"/>
    <tableColumn id="379" name="Assessment.specifiedBy.title.NestedProperty.content.da" dataDxfId="290"/>
    <tableColumn id="380" name="Assessment.specifiedBy.title.NestedProperty.content.de" dataDxfId="289"/>
    <tableColumn id="381" name="Assessment.specifiedBy.title.NestedProperty.content.el" dataDxfId="288"/>
    <tableColumn id="382" name="Assessment.specifiedBy.title.NestedProperty.content.es" dataDxfId="287"/>
    <tableColumn id="383" name="Assessment.specifiedBy.title.NestedProperty.content.et" dataDxfId="286"/>
    <tableColumn id="384" name="Assessment.specifiedBy.title.NestedProperty.content.fi" dataDxfId="285"/>
    <tableColumn id="385" name="Assessment.specifiedBy.title.NestedProperty.content.fr" dataDxfId="284"/>
    <tableColumn id="386" name="Assessment.specifiedBy.title.NestedProperty.content.ga" dataDxfId="283"/>
    <tableColumn id="387" name="Assessment.specifiedBy.title.NestedProperty.content.hr" dataDxfId="282"/>
    <tableColumn id="388" name="Assessment.specifiedBy.title.NestedProperty.content.hu" dataDxfId="281"/>
    <tableColumn id="389" name="Assessment.specifiedBy.title.NestedProperty.content.is" dataDxfId="280"/>
    <tableColumn id="390" name="Assessment.specifiedBy.title.NestedProperty.content.it" dataDxfId="279"/>
    <tableColumn id="391" name="Assessment.specifiedBy.title.NestedProperty.content.lt" dataDxfId="278"/>
    <tableColumn id="392" name="Assessment.specifiedBy.title.NestedProperty.content.lv" dataDxfId="277"/>
    <tableColumn id="393" name="Assessment.specifiedBy.title.NestedProperty.content.mt" dataDxfId="276"/>
    <tableColumn id="394" name="Assessment.specifiedBy.title.NestedProperty.content.nl" dataDxfId="275"/>
    <tableColumn id="395" name="Assessment.specifiedBy.title.NestedProperty.content.no" dataDxfId="274"/>
    <tableColumn id="396" name="Assessment.specifiedBy.title.NestedProperty.content.pl" dataDxfId="273"/>
    <tableColumn id="397" name="Assessment.specifiedBy.title.NestedProperty.content.pt" dataDxfId="272"/>
    <tableColumn id="398" name="Assessment.specifiedBy.title.NestedProperty.content.ro" dataDxfId="271"/>
    <tableColumn id="399" name="Assessment.specifiedBy.title.NestedProperty.content.sk" dataDxfId="270"/>
    <tableColumn id="400" name="Assessment.specifiedBy.title.NestedProperty.content.sl" dataDxfId="269"/>
    <tableColumn id="401" name="Assessment.specifiedBy.title.NestedProperty.content.sv" dataDxfId="268"/>
    <tableColumn id="402" name="Assessment.specifiedBy.identifier#1.identifierSchemeId.NestedProperty." dataDxfId="267">
      <calculatedColumnFormula>IF(ISBLANK(DL$11),"",DL$11)</calculatedColumnFormula>
    </tableColumn>
    <tableColumn id="403" name="Assessment.specifiedBy.identifier#1.content.NestedProperty." dataDxfId="266"/>
    <tableColumn id="404" name="Assessment.specifiedBy.description.NestedProperty.content.en" dataDxfId="265"/>
    <tableColumn id="405" name="Assessment.specifiedBy.description.NestedProperty.content.bg" dataDxfId="264"/>
    <tableColumn id="406" name="Assessment.specifiedBy.description.NestedProperty.content.cs" dataDxfId="263"/>
    <tableColumn id="407" name="Assessment.specifiedBy.description.NestedProperty.content.da" dataDxfId="262"/>
    <tableColumn id="408" name="Assessment.specifiedBy.description.NestedProperty.content.de" dataDxfId="261"/>
    <tableColumn id="409" name="Assessment.specifiedBy.description.NestedProperty.content.el" dataDxfId="260"/>
    <tableColumn id="410" name="Assessment.specifiedBy.description.NestedProperty.content.es" dataDxfId="259"/>
    <tableColumn id="411" name="Assessment.specifiedBy.description.NestedProperty.content.et" dataDxfId="258"/>
    <tableColumn id="412" name="Assessment.specifiedBy.description.NestedProperty.content.fi" dataDxfId="257"/>
    <tableColumn id="413" name="Assessment.specifiedBy.description.NestedProperty.content.fr" dataDxfId="256"/>
    <tableColumn id="414" name="Assessment.specifiedBy.description.NestedProperty.content.ga" dataDxfId="255"/>
    <tableColumn id="415" name="Assessment.specifiedBy.description.NestedProperty.content.hr" dataDxfId="254"/>
    <tableColumn id="416" name="Assessment.specifiedBy.description.NestedProperty.content.hu" dataDxfId="253"/>
    <tableColumn id="417" name="Assessment.specifiedBy.description.NestedProperty.content.is" dataDxfId="252"/>
    <tableColumn id="418" name="Assessment.specifiedBy.description.NestedProperty.content.it" dataDxfId="251"/>
    <tableColumn id="419" name="Assessment.specifiedBy.description.NestedProperty.content.lt" dataDxfId="250"/>
    <tableColumn id="420" name="Assessment.specifiedBy.description.NestedProperty.content.lv" dataDxfId="249"/>
    <tableColumn id="421" name="Assessment.specifiedBy.description.NestedProperty.content.mt" dataDxfId="248"/>
    <tableColumn id="422" name="Assessment.specifiedBy.description.NestedProperty.content.nl" dataDxfId="247"/>
    <tableColumn id="423" name="Assessment.specifiedBy.description.NestedProperty.content.no" dataDxfId="246"/>
    <tableColumn id="424" name="Assessment.specifiedBy.description.NestedProperty.content.pl" dataDxfId="245"/>
    <tableColumn id="425" name="Assessment.specifiedBy.description.NestedProperty.content.pt" dataDxfId="244"/>
    <tableColumn id="426" name="Assessment.specifiedBy.description.NestedProperty.content.ro" dataDxfId="243"/>
    <tableColumn id="427" name="Assessment.specifiedBy.description.NestedProperty.content.sk" dataDxfId="242"/>
    <tableColumn id="428" name="Assessment.specifiedBy.description.NestedProperty.content.sl" dataDxfId="241"/>
    <tableColumn id="429" name="Assessment.specifiedBy.description.NestedProperty.content.sv" dataDxfId="240"/>
    <tableColumn id="430" name="Assessment.specifiedBy.homePage#1.id.NestedProperty." dataDxfId="239"/>
    <tableColumn id="431" name="Assessment.specifiedBy.language.Multireference." dataDxfId="238">
      <calculatedColumnFormula>IF(ISBLANK(EO$11),"",EO$11)</calculatedColumnFormula>
    </tableColumn>
    <tableColumn id="432" name="Assessment.specifiedBy.language.NestedAssociation.Code." dataDxfId="237">
      <calculatedColumnFormula array="1">MultiMatch(Assessments[[#This Row],[Assessment.specifiedBy.language.Multireference.]],Vocabularies[name],0)</calculatedColumnFormula>
    </tableColumn>
    <tableColumn id="433" name="Assessment.specifiedBy.mode.Multireference." dataDxfId="236">
      <calculatedColumnFormula>IF(ISBLANK(EQ$11),"",EQ$11)</calculatedColumnFormula>
    </tableColumn>
    <tableColumn id="434" name="Assessment.specifiedBy.mode.NestedAssociation.Code." dataDxfId="235">
      <calculatedColumnFormula array="1">MultiMatch(Assessments[[#This Row],[Assessment.specifiedBy.mode.Multireference.]],Vocabularies[name],0)</calculatedColumnFormula>
    </tableColumn>
    <tableColumn id="18" name="Column2" dataDxfId="234">
      <calculatedColumnFormula>IF(ISBLANK(ES$11),"",ES$11)</calculatedColumnFormula>
    </tableColumn>
    <tableColumn id="14" name="Column1" dataDxfId="233">
      <calculatedColumnFormula array="1">MultiMatch(Assessments[[#This Row],[Column2]],Vocabularies[name],0)</calculatedColumnFormula>
    </tableColumn>
    <tableColumn id="435" name="Assessment.specifiedBy.supplementaryDocument#1.id.NestedProperty." dataDxfId="232"/>
    <tableColumn id="436" name="Assessment.specifiedBy.additionalNote.NestedProperty.topic.1.en" dataDxfId="231">
      <calculatedColumnFormula>IF(ISBLANK(EV$11),"",EV$11)</calculatedColumnFormula>
    </tableColumn>
    <tableColumn id="462" name="Assessment.specifiedBy.additionalNote.NestedProperty.content.1.en" dataDxfId="230">
      <calculatedColumnFormula>IF(ISBLANK(EW$11),"",EW$11)</calculatedColumnFormula>
    </tableColumn>
    <tableColumn id="463" name="Assessment.specifiedBy.additionalNote.NestedProperty.content.1.bg" dataDxfId="229">
      <calculatedColumnFormula>IF(ISBLANK(EX$11),"",EX$11)</calculatedColumnFormula>
    </tableColumn>
    <tableColumn id="464" name="Assessment.specifiedBy.additionalNote.NestedProperty.content.1.cs" dataDxfId="228">
      <calculatedColumnFormula>IF(ISBLANK(EY$11),"",EY$11)</calculatedColumnFormula>
    </tableColumn>
    <tableColumn id="465" name="Assessment.specifiedBy.additionalNote.NestedProperty.content.1.da" dataDxfId="227">
      <calculatedColumnFormula>IF(ISBLANK(EZ$11),"",EZ$11)</calculatedColumnFormula>
    </tableColumn>
    <tableColumn id="466" name="Assessment.specifiedBy.additionalNote.NestedProperty.content.1.de" dataDxfId="226">
      <calculatedColumnFormula>IF(ISBLANK(FA$11),"",FA$11)</calculatedColumnFormula>
    </tableColumn>
    <tableColumn id="467" name="Assessment.specifiedBy.additionalNote.NestedProperty.content.1.el" dataDxfId="225">
      <calculatedColumnFormula>IF(ISBLANK(FB$11),"",FB$11)</calculatedColumnFormula>
    </tableColumn>
    <tableColumn id="468" name="Assessment.specifiedBy.additionalNote.NestedProperty.content.1.es" dataDxfId="224">
      <calculatedColumnFormula>IF(ISBLANK(FC$11),"",FC$11)</calculatedColumnFormula>
    </tableColumn>
    <tableColumn id="469" name="Assessment.specifiedBy.additionalNote.NestedProperty.content.1.et" dataDxfId="223">
      <calculatedColumnFormula>IF(ISBLANK(FD$11),"",FD$11)</calculatedColumnFormula>
    </tableColumn>
    <tableColumn id="470" name="Assessment.specifiedBy.additionalNote.NestedProperty.content.1.fi" dataDxfId="222">
      <calculatedColumnFormula>IF(ISBLANK(FE$11),"",FE$11)</calculatedColumnFormula>
    </tableColumn>
    <tableColumn id="471" name="Assessment.specifiedBy.additionalNote.NestedProperty.content.1.fr" dataDxfId="221">
      <calculatedColumnFormula>IF(ISBLANK(FF$11),"",FF$11)</calculatedColumnFormula>
    </tableColumn>
    <tableColumn id="472" name="Assessment.specifiedBy.additionalNote.NestedProperty.content.1.ga" dataDxfId="220">
      <calculatedColumnFormula>IF(ISBLANK(FG$11),"",FG$11)</calculatedColumnFormula>
    </tableColumn>
    <tableColumn id="473" name="Assessment.specifiedBy.additionalNote.NestedProperty.content.1.hr" dataDxfId="219">
      <calculatedColumnFormula>IF(ISBLANK(FH$11),"",FH$11)</calculatedColumnFormula>
    </tableColumn>
    <tableColumn id="474" name="Assessment.specifiedBy.additionalNote.NestedProperty.content.1.hu" dataDxfId="218">
      <calculatedColumnFormula>IF(ISBLANK(FI$11),"",FI$11)</calculatedColumnFormula>
    </tableColumn>
    <tableColumn id="475" name="Assessment.specifiedBy.additionalNote.NestedProperty.content.1.is" dataDxfId="217">
      <calculatedColumnFormula>IF(ISBLANK(FJ$11),"",FJ$11)</calculatedColumnFormula>
    </tableColumn>
    <tableColumn id="476" name="Assessment.specifiedBy.additionalNote.NestedProperty.content.1.it" dataDxfId="216">
      <calculatedColumnFormula>IF(ISBLANK(FK$11),"",FK$11)</calculatedColumnFormula>
    </tableColumn>
    <tableColumn id="477" name="Assessment.specifiedBy.additionalNote.NestedProperty.content.1.lt" dataDxfId="215">
      <calculatedColumnFormula>IF(ISBLANK(FL$11),"",FL$11)</calculatedColumnFormula>
    </tableColumn>
    <tableColumn id="478" name="Assessment.specifiedBy.additionalNote.NestedProperty.content.1.lv" dataDxfId="214">
      <calculatedColumnFormula>IF(ISBLANK(FM$11),"",FM$11)</calculatedColumnFormula>
    </tableColumn>
    <tableColumn id="479" name="Assessment.specifiedBy.additionalNote.NestedProperty.content.1.mt" dataDxfId="213">
      <calculatedColumnFormula>IF(ISBLANK(FN$11),"",FN$11)</calculatedColumnFormula>
    </tableColumn>
    <tableColumn id="480" name="Assessment.specifiedBy.additionalNote.NestedProperty.content.1.nl" dataDxfId="212">
      <calculatedColumnFormula>IF(ISBLANK(FO$11),"",FO$11)</calculatedColumnFormula>
    </tableColumn>
    <tableColumn id="481" name="Assessment.specifiedBy.additionalNote.NestedProperty.content.1.no" dataDxfId="211">
      <calculatedColumnFormula>IF(ISBLANK(FP$11),"",FP$11)</calculatedColumnFormula>
    </tableColumn>
    <tableColumn id="482" name="Assessment.specifiedBy.additionalNote.NestedProperty.content.1.pl" dataDxfId="210">
      <calculatedColumnFormula>IF(ISBLANK(FQ$11),"",FQ$11)</calculatedColumnFormula>
    </tableColumn>
    <tableColumn id="483" name="Assessment.specifiedBy.additionalNote.NestedProperty.content.1.pt" dataDxfId="209">
      <calculatedColumnFormula>IF(ISBLANK(FR$11),"",FR$11)</calculatedColumnFormula>
    </tableColumn>
    <tableColumn id="484" name="Assessment.specifiedBy.additionalNote.NestedProperty.content.1.ro" dataDxfId="208">
      <calculatedColumnFormula>IF(ISBLANK(FS$11),"",FS$11)</calculatedColumnFormula>
    </tableColumn>
    <tableColumn id="485" name="Assessment.specifiedBy.additionalNote.NestedProperty.content.1.sk" dataDxfId="207">
      <calculatedColumnFormula>IF(ISBLANK(FT$11),"",FT$11)</calculatedColumnFormula>
    </tableColumn>
    <tableColumn id="486" name="Assessment.specifiedBy.additionalNote.NestedProperty.content.1.sl" dataDxfId="206">
      <calculatedColumnFormula>IF(ISBLANK(FU$11),"",FU$11)</calculatedColumnFormula>
    </tableColumn>
    <tableColumn id="487" name="Assessment.specifiedBy.additionalNote.NestedProperty.content.1.sv" dataDxfId="205">
      <calculatedColumnFormula>IF(ISBLANK(FV$11),"",FV$11)</calculatedColumnFormula>
    </tableColumn>
    <tableColumn id="488" name="Assessment.specifiedBy.additionalNote.NestedProperty.topic.2.en" dataDxfId="204">
      <calculatedColumnFormula>IF(ISBLANK(FW$11),"",FW$11)</calculatedColumnFormula>
    </tableColumn>
    <tableColumn id="514" name="Assessment.specifiedBy.additionalNote.NestedProperty.content.2.en" dataDxfId="203"/>
    <tableColumn id="515" name="Assessment.specifiedBy.additionalNote.NestedProperty.content.2.bg" dataDxfId="202"/>
    <tableColumn id="516" name="Assessment.specifiedBy.additionalNote.NestedProperty.content.2.cs" dataDxfId="201"/>
    <tableColumn id="517" name="Assessment.specifiedBy.additionalNote.NestedProperty.content.2.da" dataDxfId="200"/>
    <tableColumn id="518" name="Assessment.specifiedBy.additionalNote.NestedProperty.content.2.de" dataDxfId="199"/>
    <tableColumn id="519" name="Assessment.specifiedBy.additionalNote.NestedProperty.content.2.el" dataDxfId="198"/>
    <tableColumn id="520" name="Assessment.specifiedBy.additionalNote.NestedProperty.content.2.es" dataDxfId="197"/>
    <tableColumn id="521" name="Assessment.specifiedBy.additionalNote.NestedProperty.content.2.et" dataDxfId="196"/>
    <tableColumn id="522" name="Assessment.specifiedBy.additionalNote.NestedProperty.content.2.fi" dataDxfId="195"/>
    <tableColumn id="523" name="Assessment.specifiedBy.additionalNote.NestedProperty.content.2.fr" dataDxfId="194"/>
    <tableColumn id="524" name="Assessment.specifiedBy.additionalNote.NestedProperty.content.2.ga" dataDxfId="193"/>
    <tableColumn id="525" name="Assessment.specifiedBy.additionalNote.NestedProperty.content.2.hr" dataDxfId="192"/>
    <tableColumn id="526" name="Assessment.specifiedBy.additionalNote.NestedProperty.content.2.hu" dataDxfId="191"/>
    <tableColumn id="527" name="Assessment.specifiedBy.additionalNote.NestedProperty.content.2.is" dataDxfId="190"/>
    <tableColumn id="528" name="Assessment.specifiedBy.additionalNote.NestedProperty.content.2.it" dataDxfId="189"/>
    <tableColumn id="529" name="Assessment.specifiedBy.additionalNote.NestedProperty.content.2.lt" dataDxfId="188"/>
    <tableColumn id="530" name="Assessment.specifiedBy.additionalNote.NestedProperty.content.2.lv" dataDxfId="187"/>
    <tableColumn id="531" name="Assessment.specifiedBy.additionalNote.NestedProperty.content.2.mt" dataDxfId="186"/>
    <tableColumn id="532" name="Assessment.specifiedBy.additionalNote.NestedProperty.content.2.nl" dataDxfId="185"/>
    <tableColumn id="533" name="Assessment.specifiedBy.additionalNote.NestedProperty.content.2.no" dataDxfId="184"/>
    <tableColumn id="534" name="Assessment.specifiedBy.additionalNote.NestedProperty.content.2.pl" dataDxfId="183"/>
    <tableColumn id="535" name="Assessment.specifiedBy.additionalNote.NestedProperty.content.2.pt" dataDxfId="182"/>
    <tableColumn id="536" name="Assessment.specifiedBy.additionalNote.NestedProperty.content.2.ro" dataDxfId="181"/>
    <tableColumn id="537" name="Assessment.specifiedBy.additionalNote.NestedProperty.content.2.sk" dataDxfId="180"/>
    <tableColumn id="538" name="Assessment.specifiedBy.additionalNote.NestedProperty.content.2.sl" dataDxfId="179"/>
    <tableColumn id="539" name="Assessment.specifiedBy.additionalNote.NestedProperty.content.2.sv" dataDxfId="178"/>
    <tableColumn id="540" name="Assessment.specifiedBy.gradingScheme.title.NestedProperty.content.en" dataDxfId="177">
      <calculatedColumnFormula>IF(ISBLANK(GX$11),"",GX$11)</calculatedColumnFormula>
    </tableColumn>
    <tableColumn id="541" name="Assessment.specifiedBy.gradingScheme.title.NestedProperty.content.bg" dataDxfId="176">
      <calculatedColumnFormula>IF(ISBLANK(GY$11),"",GY$11)</calculatedColumnFormula>
    </tableColumn>
    <tableColumn id="542" name="Assessment.specifiedBy.gradingScheme.title.NestedProperty.content.cs" dataDxfId="175">
      <calculatedColumnFormula>IF(ISBLANK(GZ$11),"",GZ$11)</calculatedColumnFormula>
    </tableColumn>
    <tableColumn id="543" name="Assessment.specifiedBy.gradingScheme.title.NestedProperty.content.da" dataDxfId="174">
      <calculatedColumnFormula>IF(ISBLANK(HA$11),"",HA$11)</calculatedColumnFormula>
    </tableColumn>
    <tableColumn id="544" name="Assessment.specifiedBy.gradingScheme.title.NestedProperty.content.de" dataDxfId="173">
      <calculatedColumnFormula>IF(ISBLANK(HB$11),"",HB$11)</calculatedColumnFormula>
    </tableColumn>
    <tableColumn id="545" name="Assessment.specifiedBy.gradingScheme.title.NestedProperty.content.el" dataDxfId="172">
      <calculatedColumnFormula>IF(ISBLANK(HC$11),"",HC$11)</calculatedColumnFormula>
    </tableColumn>
    <tableColumn id="546" name="Assessment.specifiedBy.gradingScheme.title.NestedProperty.content.es" dataDxfId="171">
      <calculatedColumnFormula>IF(ISBLANK(HD$11),"",HD$11)</calculatedColumnFormula>
    </tableColumn>
    <tableColumn id="547" name="Assessment.specifiedBy.gradingScheme.title.NestedProperty.content.et" dataDxfId="170">
      <calculatedColumnFormula>IF(ISBLANK(HE$11),"",HE$11)</calculatedColumnFormula>
    </tableColumn>
    <tableColumn id="548" name="Assessment.specifiedBy.gradingScheme.title.NestedProperty.content.fi" dataDxfId="169">
      <calculatedColumnFormula>IF(ISBLANK(HF$11),"",HF$11)</calculatedColumnFormula>
    </tableColumn>
    <tableColumn id="549" name="Assessment.specifiedBy.gradingScheme.title.NestedProperty.content.fr" dataDxfId="168">
      <calculatedColumnFormula>IF(ISBLANK(HG$11),"",HG$11)</calculatedColumnFormula>
    </tableColumn>
    <tableColumn id="550" name="Assessment.specifiedBy.gradingScheme.title.NestedProperty.content.ga" dataDxfId="167">
      <calculatedColumnFormula>IF(ISBLANK(HH$11),"",HH$11)</calculatedColumnFormula>
    </tableColumn>
    <tableColumn id="551" name="Assessment.specifiedBy.gradingScheme.title.NestedProperty.content.hr" dataDxfId="166">
      <calculatedColumnFormula>IF(ISBLANK(HI$11),"",HI$11)</calculatedColumnFormula>
    </tableColumn>
    <tableColumn id="552" name="Assessment.specifiedBy.gradingScheme.title.NestedProperty.content.hu" dataDxfId="165">
      <calculatedColumnFormula>IF(ISBLANK(HJ$11),"",HJ$11)</calculatedColumnFormula>
    </tableColumn>
    <tableColumn id="553" name="Assessment.specifiedBy.gradingScheme.title.NestedProperty.content.is" dataDxfId="164">
      <calculatedColumnFormula>IF(ISBLANK(HK$11),"",HK$11)</calculatedColumnFormula>
    </tableColumn>
    <tableColumn id="554" name="Assessment.specifiedBy.gradingScheme.title.NestedProperty.content.it" dataDxfId="163">
      <calculatedColumnFormula>IF(ISBLANK(HL$11),"",HL$11)</calculatedColumnFormula>
    </tableColumn>
    <tableColumn id="555" name="Assessment.specifiedBy.gradingScheme.title.NestedProperty.content.lt" dataDxfId="162">
      <calculatedColumnFormula>IF(ISBLANK(HM$11),"",HM$11)</calculatedColumnFormula>
    </tableColumn>
    <tableColumn id="556" name="Assessment.specifiedBy.gradingScheme.title.NestedProperty.content.lv" dataDxfId="161">
      <calculatedColumnFormula>IF(ISBLANK(HN$11),"",HN$11)</calculatedColumnFormula>
    </tableColumn>
    <tableColumn id="557" name="Assessment.specifiedBy.gradingScheme.title.NestedProperty.content.mt" dataDxfId="160">
      <calculatedColumnFormula>IF(ISBLANK(HO$11),"",HO$11)</calculatedColumnFormula>
    </tableColumn>
    <tableColumn id="558" name="Assessment.specifiedBy.gradingScheme.title.NestedProperty.content.nl" dataDxfId="159">
      <calculatedColumnFormula>IF(ISBLANK(HP$11),"",HP$11)</calculatedColumnFormula>
    </tableColumn>
    <tableColumn id="559" name="Assessment.specifiedBy.gradingScheme.title.NestedProperty.content.no" dataDxfId="158">
      <calculatedColumnFormula>IF(ISBLANK(HQ$11),"",HQ$11)</calculatedColumnFormula>
    </tableColumn>
    <tableColumn id="560" name="Assessment.specifiedBy.gradingScheme.title.NestedProperty.content.pl" dataDxfId="157">
      <calculatedColumnFormula>IF(ISBLANK(HR$11),"",HR$11)</calculatedColumnFormula>
    </tableColumn>
    <tableColumn id="561" name="Assessment.specifiedBy.gradingScheme.title.NestedProperty.content.pt" dataDxfId="156">
      <calculatedColumnFormula>IF(ISBLANK(HS$11),"",HS$11)</calculatedColumnFormula>
    </tableColumn>
    <tableColumn id="562" name="Assessment.specifiedBy.gradingScheme.title.NestedProperty.content.ro" dataDxfId="155">
      <calculatedColumnFormula>IF(ISBLANK(HT$11),"",HT$11)</calculatedColumnFormula>
    </tableColumn>
    <tableColumn id="563" name="Assessment.specifiedBy.gradingScheme.title.NestedProperty.content.sk" dataDxfId="154">
      <calculatedColumnFormula>IF(ISBLANK(HU$11),"",HU$11)</calculatedColumnFormula>
    </tableColumn>
    <tableColumn id="564" name="Assessment.specifiedBy.gradingScheme.title.NestedProperty.content.sl" dataDxfId="153">
      <calculatedColumnFormula>IF(ISBLANK(HV$11),"",HV$11)</calculatedColumnFormula>
    </tableColumn>
    <tableColumn id="565" name="Assessment.specifiedBy.gradingScheme.title.NestedProperty.content.sv" dataDxfId="152">
      <calculatedColumnFormula>IF(ISBLANK(HW$11),"",HW$11)</calculatedColumnFormula>
    </tableColumn>
    <tableColumn id="566" name="Assessment.specifiedBy.gradingScheme.identifier#1.identifierSchemeId.NestedProperty." dataDxfId="151">
      <calculatedColumnFormula>IF(ISBLANK(HX$11),"",HX$11)</calculatedColumnFormula>
    </tableColumn>
    <tableColumn id="567" name="Assessment.specifiedBy.gradingScheme.identifier#1.content.NestedProperty." dataDxfId="150"/>
    <tableColumn id="568" name="Assessment.specifiedBy.gradingScheme.description.NestedProperty.content.en" dataDxfId="149">
      <calculatedColumnFormula>IF(ISBLANK(HZ$11),"",HZ$11)</calculatedColumnFormula>
    </tableColumn>
    <tableColumn id="19" name="Assessment.specifiedBy.gradingScheme.description.NestedProperty.content.bg" dataDxfId="148">
      <calculatedColumnFormula>IF(ISBLANK(IA$11),"",IA$11)</calculatedColumnFormula>
    </tableColumn>
    <tableColumn id="168" name="Assessment.specifiedBy.gradingScheme.description.NestedProperty.content.cs" dataDxfId="147">
      <calculatedColumnFormula>IF(ISBLANK(IB$11),"",IB$11)</calculatedColumnFormula>
    </tableColumn>
    <tableColumn id="169" name="Assessment.specifiedBy.gradingScheme.description.NestedProperty.content.da" dataDxfId="146">
      <calculatedColumnFormula>IF(ISBLANK(IC$11),"",IC$11)</calculatedColumnFormula>
    </tableColumn>
    <tableColumn id="170" name="Assessment.specifiedBy.gradingScheme.description.NestedProperty.content.de" dataDxfId="145">
      <calculatedColumnFormula>IF(ISBLANK(ID$11),"",ID$11)</calculatedColumnFormula>
    </tableColumn>
    <tableColumn id="171" name="Assessment.specifiedBy.gradingScheme.description.NestedProperty.content.el" dataDxfId="144">
      <calculatedColumnFormula>IF(ISBLANK(IE$11),"",IE$11)</calculatedColumnFormula>
    </tableColumn>
    <tableColumn id="172" name="Assessment.specifiedBy.gradingScheme.description.NestedProperty.content.es" dataDxfId="143">
      <calculatedColumnFormula>IF(ISBLANK(IF$11),"",IF$11)</calculatedColumnFormula>
    </tableColumn>
    <tableColumn id="173" name="Assessment.specifiedBy.gradingScheme.description.NestedProperty.content.et" dataDxfId="142">
      <calculatedColumnFormula>IF(ISBLANK(IG$11),"",IG$11)</calculatedColumnFormula>
    </tableColumn>
    <tableColumn id="174" name="Assessment.specifiedBy.gradingScheme.description.NestedProperty.content.fi" dataDxfId="141">
      <calculatedColumnFormula>IF(ISBLANK(IH$11),"",IH$11)</calculatedColumnFormula>
    </tableColumn>
    <tableColumn id="175" name="Assessment.specifiedBy.gradingScheme.description.NestedProperty.content.fr" dataDxfId="140">
      <calculatedColumnFormula>IF(ISBLANK(II$11),"",II$11)</calculatedColumnFormula>
    </tableColumn>
    <tableColumn id="176" name="Assessment.specifiedBy.gradingScheme.description.NestedProperty.content.ga" dataDxfId="139">
      <calculatedColumnFormula>IF(ISBLANK(IJ$11),"",IJ$11)</calculatedColumnFormula>
    </tableColumn>
    <tableColumn id="177" name="Assessment.specifiedBy.gradingScheme.description.NestedProperty.content.hr" dataDxfId="138">
      <calculatedColumnFormula>IF(ISBLANK(IK$11),"",IK$11)</calculatedColumnFormula>
    </tableColumn>
    <tableColumn id="178" name="Assessment.specifiedBy.gradingScheme.description.NestedProperty.content.hu" dataDxfId="137">
      <calculatedColumnFormula>IF(ISBLANK(IL$11),"",IL$11)</calculatedColumnFormula>
    </tableColumn>
    <tableColumn id="179" name="Assessment.specifiedBy.gradingScheme.description.NestedProperty.content.is" dataDxfId="136">
      <calculatedColumnFormula>IF(ISBLANK(IM$11),"",IM$11)</calculatedColumnFormula>
    </tableColumn>
    <tableColumn id="181" name="Assessment.specifiedBy.gradingScheme.description.NestedProperty.content.it" dataDxfId="135">
      <calculatedColumnFormula>IF(ISBLANK(IN$11),"",IN$11)</calculatedColumnFormula>
    </tableColumn>
    <tableColumn id="182" name="Assessment.specifiedBy.gradingScheme.description.NestedProperty.content.lt" dataDxfId="134">
      <calculatedColumnFormula>IF(ISBLANK(IO$11),"",IO$11)</calculatedColumnFormula>
    </tableColumn>
    <tableColumn id="183" name="Assessment.specifiedBy.gradingScheme.description.NestedProperty.content.lv" dataDxfId="133">
      <calculatedColumnFormula>IF(ISBLANK(IP$11),"",IP$11)</calculatedColumnFormula>
    </tableColumn>
    <tableColumn id="184" name="Assessment.specifiedBy.gradingScheme.description.NestedProperty.content.mt" dataDxfId="132">
      <calculatedColumnFormula>IF(ISBLANK(IQ$11),"",IQ$11)</calculatedColumnFormula>
    </tableColumn>
    <tableColumn id="185" name="Assessment.specifiedBy.gradingScheme.description.NestedProperty.content.nl" dataDxfId="131">
      <calculatedColumnFormula>IF(ISBLANK(IR$11),"",IR$11)</calculatedColumnFormula>
    </tableColumn>
    <tableColumn id="186" name="Assessment.specifiedBy.gradingScheme.description.NestedProperty.content.no" dataDxfId="130">
      <calculatedColumnFormula>IF(ISBLANK(IS$11),"",IS$11)</calculatedColumnFormula>
    </tableColumn>
    <tableColumn id="187" name="Assessment.specifiedBy.gradingScheme.description.NestedProperty.content.pl" dataDxfId="129">
      <calculatedColumnFormula>IF(ISBLANK(IT$11),"",IT$11)</calculatedColumnFormula>
    </tableColumn>
    <tableColumn id="188" name="Assessment.specifiedBy.gradingScheme.description.NestedProperty.content.pt" dataDxfId="128">
      <calculatedColumnFormula>IF(ISBLANK(IU$11),"",IU$11)</calculatedColumnFormula>
    </tableColumn>
    <tableColumn id="189" name="Assessment.specifiedBy.gradingScheme.description.NestedProperty.content.ro" dataDxfId="127">
      <calculatedColumnFormula>IF(ISBLANK(IV$11),"",IV$11)</calculatedColumnFormula>
    </tableColumn>
    <tableColumn id="190" name="Assessment.specifiedBy.gradingScheme.description.NestedProperty.content.sk" dataDxfId="126">
      <calculatedColumnFormula>IF(ISBLANK(IW$11),"",IW$11)</calculatedColumnFormula>
    </tableColumn>
    <tableColumn id="191" name="Assessment.specifiedBy.gradingScheme.description.NestedProperty.content.sl" dataDxfId="125">
      <calculatedColumnFormula>IF(ISBLANK(IX$11),"",IX$11)</calculatedColumnFormula>
    </tableColumn>
    <tableColumn id="192" name="Assessment.specifiedBy.gradingScheme.description.NestedProperty.content.sv" dataDxfId="124">
      <calculatedColumnFormula>IF(ISBLANK(IY$11),"",IY$11)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8" name="Entitlements" displayName="Entitlements" ref="B12:DR13" totalsRowShown="0" headerRowDxfId="123" dataDxfId="122">
  <autoFilter ref="B12:DR13"/>
  <tableColumns count="121">
    <tableColumn id="1" name="Column1" dataDxfId="121"/>
    <tableColumn id="28" name="Column110" dataDxfId="120"/>
    <tableColumn id="29" name="Column111" dataDxfId="119"/>
    <tableColumn id="30" name="Column112" dataDxfId="118"/>
    <tableColumn id="31" name="Column113" dataDxfId="117"/>
    <tableColumn id="32" name="Column114" dataDxfId="116"/>
    <tableColumn id="33" name="Column115" dataDxfId="115"/>
    <tableColumn id="34" name="Column116" dataDxfId="114"/>
    <tableColumn id="35" name="Column117" dataDxfId="113"/>
    <tableColumn id="36" name="Column118" dataDxfId="112"/>
    <tableColumn id="37" name="Column119" dataDxfId="111"/>
    <tableColumn id="38" name="Column120" dataDxfId="110"/>
    <tableColumn id="39" name="Column121" dataDxfId="109"/>
    <tableColumn id="40" name="Column122" dataDxfId="108"/>
    <tableColumn id="41" name="Column123" dataDxfId="107"/>
    <tableColumn id="42" name="Column124" dataDxfId="106"/>
    <tableColumn id="43" name="Column125" dataDxfId="105"/>
    <tableColumn id="44" name="Column126" dataDxfId="104"/>
    <tableColumn id="45" name="Column127" dataDxfId="103"/>
    <tableColumn id="46" name="Column128" dataDxfId="102"/>
    <tableColumn id="47" name="Column129" dataDxfId="101"/>
    <tableColumn id="48" name="Column130" dataDxfId="100"/>
    <tableColumn id="49" name="Column131" dataDxfId="99"/>
    <tableColumn id="50" name="Column132" dataDxfId="98"/>
    <tableColumn id="51" name="Column133" dataDxfId="97"/>
    <tableColumn id="52" name="Column134" dataDxfId="96"/>
    <tableColumn id="3" name="Column3" dataDxfId="95">
      <calculatedColumnFormula>IF(ISBLANK(AB$11),"",AB$11)</calculatedColumnFormula>
    </tableColumn>
    <tableColumn id="2" name="Column2" dataDxfId="94"/>
    <tableColumn id="6" name="Column6" dataDxfId="93">
      <calculatedColumnFormula>IF(ISBLANK(AD$11),"",AD$11)</calculatedColumnFormula>
    </tableColumn>
    <tableColumn id="7" name="Column7" dataDxfId="92">
      <calculatedColumnFormula>IF(ISBLANK(AE$11),"",AE$11)</calculatedColumnFormula>
    </tableColumn>
    <tableColumn id="8" name="Column8" dataDxfId="91"/>
    <tableColumn id="53" name="Column82" dataDxfId="90"/>
    <tableColumn id="54" name="Column83" dataDxfId="89"/>
    <tableColumn id="55" name="Column84" dataDxfId="88"/>
    <tableColumn id="56" name="Column85" dataDxfId="87"/>
    <tableColumn id="57" name="Column86" dataDxfId="86"/>
    <tableColumn id="58" name="Column87" dataDxfId="85"/>
    <tableColumn id="59" name="Column88" dataDxfId="84"/>
    <tableColumn id="60" name="Column89" dataDxfId="83"/>
    <tableColumn id="61" name="Column90" dataDxfId="82"/>
    <tableColumn id="62" name="Column91" dataDxfId="81"/>
    <tableColumn id="63" name="Column92" dataDxfId="80"/>
    <tableColumn id="64" name="Column93" dataDxfId="79"/>
    <tableColumn id="65" name="Column94" dataDxfId="78"/>
    <tableColumn id="66" name="Column95" dataDxfId="77"/>
    <tableColumn id="67" name="Column96" dataDxfId="76"/>
    <tableColumn id="68" name="Column97" dataDxfId="75"/>
    <tableColumn id="69" name="Column98" dataDxfId="74"/>
    <tableColumn id="70" name="Column99" dataDxfId="73"/>
    <tableColumn id="71" name="Column100" dataDxfId="72"/>
    <tableColumn id="72" name="Column101" dataDxfId="71"/>
    <tableColumn id="73" name="Column102" dataDxfId="70"/>
    <tableColumn id="74" name="Column103" dataDxfId="69"/>
    <tableColumn id="75" name="Column104" dataDxfId="68"/>
    <tableColumn id="76" name="Column105" dataDxfId="67"/>
    <tableColumn id="77" name="Column106" dataDxfId="66"/>
    <tableColumn id="9" name="Column9" dataDxfId="65"/>
    <tableColumn id="10" name="Column10" dataDxfId="64">
      <calculatedColumnFormula array="1">MultiMatch(Entitlements[[#This Row],[Column9]],EntitlementNames,0)</calculatedColumnFormula>
    </tableColumn>
    <tableColumn id="13" name="Column13" dataDxfId="63">
      <calculatedColumnFormula>IF(ISBLANK(Entitlements[[#This Row],[Column1]]),"",Entitlements[[#This Row],[Column1]])</calculatedColumnFormula>
    </tableColumn>
    <tableColumn id="78" name="Column135" dataDxfId="62"/>
    <tableColumn id="79" name="Column136" dataDxfId="61"/>
    <tableColumn id="80" name="Column137" dataDxfId="60"/>
    <tableColumn id="81" name="Column138" dataDxfId="59"/>
    <tableColumn id="82" name="Column139" dataDxfId="58"/>
    <tableColumn id="83" name="Column140" dataDxfId="57"/>
    <tableColumn id="84" name="Column141" dataDxfId="56"/>
    <tableColumn id="85" name="Column142" dataDxfId="55"/>
    <tableColumn id="86" name="Column143" dataDxfId="54"/>
    <tableColumn id="87" name="Column144" dataDxfId="53"/>
    <tableColumn id="88" name="Column145" dataDxfId="52"/>
    <tableColumn id="89" name="Column146" dataDxfId="51"/>
    <tableColumn id="90" name="Column147" dataDxfId="50"/>
    <tableColumn id="91" name="Column148" dataDxfId="49"/>
    <tableColumn id="92" name="Column149" dataDxfId="48"/>
    <tableColumn id="93" name="Column150" dataDxfId="47"/>
    <tableColumn id="94" name="Column151" dataDxfId="46"/>
    <tableColumn id="95" name="Column152" dataDxfId="45"/>
    <tableColumn id="96" name="Column153" dataDxfId="44"/>
    <tableColumn id="97" name="Column154" dataDxfId="43"/>
    <tableColumn id="98" name="Column155" dataDxfId="42"/>
    <tableColumn id="99" name="Column156" dataDxfId="41"/>
    <tableColumn id="100" name="Column157" dataDxfId="40"/>
    <tableColumn id="101" name="Column158" dataDxfId="39"/>
    <tableColumn id="102" name="Column159" dataDxfId="38"/>
    <tableColumn id="103" name="Column160" dataDxfId="37"/>
    <tableColumn id="105" name="Column1602" dataDxfId="36">
      <calculatedColumnFormula array="1">MultiMatch(Entitlements[[#This Row],[Column160]],Vocabularies[name],0)</calculatedColumnFormula>
    </tableColumn>
    <tableColumn id="104" name="Column161" dataDxfId="35"/>
    <tableColumn id="106" name="Column162" dataDxfId="34">
      <calculatedColumnFormula array="1">MultiMatch(Entitlements[[#This Row],[Column161]],Vocabularies[name],0)</calculatedColumnFormula>
    </tableColumn>
    <tableColumn id="15" name="Column15" dataDxfId="33">
      <calculatedColumnFormula>IF(ISBLANK(CL$11),"",CL$11)</calculatedColumnFormula>
    </tableColumn>
    <tableColumn id="14" name="Column14" dataDxfId="32"/>
    <tableColumn id="18" name="Column18" dataDxfId="31"/>
    <tableColumn id="107" name="Column182" dataDxfId="30"/>
    <tableColumn id="108" name="Column183" dataDxfId="29"/>
    <tableColumn id="109" name="Column184" dataDxfId="28"/>
    <tableColumn id="110" name="Column185" dataDxfId="27"/>
    <tableColumn id="111" name="Column186" dataDxfId="26"/>
    <tableColumn id="112" name="Column187" dataDxfId="25"/>
    <tableColumn id="113" name="Column188" dataDxfId="24"/>
    <tableColumn id="114" name="Column189" dataDxfId="23"/>
    <tableColumn id="115" name="Column190" dataDxfId="22"/>
    <tableColumn id="116" name="Column191" dataDxfId="21"/>
    <tableColumn id="117" name="Column192" dataDxfId="20"/>
    <tableColumn id="118" name="Column193" dataDxfId="19"/>
    <tableColumn id="119" name="Column194" dataDxfId="18"/>
    <tableColumn id="120" name="Column195" dataDxfId="17"/>
    <tableColumn id="121" name="Column196" dataDxfId="16"/>
    <tableColumn id="122" name="Column197" dataDxfId="15"/>
    <tableColumn id="123" name="Column198" dataDxfId="14"/>
    <tableColumn id="124" name="Column199" dataDxfId="13"/>
    <tableColumn id="125" name="Column200" dataDxfId="12"/>
    <tableColumn id="126" name="Column201" dataDxfId="11"/>
    <tableColumn id="127" name="Column202" dataDxfId="10"/>
    <tableColumn id="128" name="Column203" dataDxfId="9"/>
    <tableColumn id="129" name="Column204" dataDxfId="8"/>
    <tableColumn id="130" name="Column205" dataDxfId="7"/>
    <tableColumn id="131" name="Column206" dataDxfId="6"/>
    <tableColumn id="23" name="Column23" dataDxfId="5"/>
    <tableColumn id="24" name="Column24" dataDxfId="4">
      <calculatedColumnFormula array="1">MultiMatch(Entitlements[[#This Row],[Column23]],OrganisationNames,0)</calculatedColumnFormula>
    </tableColumn>
    <tableColumn id="25" name="Column25" dataDxfId="3"/>
    <tableColumn id="26" name="Column26" dataDxfId="2">
      <calculatedColumnFormula array="1">MultiMatch(Entitlements[[#This Row],[Column25]],Vocabularies[],0)</calculatedColumnFormula>
    </tableColumn>
    <tableColumn id="27" name="Column27" dataDxfId="1"/>
  </tableColumns>
  <tableStyleInfo name="TableStyleMedium2" showFirstColumn="0" showLastColumn="0" showRowStripes="1" showColumnStripes="0"/>
</table>
</file>

<file path=xl/tables/table9.xml><?xml version="1.0" encoding="utf-8"?>
<table xmlns="http://schemas.openxmlformats.org/spreadsheetml/2006/main" id="1" name="Vocabularies" displayName="Vocabularies" ref="A12:G1244" totalsRowShown="0" headerRowDxfId="0">
  <autoFilter ref="A12:G1244"/>
  <tableColumns count="7">
    <tableColumn id="7" name="Label"/>
    <tableColumn id="5" name="List Name"/>
    <tableColumn id="6" name="List URI"/>
    <tableColumn id="3" name="name"/>
    <tableColumn id="1" name="code"/>
    <tableColumn id="2" name="URI"/>
    <tableColumn id="4" name="Description"/>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esayosll@everis.com" TargetMode="External"/><Relationship Id="rId1" Type="http://schemas.openxmlformats.org/officeDocument/2006/relationships/hyperlink" Target="mailto:esayosll@everis.com" TargetMode="Externa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phdportal.com/studies/131710/musicology.html" TargetMode="External"/><Relationship Id="rId7" Type="http://schemas.openxmlformats.org/officeDocument/2006/relationships/table" Target="../tables/table3.xml"/><Relationship Id="rId2" Type="http://schemas.openxmlformats.org/officeDocument/2006/relationships/hyperlink" Target="http://logos.co/600/royalty-free-clip-art-vector-black-and-white-floral-guitar-logo-by-vector-tradition-sm-7388.jpg" TargetMode="External"/><Relationship Id="rId1" Type="http://schemas.openxmlformats.org/officeDocument/2006/relationships/hyperlink" Target="https://www.phdportal.com/studies/131710/musicology.html"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i.ya-webdesign.com/images/music-logo-png-12.png"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46806e0244" TargetMode="External"/><Relationship Id="rId18" Type="http://schemas.openxmlformats.org/officeDocument/2006/relationships/hyperlink" Target="http://data.europa.eu/snb/target-group/cbedf28444" TargetMode="External"/><Relationship Id="rId26" Type="http://schemas.openxmlformats.org/officeDocument/2006/relationships/hyperlink" Target="http://data.europa.eu/snb/target-group/e3782a33ab" TargetMode="External"/><Relationship Id="rId39" Type="http://schemas.openxmlformats.org/officeDocument/2006/relationships/hyperlink" Target="http://publications.europa.eu/resource/authority/human-sex/MALE" TargetMode="External"/><Relationship Id="rId21" Type="http://schemas.openxmlformats.org/officeDocument/2006/relationships/hyperlink" Target="http://data.europa.eu/europass/targetGroup/requireretraining" TargetMode="External"/><Relationship Id="rId34" Type="http://schemas.openxmlformats.org/officeDocument/2006/relationships/hyperlink" Target="http://data.europa.eu/europass/methodOfSupervisionAndVerification" TargetMode="External"/><Relationship Id="rId42" Type="http://schemas.openxmlformats.org/officeDocument/2006/relationships/hyperlink" Target="http://data.europa.eu/europass/assessmentType/quiz"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52.57.141.197/fs/0.8.0/credential/6dff8a0f87" TargetMode="External"/><Relationship Id="rId7" Type="http://schemas.openxmlformats.org/officeDocument/2006/relationships/hyperlink" Target="http://publications.europa.eu/resource/authority/language/SPA" TargetMode="External"/><Relationship Id="rId71" Type="http://schemas.openxmlformats.org/officeDocument/2006/relationships/hyperlink" Target="http://data.europa.eu/esco/skill-type/skill" TargetMode="Externa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snb/target-group/b0bf4f9fe9" TargetMode="External"/><Relationship Id="rId29" Type="http://schemas.openxmlformats.org/officeDocument/2006/relationships/hyperlink" Target="http://publications.europa.eu/resource/authority/country/AFG" TargetMode="External"/><Relationship Id="rId11" Type="http://schemas.openxmlformats.org/officeDocument/2006/relationships/hyperlink" Target="http://data.europa.eu/snb/target-group/808b99d38f" TargetMode="External"/><Relationship Id="rId24" Type="http://schemas.openxmlformats.org/officeDocument/2006/relationships/hyperlink" Target="http://data.europa.eu/snb/target-group/c900d8ecb1" TargetMode="External"/><Relationship Id="rId32" Type="http://schemas.openxmlformats.org/officeDocument/2006/relationships/hyperlink" Target="http://data.europa.eu/europass/learningOpportunityTypes" TargetMode="External"/><Relationship Id="rId37" Type="http://schemas.openxmlformats.org/officeDocument/2006/relationships/hyperlink" Target="http://publications.europa.eu/resource/authority/human-sex" TargetMode="External"/><Relationship Id="rId40" Type="http://schemas.openxmlformats.org/officeDocument/2006/relationships/hyperlink" Target="http://publications.europa.eu/resource/authority/human-sex/NKN" TargetMode="External"/><Relationship Id="rId45" Type="http://schemas.openxmlformats.org/officeDocument/2006/relationships/hyperlink" Target="http://publications.europa.eu/resource/authority/human-sex/FEMALE"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NOR"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d45b47b458" TargetMode="External"/><Relationship Id="rId4" Type="http://schemas.openxmlformats.org/officeDocument/2006/relationships/hyperlink" Target="http://publications.europa.eu/resource/authority/language/NLD" TargetMode="External"/><Relationship Id="rId9" Type="http://schemas.openxmlformats.org/officeDocument/2006/relationships/hyperlink" Target="http://data.europa.eu/snb/target-group/e7627913ad" TargetMode="External"/><Relationship Id="rId14" Type="http://schemas.openxmlformats.org/officeDocument/2006/relationships/hyperlink" Target="http://data.europa.eu/snb/target-group/1599531db0" TargetMode="External"/><Relationship Id="rId22" Type="http://schemas.openxmlformats.org/officeDocument/2006/relationships/hyperlink" Target="http://data.europa.eu/snb/target-group/fd1279fd9f" TargetMode="External"/><Relationship Id="rId27" Type="http://schemas.openxmlformats.org/officeDocument/2006/relationships/hyperlink" Target="http://data.europa.eu/snb/target-group/0247b300b0" TargetMode="External"/><Relationship Id="rId30" Type="http://schemas.openxmlformats.org/officeDocument/2006/relationships/hyperlink" Target="http://publications.europa.eu/resource/authority/language/AAR" TargetMode="External"/><Relationship Id="rId35" Type="http://schemas.openxmlformats.org/officeDocument/2006/relationships/hyperlink" Target="http://data.europa.eu/europass/methodOfSupervisionAndVerification" TargetMode="External"/><Relationship Id="rId43" Type="http://schemas.openxmlformats.org/officeDocument/2006/relationships/hyperlink" Target="http://data.europa.eu/europass/assessmentType/peerReview"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publications.europa.eu/resource/authority/language/BUL"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52.57.141.197/fs/0.8.0/credential/6cf8e68c43" TargetMode="External"/><Relationship Id="rId3" Type="http://schemas.openxmlformats.org/officeDocument/2006/relationships/hyperlink" Target="http://publications.europa.eu/resource/authority/language/RON" TargetMode="External"/><Relationship Id="rId12" Type="http://schemas.openxmlformats.org/officeDocument/2006/relationships/hyperlink" Target="http://data.europa.eu/snb/target-group/5b1417fd15" TargetMode="External"/><Relationship Id="rId17" Type="http://schemas.openxmlformats.org/officeDocument/2006/relationships/hyperlink" Target="http://data.europa.eu/snb/target-group/5e56931138" TargetMode="External"/><Relationship Id="rId25" Type="http://schemas.openxmlformats.org/officeDocument/2006/relationships/hyperlink" Target="http://data.europa.eu/snb/target-group/de9cd193ce"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 TargetMode="External"/><Relationship Id="rId46" Type="http://schemas.openxmlformats.org/officeDocument/2006/relationships/hyperlink" Target="http://publications.europa.eu/resource/authority/human-sex/NAP"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snb/target-group/05f11c859b" TargetMode="External"/><Relationship Id="rId41" Type="http://schemas.openxmlformats.org/officeDocument/2006/relationships/hyperlink" Target="http://data.europa.eu/europass/assessmentType/markedAssignment"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52.57.141.197/fs/0.8.0/credential/6cf8e68c43"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ENG" TargetMode="External"/><Relationship Id="rId15" Type="http://schemas.openxmlformats.org/officeDocument/2006/relationships/hyperlink" Target="http://data.europa.eu/snb/target-group/acb7f20f25" TargetMode="External"/><Relationship Id="rId23" Type="http://schemas.openxmlformats.org/officeDocument/2006/relationships/hyperlink" Target="http://data.europa.eu/snb/target-group/022beab85a" TargetMode="External"/><Relationship Id="rId28" Type="http://schemas.openxmlformats.org/officeDocument/2006/relationships/hyperlink" Target="http://data.europa.eu/esco/isced-f/00" TargetMode="External"/><Relationship Id="rId36" Type="http://schemas.openxmlformats.org/officeDocument/2006/relationships/hyperlink" Target="http://data.europa.eu/europass/codeList/entitlementStatuses"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527a6f97eb" TargetMode="External"/><Relationship Id="rId31" Type="http://schemas.openxmlformats.org/officeDocument/2006/relationships/hyperlink" Target="http://data.europa.eu/esco/qdr/QF/AT" TargetMode="External"/><Relationship Id="rId44" Type="http://schemas.openxmlformats.org/officeDocument/2006/relationships/hyperlink" Target="http://data.europa.eu/europass/assessmentType/problemBased"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52.57.141.197/fs/0.8.0/credential/6dff8a0f87"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25"/>
  <sheetViews>
    <sheetView showGridLines="0" zoomScaleNormal="100" workbookViewId="0">
      <selection activeCell="F23" sqref="F23"/>
    </sheetView>
  </sheetViews>
  <sheetFormatPr baseColWidth="10" defaultColWidth="9.140625" defaultRowHeight="15"/>
  <cols>
    <col min="1" max="1" width="31.140625" bestFit="1" customWidth="1"/>
    <col min="2" max="2" width="14.42578125" customWidth="1"/>
    <col min="3" max="3" width="0" hidden="1" customWidth="1"/>
    <col min="6" max="6" width="14.5703125" customWidth="1"/>
    <col min="9" max="16384" width="9.140625" style="70"/>
  </cols>
  <sheetData>
    <row r="1" spans="1:15">
      <c r="A1" s="11" t="s">
        <v>0</v>
      </c>
    </row>
    <row r="2" spans="1:15">
      <c r="A2" t="s">
        <v>1</v>
      </c>
    </row>
    <row r="3" spans="1:15" ht="114" customHeight="1"/>
    <row r="4" spans="1:15">
      <c r="A4" t="s">
        <v>2</v>
      </c>
    </row>
    <row r="5" spans="1:15">
      <c r="A5" t="s">
        <v>3</v>
      </c>
    </row>
    <row r="6" spans="1:15">
      <c r="A6" s="195" t="s">
        <v>4</v>
      </c>
      <c r="B6" s="205"/>
      <c r="C6" s="205"/>
      <c r="D6" s="205"/>
      <c r="E6" s="205"/>
      <c r="F6" s="205"/>
      <c r="G6" s="205"/>
      <c r="H6" s="205"/>
      <c r="I6" s="205"/>
      <c r="J6" s="205"/>
      <c r="K6" s="205"/>
      <c r="L6" s="205"/>
      <c r="M6" s="205"/>
      <c r="N6" s="205"/>
      <c r="O6" s="205"/>
    </row>
    <row r="7" spans="1:15">
      <c r="A7" s="205" t="s">
        <v>5</v>
      </c>
      <c r="B7" s="205"/>
      <c r="C7" s="205"/>
      <c r="D7" s="205"/>
      <c r="E7" s="205"/>
      <c r="F7" s="205"/>
      <c r="G7" s="205"/>
      <c r="H7" s="205"/>
      <c r="I7" s="205"/>
      <c r="J7" s="205"/>
      <c r="K7" s="205"/>
      <c r="L7" s="205"/>
      <c r="M7" s="205"/>
      <c r="N7" s="205"/>
      <c r="O7" s="205"/>
    </row>
    <row r="8" spans="1:15">
      <c r="A8" s="246" t="s">
        <v>6</v>
      </c>
      <c r="B8" s="246"/>
      <c r="C8" s="246"/>
      <c r="D8" s="246"/>
      <c r="E8" s="246"/>
      <c r="F8" s="246"/>
      <c r="G8" s="246"/>
      <c r="H8" s="246"/>
      <c r="I8" s="246"/>
      <c r="J8" s="246"/>
      <c r="K8" s="246"/>
      <c r="L8" s="246"/>
      <c r="M8" s="246"/>
      <c r="N8" s="246"/>
      <c r="O8" s="246"/>
    </row>
    <row r="9" spans="1:15">
      <c r="A9" t="s">
        <v>7</v>
      </c>
    </row>
    <row r="10" spans="1:15">
      <c r="A10" t="s">
        <v>8</v>
      </c>
    </row>
    <row r="11" spans="1:15">
      <c r="A11" t="s">
        <v>9</v>
      </c>
    </row>
    <row r="15" spans="1:15" hidden="1">
      <c r="A15" s="11"/>
    </row>
    <row r="16" spans="1:15" ht="18.75" hidden="1">
      <c r="A16" s="14" t="s">
        <v>10</v>
      </c>
      <c r="B16" s="15"/>
      <c r="C16" s="15" t="s">
        <v>11</v>
      </c>
      <c r="D16" s="15" t="s">
        <v>12</v>
      </c>
      <c r="E16" s="15"/>
      <c r="F16" s="15"/>
      <c r="G16" s="15"/>
      <c r="H16" s="15"/>
    </row>
    <row r="17" spans="1:8" hidden="1"/>
    <row r="18" spans="1:8" s="125" customFormat="1" ht="27" hidden="1" customHeight="1">
      <c r="A18" s="16" t="s">
        <v>13</v>
      </c>
      <c r="B18" s="17"/>
      <c r="C18" s="17" t="str">
        <f>VLOOKUP(D18,Vocabularies[],5,FALSE)</f>
        <v>nl</v>
      </c>
      <c r="D18" s="17" t="s">
        <v>14</v>
      </c>
      <c r="E18" s="17"/>
      <c r="F18" s="17"/>
      <c r="G18" s="17"/>
      <c r="H18" s="17"/>
    </row>
    <row r="19" spans="1:8" hidden="1"/>
    <row r="25" spans="1:8">
      <c r="F25" s="133"/>
    </row>
  </sheetData>
  <sheetProtection formatColumns="0"/>
  <dataValidations count="1">
    <dataValidation type="list" allowBlank="1" showInputMessage="1" showErrorMessage="1" sqref="D18">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K13"/>
  <sheetViews>
    <sheetView showZeros="0" tabSelected="1" zoomScale="80" zoomScaleNormal="80" workbookViewId="0">
      <pane xSplit="27" ySplit="12" topLeftCell="AB13" activePane="bottomRight" state="frozen"/>
      <selection pane="topRight" activeCell="AB1" sqref="AB1"/>
      <selection pane="bottomLeft" activeCell="A13" sqref="A13"/>
      <selection pane="bottomRight" activeCell="BC16" sqref="BC16"/>
    </sheetView>
  </sheetViews>
  <sheetFormatPr baseColWidth="10" defaultColWidth="9.140625" defaultRowHeight="29.1" customHeight="1"/>
  <cols>
    <col min="1" max="1" width="23.85546875" style="81" customWidth="1"/>
    <col min="2" max="2" width="25.5703125" style="81" customWidth="1"/>
    <col min="3" max="27" width="25.5703125" style="81" hidden="1" customWidth="1"/>
    <col min="28" max="28" width="42.5703125" style="81" customWidth="1"/>
    <col min="29" max="53" width="42.5703125" style="81" hidden="1" customWidth="1"/>
    <col min="54" max="54" width="29.42578125" style="81" customWidth="1"/>
    <col min="55" max="55" width="20.5703125" style="81" customWidth="1"/>
    <col min="56" max="56" width="16.85546875" style="81" customWidth="1"/>
    <col min="57" max="57" width="13.85546875" style="81" customWidth="1"/>
    <col min="58" max="58" width="16.140625" style="81" customWidth="1"/>
    <col min="59" max="59" width="14.85546875" style="81" hidden="1" customWidth="1"/>
    <col min="60" max="60" width="28.140625" style="94" customWidth="1"/>
    <col min="61" max="61" width="16.85546875" style="81" hidden="1" customWidth="1"/>
    <col min="62" max="62" width="67.85546875" style="81" hidden="1" customWidth="1"/>
    <col min="63" max="63" width="22.42578125" style="81" hidden="1" customWidth="1"/>
    <col min="64" max="64" width="11.42578125" style="91" customWidth="1"/>
    <col min="65" max="16384" width="9.140625" style="91"/>
  </cols>
  <sheetData>
    <row r="1" spans="1:63" ht="23.25">
      <c r="A1" s="78" t="s">
        <v>15</v>
      </c>
      <c r="B1" s="79"/>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H1" s="81"/>
    </row>
    <row r="2" spans="1:63" ht="30">
      <c r="A2" s="82" t="s">
        <v>16</v>
      </c>
      <c r="B2" s="82" t="s">
        <v>17</v>
      </c>
      <c r="C2" s="82" t="s">
        <v>17</v>
      </c>
      <c r="D2" s="82" t="s">
        <v>17</v>
      </c>
      <c r="E2" s="82" t="s">
        <v>17</v>
      </c>
      <c r="F2" s="82" t="s">
        <v>17</v>
      </c>
      <c r="G2" s="82" t="s">
        <v>17</v>
      </c>
      <c r="H2" s="82" t="s">
        <v>17</v>
      </c>
      <c r="I2" s="82" t="s">
        <v>17</v>
      </c>
      <c r="J2" s="82" t="s">
        <v>17</v>
      </c>
      <c r="K2" s="82" t="s">
        <v>17</v>
      </c>
      <c r="L2" s="82" t="s">
        <v>17</v>
      </c>
      <c r="M2" s="82" t="s">
        <v>17</v>
      </c>
      <c r="N2" s="82" t="s">
        <v>17</v>
      </c>
      <c r="O2" s="82" t="s">
        <v>17</v>
      </c>
      <c r="P2" s="82" t="s">
        <v>17</v>
      </c>
      <c r="Q2" s="82" t="s">
        <v>17</v>
      </c>
      <c r="R2" s="82" t="s">
        <v>17</v>
      </c>
      <c r="S2" s="82" t="s">
        <v>17</v>
      </c>
      <c r="T2" s="82" t="s">
        <v>17</v>
      </c>
      <c r="U2" s="82" t="s">
        <v>17</v>
      </c>
      <c r="V2" s="82" t="s">
        <v>17</v>
      </c>
      <c r="W2" s="82" t="s">
        <v>17</v>
      </c>
      <c r="X2" s="82" t="s">
        <v>17</v>
      </c>
      <c r="Y2" s="82" t="s">
        <v>17</v>
      </c>
      <c r="Z2" s="82" t="s">
        <v>17</v>
      </c>
      <c r="AA2" s="82" t="s">
        <v>17</v>
      </c>
      <c r="AB2" s="82" t="s">
        <v>17</v>
      </c>
      <c r="AC2" s="82" t="s">
        <v>17</v>
      </c>
      <c r="AD2" s="82" t="s">
        <v>17</v>
      </c>
      <c r="AE2" s="82" t="s">
        <v>17</v>
      </c>
      <c r="AF2" s="82" t="s">
        <v>17</v>
      </c>
      <c r="AG2" s="82" t="s">
        <v>17</v>
      </c>
      <c r="AH2" s="82" t="s">
        <v>17</v>
      </c>
      <c r="AI2" s="82" t="s">
        <v>17</v>
      </c>
      <c r="AJ2" s="82" t="s">
        <v>17</v>
      </c>
      <c r="AK2" s="82" t="s">
        <v>17</v>
      </c>
      <c r="AL2" s="82" t="s">
        <v>17</v>
      </c>
      <c r="AM2" s="82" t="s">
        <v>17</v>
      </c>
      <c r="AN2" s="82" t="s">
        <v>17</v>
      </c>
      <c r="AO2" s="82" t="s">
        <v>17</v>
      </c>
      <c r="AP2" s="82" t="s">
        <v>17</v>
      </c>
      <c r="AQ2" s="82" t="s">
        <v>17</v>
      </c>
      <c r="AR2" s="82" t="s">
        <v>17</v>
      </c>
      <c r="AS2" s="82" t="s">
        <v>17</v>
      </c>
      <c r="AT2" s="82" t="s">
        <v>17</v>
      </c>
      <c r="AU2" s="82" t="s">
        <v>17</v>
      </c>
      <c r="AV2" s="82" t="s">
        <v>17</v>
      </c>
      <c r="AW2" s="82" t="s">
        <v>17</v>
      </c>
      <c r="AX2" s="82" t="s">
        <v>17</v>
      </c>
      <c r="AY2" s="82" t="s">
        <v>17</v>
      </c>
      <c r="AZ2" s="82" t="s">
        <v>17</v>
      </c>
      <c r="BA2" s="82" t="s">
        <v>17</v>
      </c>
      <c r="BB2" s="83" t="s">
        <v>18</v>
      </c>
      <c r="BC2" s="83" t="s">
        <v>18</v>
      </c>
      <c r="BD2" s="83" t="s">
        <v>17</v>
      </c>
      <c r="BE2" s="83" t="s">
        <v>17</v>
      </c>
      <c r="BF2" s="82" t="s">
        <v>17</v>
      </c>
      <c r="BG2" s="82" t="s">
        <v>17</v>
      </c>
      <c r="BH2" s="82" t="s">
        <v>17</v>
      </c>
      <c r="BI2" s="82" t="s">
        <v>17</v>
      </c>
      <c r="BJ2" s="82" t="s">
        <v>17</v>
      </c>
      <c r="BK2" s="82" t="s">
        <v>17</v>
      </c>
    </row>
    <row r="3" spans="1:63" ht="30">
      <c r="A3" s="82" t="s">
        <v>19</v>
      </c>
      <c r="B3" s="82" t="s">
        <v>20</v>
      </c>
      <c r="C3" s="82" t="s">
        <v>20</v>
      </c>
      <c r="D3" s="82" t="s">
        <v>20</v>
      </c>
      <c r="E3" s="82" t="s">
        <v>20</v>
      </c>
      <c r="F3" s="82" t="s">
        <v>20</v>
      </c>
      <c r="G3" s="82" t="s">
        <v>20</v>
      </c>
      <c r="H3" s="82" t="s">
        <v>20</v>
      </c>
      <c r="I3" s="82" t="s">
        <v>20</v>
      </c>
      <c r="J3" s="82" t="s">
        <v>20</v>
      </c>
      <c r="K3" s="82" t="s">
        <v>20</v>
      </c>
      <c r="L3" s="82" t="s">
        <v>20</v>
      </c>
      <c r="M3" s="82" t="s">
        <v>20</v>
      </c>
      <c r="N3" s="82" t="s">
        <v>20</v>
      </c>
      <c r="O3" s="82" t="s">
        <v>20</v>
      </c>
      <c r="P3" s="82" t="s">
        <v>20</v>
      </c>
      <c r="Q3" s="82" t="s">
        <v>20</v>
      </c>
      <c r="R3" s="82" t="s">
        <v>20</v>
      </c>
      <c r="S3" s="82" t="s">
        <v>20</v>
      </c>
      <c r="T3" s="82" t="s">
        <v>20</v>
      </c>
      <c r="U3" s="82" t="s">
        <v>20</v>
      </c>
      <c r="V3" s="82" t="s">
        <v>20</v>
      </c>
      <c r="W3" s="82" t="s">
        <v>20</v>
      </c>
      <c r="X3" s="82" t="s">
        <v>20</v>
      </c>
      <c r="Y3" s="82" t="s">
        <v>20</v>
      </c>
      <c r="Z3" s="82" t="s">
        <v>20</v>
      </c>
      <c r="AA3" s="82" t="s">
        <v>20</v>
      </c>
      <c r="AB3" s="82" t="s">
        <v>21</v>
      </c>
      <c r="AC3" s="82" t="s">
        <v>21</v>
      </c>
      <c r="AD3" s="82" t="s">
        <v>21</v>
      </c>
      <c r="AE3" s="82" t="s">
        <v>21</v>
      </c>
      <c r="AF3" s="82" t="s">
        <v>21</v>
      </c>
      <c r="AG3" s="82" t="s">
        <v>21</v>
      </c>
      <c r="AH3" s="82" t="s">
        <v>21</v>
      </c>
      <c r="AI3" s="82" t="s">
        <v>21</v>
      </c>
      <c r="AJ3" s="82" t="s">
        <v>21</v>
      </c>
      <c r="AK3" s="82" t="s">
        <v>21</v>
      </c>
      <c r="AL3" s="82" t="s">
        <v>21</v>
      </c>
      <c r="AM3" s="82" t="s">
        <v>21</v>
      </c>
      <c r="AN3" s="82" t="s">
        <v>21</v>
      </c>
      <c r="AO3" s="82" t="s">
        <v>21</v>
      </c>
      <c r="AP3" s="82" t="s">
        <v>21</v>
      </c>
      <c r="AQ3" s="82" t="s">
        <v>21</v>
      </c>
      <c r="AR3" s="82" t="s">
        <v>21</v>
      </c>
      <c r="AS3" s="82" t="s">
        <v>21</v>
      </c>
      <c r="AT3" s="82" t="s">
        <v>21</v>
      </c>
      <c r="AU3" s="82" t="s">
        <v>21</v>
      </c>
      <c r="AV3" s="82" t="s">
        <v>21</v>
      </c>
      <c r="AW3" s="82" t="s">
        <v>21</v>
      </c>
      <c r="AX3" s="82" t="s">
        <v>21</v>
      </c>
      <c r="AY3" s="82" t="s">
        <v>21</v>
      </c>
      <c r="AZ3" s="82" t="s">
        <v>21</v>
      </c>
      <c r="BA3" s="82" t="s">
        <v>21</v>
      </c>
      <c r="BB3" s="83" t="s">
        <v>22</v>
      </c>
      <c r="BC3" s="83" t="s">
        <v>23</v>
      </c>
      <c r="BD3" s="83" t="s">
        <v>24</v>
      </c>
      <c r="BE3" s="83" t="s">
        <v>24</v>
      </c>
      <c r="BF3" s="82" t="s">
        <v>25</v>
      </c>
      <c r="BG3" s="82" t="s">
        <v>25</v>
      </c>
      <c r="BH3" s="82" t="s">
        <v>26</v>
      </c>
      <c r="BI3" s="82" t="s">
        <v>26</v>
      </c>
      <c r="BJ3" s="82" t="s">
        <v>27</v>
      </c>
      <c r="BK3" s="82" t="s">
        <v>28</v>
      </c>
    </row>
    <row r="4" spans="1:63" ht="15">
      <c r="A4" s="82" t="s">
        <v>29</v>
      </c>
      <c r="B4" s="82" t="s">
        <v>30</v>
      </c>
      <c r="C4" s="82" t="s">
        <v>30</v>
      </c>
      <c r="D4" s="82" t="s">
        <v>30</v>
      </c>
      <c r="E4" s="82" t="s">
        <v>30</v>
      </c>
      <c r="F4" s="82" t="s">
        <v>30</v>
      </c>
      <c r="G4" s="82" t="s">
        <v>30</v>
      </c>
      <c r="H4" s="82" t="s">
        <v>30</v>
      </c>
      <c r="I4" s="82" t="s">
        <v>30</v>
      </c>
      <c r="J4" s="82" t="s">
        <v>30</v>
      </c>
      <c r="K4" s="82" t="s">
        <v>30</v>
      </c>
      <c r="L4" s="82" t="s">
        <v>30</v>
      </c>
      <c r="M4" s="82" t="s">
        <v>30</v>
      </c>
      <c r="N4" s="82" t="s">
        <v>30</v>
      </c>
      <c r="O4" s="82" t="s">
        <v>30</v>
      </c>
      <c r="P4" s="82" t="s">
        <v>30</v>
      </c>
      <c r="Q4" s="82" t="s">
        <v>30</v>
      </c>
      <c r="R4" s="82" t="s">
        <v>30</v>
      </c>
      <c r="S4" s="82" t="s">
        <v>30</v>
      </c>
      <c r="T4" s="82" t="s">
        <v>30</v>
      </c>
      <c r="U4" s="82" t="s">
        <v>30</v>
      </c>
      <c r="V4" s="82" t="s">
        <v>30</v>
      </c>
      <c r="W4" s="82" t="s">
        <v>30</v>
      </c>
      <c r="X4" s="82" t="s">
        <v>30</v>
      </c>
      <c r="Y4" s="82" t="s">
        <v>30</v>
      </c>
      <c r="Z4" s="82" t="s">
        <v>30</v>
      </c>
      <c r="AA4" s="82" t="s">
        <v>30</v>
      </c>
      <c r="AB4" s="82" t="s">
        <v>30</v>
      </c>
      <c r="AC4" s="82" t="s">
        <v>30</v>
      </c>
      <c r="AD4" s="82" t="s">
        <v>30</v>
      </c>
      <c r="AE4" s="82" t="s">
        <v>30</v>
      </c>
      <c r="AF4" s="82" t="s">
        <v>30</v>
      </c>
      <c r="AG4" s="82" t="s">
        <v>30</v>
      </c>
      <c r="AH4" s="82" t="s">
        <v>30</v>
      </c>
      <c r="AI4" s="82" t="s">
        <v>30</v>
      </c>
      <c r="AJ4" s="82" t="s">
        <v>30</v>
      </c>
      <c r="AK4" s="82" t="s">
        <v>30</v>
      </c>
      <c r="AL4" s="82" t="s">
        <v>30</v>
      </c>
      <c r="AM4" s="82" t="s">
        <v>30</v>
      </c>
      <c r="AN4" s="82" t="s">
        <v>30</v>
      </c>
      <c r="AO4" s="82" t="s">
        <v>30</v>
      </c>
      <c r="AP4" s="82" t="s">
        <v>30</v>
      </c>
      <c r="AQ4" s="82" t="s">
        <v>30</v>
      </c>
      <c r="AR4" s="82" t="s">
        <v>30</v>
      </c>
      <c r="AS4" s="82" t="s">
        <v>30</v>
      </c>
      <c r="AT4" s="82" t="s">
        <v>30</v>
      </c>
      <c r="AU4" s="82" t="s">
        <v>30</v>
      </c>
      <c r="AV4" s="82" t="s">
        <v>30</v>
      </c>
      <c r="AW4" s="82" t="s">
        <v>30</v>
      </c>
      <c r="AX4" s="82" t="s">
        <v>30</v>
      </c>
      <c r="AY4" s="82" t="s">
        <v>30</v>
      </c>
      <c r="AZ4" s="82" t="s">
        <v>30</v>
      </c>
      <c r="BA4" s="82" t="s">
        <v>30</v>
      </c>
      <c r="BB4" s="83" t="s">
        <v>30</v>
      </c>
      <c r="BC4" s="83" t="s">
        <v>30</v>
      </c>
      <c r="BD4" s="83" t="s">
        <v>31</v>
      </c>
      <c r="BE4" s="83" t="s">
        <v>32</v>
      </c>
      <c r="BF4" s="82" t="s">
        <v>31</v>
      </c>
      <c r="BG4" s="82" t="s">
        <v>32</v>
      </c>
      <c r="BH4" s="82" t="s">
        <v>31</v>
      </c>
      <c r="BI4" s="82" t="s">
        <v>32</v>
      </c>
      <c r="BJ4" s="82" t="s">
        <v>33</v>
      </c>
      <c r="BK4" s="82" t="s">
        <v>30</v>
      </c>
    </row>
    <row r="5" spans="1:63" ht="15">
      <c r="A5" s="82" t="s">
        <v>34</v>
      </c>
      <c r="B5" s="82" t="s">
        <v>35</v>
      </c>
      <c r="C5" s="82" t="s">
        <v>35</v>
      </c>
      <c r="D5" s="82" t="s">
        <v>35</v>
      </c>
      <c r="E5" s="82" t="s">
        <v>35</v>
      </c>
      <c r="F5" s="82" t="s">
        <v>35</v>
      </c>
      <c r="G5" s="82" t="s">
        <v>35</v>
      </c>
      <c r="H5" s="82" t="s">
        <v>35</v>
      </c>
      <c r="I5" s="82" t="s">
        <v>35</v>
      </c>
      <c r="J5" s="82" t="s">
        <v>35</v>
      </c>
      <c r="K5" s="82" t="s">
        <v>35</v>
      </c>
      <c r="L5" s="82" t="s">
        <v>35</v>
      </c>
      <c r="M5" s="82" t="s">
        <v>35</v>
      </c>
      <c r="N5" s="82" t="s">
        <v>35</v>
      </c>
      <c r="O5" s="82" t="s">
        <v>35</v>
      </c>
      <c r="P5" s="82" t="s">
        <v>35</v>
      </c>
      <c r="Q5" s="82" t="s">
        <v>35</v>
      </c>
      <c r="R5" s="82" t="s">
        <v>35</v>
      </c>
      <c r="S5" s="82" t="s">
        <v>35</v>
      </c>
      <c r="T5" s="82" t="s">
        <v>35</v>
      </c>
      <c r="U5" s="82" t="s">
        <v>35</v>
      </c>
      <c r="V5" s="82" t="s">
        <v>35</v>
      </c>
      <c r="W5" s="82" t="s">
        <v>35</v>
      </c>
      <c r="X5" s="82" t="s">
        <v>35</v>
      </c>
      <c r="Y5" s="82" t="s">
        <v>35</v>
      </c>
      <c r="Z5" s="82" t="s">
        <v>35</v>
      </c>
      <c r="AA5" s="82" t="s">
        <v>35</v>
      </c>
      <c r="AB5" s="82" t="s">
        <v>35</v>
      </c>
      <c r="AC5" s="82" t="s">
        <v>35</v>
      </c>
      <c r="AD5" s="82" t="s">
        <v>35</v>
      </c>
      <c r="AE5" s="82" t="s">
        <v>35</v>
      </c>
      <c r="AF5" s="82" t="s">
        <v>35</v>
      </c>
      <c r="AG5" s="82" t="s">
        <v>35</v>
      </c>
      <c r="AH5" s="82" t="s">
        <v>35</v>
      </c>
      <c r="AI5" s="82" t="s">
        <v>35</v>
      </c>
      <c r="AJ5" s="82" t="s">
        <v>35</v>
      </c>
      <c r="AK5" s="82" t="s">
        <v>35</v>
      </c>
      <c r="AL5" s="82" t="s">
        <v>35</v>
      </c>
      <c r="AM5" s="82" t="s">
        <v>35</v>
      </c>
      <c r="AN5" s="82" t="s">
        <v>35</v>
      </c>
      <c r="AO5" s="82" t="s">
        <v>35</v>
      </c>
      <c r="AP5" s="82" t="s">
        <v>35</v>
      </c>
      <c r="AQ5" s="82" t="s">
        <v>35</v>
      </c>
      <c r="AR5" s="82" t="s">
        <v>35</v>
      </c>
      <c r="AS5" s="82" t="s">
        <v>35</v>
      </c>
      <c r="AT5" s="82" t="s">
        <v>35</v>
      </c>
      <c r="AU5" s="82" t="s">
        <v>35</v>
      </c>
      <c r="AV5" s="82" t="s">
        <v>35</v>
      </c>
      <c r="AW5" s="82" t="s">
        <v>35</v>
      </c>
      <c r="AX5" s="82" t="s">
        <v>35</v>
      </c>
      <c r="AY5" s="82" t="s">
        <v>35</v>
      </c>
      <c r="AZ5" s="82" t="s">
        <v>35</v>
      </c>
      <c r="BA5" s="82" t="s">
        <v>35</v>
      </c>
      <c r="BB5" s="83"/>
      <c r="BC5" s="83"/>
      <c r="BD5" s="83"/>
      <c r="BE5" s="83" t="s">
        <v>36</v>
      </c>
      <c r="BF5" s="82" t="s">
        <v>37</v>
      </c>
      <c r="BG5" s="82" t="s">
        <v>37</v>
      </c>
      <c r="BH5" s="82" t="s">
        <v>38</v>
      </c>
      <c r="BI5" s="82" t="s">
        <v>38</v>
      </c>
      <c r="BJ5" s="82" t="s">
        <v>39</v>
      </c>
      <c r="BK5" s="82" t="s">
        <v>40</v>
      </c>
    </row>
    <row r="6" spans="1:63" ht="15">
      <c r="A6" s="82" t="s">
        <v>41</v>
      </c>
      <c r="B6" s="82"/>
      <c r="C6" s="82"/>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c r="BA6" s="82"/>
      <c r="BB6" s="83"/>
      <c r="BC6" s="83"/>
      <c r="BD6" s="82"/>
      <c r="BE6" s="82"/>
      <c r="BF6" s="82"/>
      <c r="BG6" s="82"/>
      <c r="BH6" s="82"/>
      <c r="BI6" s="82"/>
      <c r="BJ6" s="82">
        <v>1</v>
      </c>
      <c r="BK6" s="82"/>
    </row>
    <row r="7" spans="1:63" ht="15">
      <c r="A7" s="82" t="s">
        <v>42</v>
      </c>
      <c r="B7" s="82"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B7" s="82" t="s">
        <v>11</v>
      </c>
      <c r="AC7" s="82" t="s">
        <v>43</v>
      </c>
      <c r="AD7" s="82" t="s">
        <v>44</v>
      </c>
      <c r="AE7" s="82" t="s">
        <v>45</v>
      </c>
      <c r="AF7" s="82" t="s">
        <v>46</v>
      </c>
      <c r="AG7" s="82" t="s">
        <v>47</v>
      </c>
      <c r="AH7" s="82" t="s">
        <v>48</v>
      </c>
      <c r="AI7" s="82" t="s">
        <v>49</v>
      </c>
      <c r="AJ7" s="82" t="s">
        <v>50</v>
      </c>
      <c r="AK7" s="82" t="s">
        <v>51</v>
      </c>
      <c r="AL7" s="82" t="s">
        <v>52</v>
      </c>
      <c r="AM7" s="82" t="s">
        <v>53</v>
      </c>
      <c r="AN7" s="82" t="s">
        <v>54</v>
      </c>
      <c r="AO7" s="82" t="s">
        <v>55</v>
      </c>
      <c r="AP7" s="82" t="s">
        <v>56</v>
      </c>
      <c r="AQ7" s="82" t="s">
        <v>57</v>
      </c>
      <c r="AR7" s="82" t="s">
        <v>58</v>
      </c>
      <c r="AS7" s="82" t="s">
        <v>59</v>
      </c>
      <c r="AT7" s="82" t="s">
        <v>60</v>
      </c>
      <c r="AU7" s="82" t="s">
        <v>61</v>
      </c>
      <c r="AV7" s="82" t="s">
        <v>62</v>
      </c>
      <c r="AW7" s="82" t="s">
        <v>63</v>
      </c>
      <c r="AX7" s="82" t="s">
        <v>64</v>
      </c>
      <c r="AY7" s="82" t="s">
        <v>65</v>
      </c>
      <c r="AZ7" s="82" t="s">
        <v>66</v>
      </c>
      <c r="BA7" s="82" t="s">
        <v>67</v>
      </c>
      <c r="BB7" s="83"/>
      <c r="BC7" s="83"/>
      <c r="BD7" s="82"/>
      <c r="BE7" s="82"/>
      <c r="BF7" s="82"/>
      <c r="BG7" s="82"/>
      <c r="BH7" s="82"/>
      <c r="BI7" s="82"/>
      <c r="BJ7" s="82"/>
      <c r="BK7" s="82"/>
    </row>
    <row r="8" spans="1:63" s="121" customFormat="1" ht="15">
      <c r="A8" s="5" t="s">
        <v>68</v>
      </c>
      <c r="B8" s="196" t="s">
        <v>69</v>
      </c>
      <c r="C8" s="5" t="str">
        <f>CONCATENATE(B8,".",C7)</f>
        <v>Title.bg</v>
      </c>
      <c r="D8" s="5" t="str">
        <f>CONCATENATE(B8,".",D7)</f>
        <v>Title.cs</v>
      </c>
      <c r="E8" s="5" t="str">
        <f>CONCATENATE(B8,".",E7)</f>
        <v>Title.da</v>
      </c>
      <c r="F8" s="5" t="str">
        <f>CONCATENATE(B8,".",F7)</f>
        <v>Title.de</v>
      </c>
      <c r="G8" s="5" t="str">
        <f>CONCATENATE(B8,".",G7)</f>
        <v>Title.el</v>
      </c>
      <c r="H8" s="5" t="str">
        <f>CONCATENATE(B8,".",H7)</f>
        <v>Title.es</v>
      </c>
      <c r="I8" s="5" t="str">
        <f>CONCATENATE(B8,".",I7)</f>
        <v>Title.et</v>
      </c>
      <c r="J8" s="5" t="str">
        <f>CONCATENATE(B8,".",J7)</f>
        <v>Title.fi</v>
      </c>
      <c r="K8" s="5" t="str">
        <f>CONCATENATE(B8,".",K7)</f>
        <v>Title.fr</v>
      </c>
      <c r="L8" s="5" t="str">
        <f>CONCATENATE(B8,".",L7)</f>
        <v>Title.ga</v>
      </c>
      <c r="M8" s="5" t="str">
        <f>CONCATENATE(B8,".",M7)</f>
        <v>Title.hr</v>
      </c>
      <c r="N8" s="5" t="str">
        <f>CONCATENATE(B8,".",N7)</f>
        <v>Title.hu</v>
      </c>
      <c r="O8" s="5" t="str">
        <f>CONCATENATE(B8,".",O7)</f>
        <v>Title.is</v>
      </c>
      <c r="P8" s="5" t="str">
        <f>CONCATENATE(B8,".",P7)</f>
        <v>Title.it</v>
      </c>
      <c r="Q8" s="5" t="str">
        <f>CONCATENATE(B8,".",Q7)</f>
        <v>Title.lt</v>
      </c>
      <c r="R8" s="5" t="str">
        <f>CONCATENATE(B8,".",R7)</f>
        <v>Title.lv</v>
      </c>
      <c r="S8" s="5" t="str">
        <f>CONCATENATE(B8,".",S7)</f>
        <v>Title.mt</v>
      </c>
      <c r="T8" s="5" t="str">
        <f>CONCATENATE(B8,".",T7)</f>
        <v>Title.nl</v>
      </c>
      <c r="U8" s="5" t="str">
        <f>CONCATENATE(B8,".",U7)</f>
        <v>Title.no</v>
      </c>
      <c r="V8" s="5" t="str">
        <f>CONCATENATE(B8,".",V7)</f>
        <v>Title.pl</v>
      </c>
      <c r="W8" s="5" t="str">
        <f>CONCATENATE(B8,".",W7)</f>
        <v>Title.pt</v>
      </c>
      <c r="X8" s="5" t="str">
        <f>CONCATENATE(B8,".",X7)</f>
        <v>Title.ro</v>
      </c>
      <c r="Y8" s="5" t="str">
        <f>CONCATENATE(B8,".",Y7)</f>
        <v>Title.sk</v>
      </c>
      <c r="Z8" s="5" t="str">
        <f>CONCATENATE(B8,".",Z7)</f>
        <v>Title.sl</v>
      </c>
      <c r="AA8" s="5" t="str">
        <f>CONCATENATE(B8,".",AA7)</f>
        <v>Title.sv</v>
      </c>
      <c r="AB8" s="5" t="s">
        <v>70</v>
      </c>
      <c r="AC8" s="5" t="str">
        <f>CONCATENATE(AB8,".",AC7)</f>
        <v>Description.bg</v>
      </c>
      <c r="AD8" s="5" t="str">
        <f>CONCATENATE(AB8,".",AD7)</f>
        <v>Description.cs</v>
      </c>
      <c r="AE8" s="5" t="str">
        <f>CONCATENATE(AB8,".",AE7)</f>
        <v>Description.da</v>
      </c>
      <c r="AF8" s="5" t="str">
        <f>CONCATENATE(AB8,".",AF7)</f>
        <v>Description.de</v>
      </c>
      <c r="AG8" s="5" t="str">
        <f>CONCATENATE(AB8,".",AG7)</f>
        <v>Description.el</v>
      </c>
      <c r="AH8" s="5" t="str">
        <f>CONCATENATE(AB8,".",AH7)</f>
        <v>Description.es</v>
      </c>
      <c r="AI8" s="5" t="str">
        <f>CONCATENATE(AB8,".",AI7)</f>
        <v>Description.et</v>
      </c>
      <c r="AJ8" s="5" t="str">
        <f>CONCATENATE(AB8,".",AJ7)</f>
        <v>Description.fi</v>
      </c>
      <c r="AK8" s="5" t="str">
        <f>CONCATENATE(AB8,".",AK7)</f>
        <v>Description.fr</v>
      </c>
      <c r="AL8" s="5" t="str">
        <f>CONCATENATE(AB8,".",AL7)</f>
        <v>Description.ga</v>
      </c>
      <c r="AM8" s="5" t="str">
        <f>CONCATENATE(AB8,".",AM7)</f>
        <v>Description.hr</v>
      </c>
      <c r="AN8" s="5" t="str">
        <f>CONCATENATE(AB8,".",AN7)</f>
        <v>Description.hu</v>
      </c>
      <c r="AO8" s="5" t="str">
        <f>CONCATENATE(AB8,".",AO7)</f>
        <v>Description.is</v>
      </c>
      <c r="AP8" s="5" t="str">
        <f>CONCATENATE(AB8,".",AP7)</f>
        <v>Description.it</v>
      </c>
      <c r="AQ8" s="5" t="str">
        <f>CONCATENATE(AB8,".",AQ7)</f>
        <v>Description.lt</v>
      </c>
      <c r="AR8" s="5" t="str">
        <f>CONCATENATE(AB8,".",AR7)</f>
        <v>Description.lv</v>
      </c>
      <c r="AS8" s="5" t="str">
        <f>CONCATENATE(AB8,".",AS7)</f>
        <v>Description.mt</v>
      </c>
      <c r="AT8" s="5" t="str">
        <f>CONCATENATE(AB8,".",AT7)</f>
        <v>Description.nl</v>
      </c>
      <c r="AU8" s="5" t="str">
        <f>CONCATENATE(AB8,".",AU7)</f>
        <v>Description.no</v>
      </c>
      <c r="AV8" s="5" t="str">
        <f>CONCATENATE(AB8,".",AV7)</f>
        <v>Description.pl</v>
      </c>
      <c r="AW8" s="5" t="str">
        <f>CONCATENATE(AB8,".",AW7)</f>
        <v>Description.pt</v>
      </c>
      <c r="AX8" s="5" t="str">
        <f>CONCATENATE(AB8,".",AX7)</f>
        <v>Description.ro</v>
      </c>
      <c r="AY8" s="5" t="str">
        <f>CONCATENATE(AB8,".",AY7)</f>
        <v>Description.sk</v>
      </c>
      <c r="AZ8" s="5" t="str">
        <f>CONCATENATE(AB8,".",AZ7)</f>
        <v>Description.sl</v>
      </c>
      <c r="BA8" s="5" t="str">
        <f>CONCATENATE(AB8,".",BA7)</f>
        <v>Description.sv</v>
      </c>
      <c r="BB8" s="197" t="s">
        <v>71</v>
      </c>
      <c r="BC8" s="103" t="s">
        <v>72</v>
      </c>
      <c r="BD8" s="196" t="s">
        <v>29</v>
      </c>
      <c r="BE8" s="5"/>
      <c r="BF8" s="196" t="s">
        <v>73</v>
      </c>
      <c r="BG8" s="5"/>
      <c r="BH8" s="196" t="s">
        <v>74</v>
      </c>
      <c r="BI8" s="5"/>
      <c r="BJ8" s="5" t="s">
        <v>75</v>
      </c>
      <c r="BK8" s="5" t="s">
        <v>76</v>
      </c>
    </row>
    <row r="9" spans="1:63" s="121" customFormat="1" ht="105.6" customHeight="1">
      <c r="A9" s="76" t="s">
        <v>70</v>
      </c>
      <c r="B9" s="7" t="s">
        <v>77</v>
      </c>
      <c r="C9" s="7"/>
      <c r="D9" s="7"/>
      <c r="E9" s="7"/>
      <c r="F9" s="7"/>
      <c r="G9" s="7"/>
      <c r="H9" s="7"/>
      <c r="I9" s="7"/>
      <c r="J9" s="7"/>
      <c r="K9" s="7"/>
      <c r="L9" s="7"/>
      <c r="M9" s="7"/>
      <c r="N9" s="7"/>
      <c r="O9" s="7"/>
      <c r="P9" s="7"/>
      <c r="Q9" s="7"/>
      <c r="R9" s="7"/>
      <c r="S9" s="7"/>
      <c r="T9" s="7"/>
      <c r="U9" s="7"/>
      <c r="V9" s="7"/>
      <c r="W9" s="7"/>
      <c r="X9" s="7"/>
      <c r="Y9" s="7"/>
      <c r="Z9" s="7"/>
      <c r="AA9" s="7"/>
      <c r="AB9" s="7" t="s">
        <v>78</v>
      </c>
      <c r="AC9" s="7"/>
      <c r="AD9" s="7"/>
      <c r="AE9" s="7"/>
      <c r="AF9" s="7"/>
      <c r="AG9" s="7"/>
      <c r="AH9" s="7"/>
      <c r="AI9" s="7"/>
      <c r="AJ9" s="7"/>
      <c r="AK9" s="7"/>
      <c r="AL9" s="7"/>
      <c r="AM9" s="7"/>
      <c r="AN9" s="7"/>
      <c r="AO9" s="7"/>
      <c r="AP9" s="7"/>
      <c r="AQ9" s="7"/>
      <c r="AR9" s="7"/>
      <c r="AS9" s="7"/>
      <c r="AT9" s="7"/>
      <c r="AU9" s="7"/>
      <c r="AV9" s="7"/>
      <c r="AW9" s="7"/>
      <c r="AX9" s="7"/>
      <c r="AY9" s="7"/>
      <c r="AZ9" s="7"/>
      <c r="BA9" s="7"/>
      <c r="BB9" s="7" t="s">
        <v>79</v>
      </c>
      <c r="BC9" s="7" t="s">
        <v>80</v>
      </c>
      <c r="BD9" s="8"/>
      <c r="BE9" s="8"/>
      <c r="BF9" s="7" t="s">
        <v>81</v>
      </c>
      <c r="BG9" s="8"/>
      <c r="BH9" s="7" t="s">
        <v>82</v>
      </c>
      <c r="BI9" s="7"/>
      <c r="BJ9" s="7" t="s">
        <v>83</v>
      </c>
      <c r="BK9" s="7"/>
    </row>
    <row r="10" spans="1:63" ht="15" customHeight="1" thickBot="1">
      <c r="A10" s="84" t="s">
        <v>42</v>
      </c>
      <c r="B10" s="85"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5" t="s">
        <v>12</v>
      </c>
      <c r="AC10" s="86" t="s">
        <v>84</v>
      </c>
      <c r="AD10" s="86" t="s">
        <v>85</v>
      </c>
      <c r="AE10" s="86" t="s">
        <v>86</v>
      </c>
      <c r="AF10" s="86" t="s">
        <v>87</v>
      </c>
      <c r="AG10" s="86" t="s">
        <v>88</v>
      </c>
      <c r="AH10" s="86" t="s">
        <v>89</v>
      </c>
      <c r="AI10" s="86" t="s">
        <v>90</v>
      </c>
      <c r="AJ10" s="86" t="s">
        <v>91</v>
      </c>
      <c r="AK10" s="86" t="s">
        <v>92</v>
      </c>
      <c r="AL10" s="86" t="s">
        <v>93</v>
      </c>
      <c r="AM10" s="86" t="s">
        <v>94</v>
      </c>
      <c r="AN10" s="86" t="s">
        <v>95</v>
      </c>
      <c r="AO10" s="86" t="s">
        <v>96</v>
      </c>
      <c r="AP10" s="86" t="s">
        <v>97</v>
      </c>
      <c r="AQ10" s="86" t="s">
        <v>98</v>
      </c>
      <c r="AR10" s="86" t="s">
        <v>99</v>
      </c>
      <c r="AS10" s="86" t="s">
        <v>100</v>
      </c>
      <c r="AT10" s="86" t="s">
        <v>14</v>
      </c>
      <c r="AU10" s="86" t="s">
        <v>101</v>
      </c>
      <c r="AV10" s="86" t="s">
        <v>102</v>
      </c>
      <c r="AW10" s="86" t="s">
        <v>103</v>
      </c>
      <c r="AX10" s="86" t="s">
        <v>104</v>
      </c>
      <c r="AY10" s="86" t="s">
        <v>105</v>
      </c>
      <c r="AZ10" s="86" t="s">
        <v>106</v>
      </c>
      <c r="BA10" s="86" t="s">
        <v>107</v>
      </c>
      <c r="BB10" s="85"/>
      <c r="BC10" s="86"/>
      <c r="BD10" s="87"/>
      <c r="BE10" s="87"/>
      <c r="BF10" s="87"/>
      <c r="BG10" s="87"/>
      <c r="BH10" s="87"/>
      <c r="BI10" s="87"/>
      <c r="BJ10" s="95" t="s">
        <v>108</v>
      </c>
      <c r="BK10" s="87"/>
    </row>
    <row r="11" spans="1:63" s="216" customFormat="1" ht="29.1" customHeight="1" thickBot="1">
      <c r="A11" s="188" t="s">
        <v>109</v>
      </c>
      <c r="B11" s="185" t="s">
        <v>5363</v>
      </c>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t="s">
        <v>5364</v>
      </c>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220">
        <v>44013</v>
      </c>
      <c r="BC11" s="207"/>
      <c r="BD11" s="188" t="s">
        <v>1666</v>
      </c>
      <c r="BE11" s="206"/>
      <c r="BF11" s="206"/>
      <c r="BG11" s="206"/>
      <c r="BH11" s="187" t="str">
        <f>INDEX(OrganisationNames,1)</f>
        <v>Awesome University for Music Lovers</v>
      </c>
      <c r="BI11" s="206"/>
      <c r="BJ11" s="206"/>
      <c r="BK11" s="218"/>
    </row>
    <row r="12" spans="1:63" s="126" customFormat="1" ht="29.1" hidden="1" customHeight="1" thickBot="1">
      <c r="A12" s="88"/>
      <c r="B12" s="88" t="s">
        <v>110</v>
      </c>
      <c r="C12" s="88" t="s">
        <v>111</v>
      </c>
      <c r="D12" s="88" t="s">
        <v>112</v>
      </c>
      <c r="E12" s="88" t="s">
        <v>113</v>
      </c>
      <c r="F12" s="88" t="s">
        <v>114</v>
      </c>
      <c r="G12" s="88" t="s">
        <v>115</v>
      </c>
      <c r="H12" s="88" t="s">
        <v>116</v>
      </c>
      <c r="I12" s="88" t="s">
        <v>117</v>
      </c>
      <c r="J12" s="88" t="s">
        <v>118</v>
      </c>
      <c r="K12" s="88" t="s">
        <v>119</v>
      </c>
      <c r="L12" s="88" t="s">
        <v>120</v>
      </c>
      <c r="M12" s="88" t="s">
        <v>121</v>
      </c>
      <c r="N12" s="88" t="s">
        <v>122</v>
      </c>
      <c r="O12" s="88" t="s">
        <v>123</v>
      </c>
      <c r="P12" s="88" t="s">
        <v>124</v>
      </c>
      <c r="Q12" s="88" t="s">
        <v>125</v>
      </c>
      <c r="R12" s="88" t="s">
        <v>126</v>
      </c>
      <c r="S12" s="88" t="s">
        <v>127</v>
      </c>
      <c r="T12" s="88" t="s">
        <v>128</v>
      </c>
      <c r="U12" s="88" t="s">
        <v>129</v>
      </c>
      <c r="V12" s="88" t="s">
        <v>130</v>
      </c>
      <c r="W12" s="88" t="s">
        <v>131</v>
      </c>
      <c r="X12" s="88" t="s">
        <v>132</v>
      </c>
      <c r="Y12" s="88" t="s">
        <v>133</v>
      </c>
      <c r="Z12" s="88" t="s">
        <v>134</v>
      </c>
      <c r="AA12" s="88" t="s">
        <v>135</v>
      </c>
      <c r="AB12" s="88" t="s">
        <v>136</v>
      </c>
      <c r="AC12" s="88" t="s">
        <v>137</v>
      </c>
      <c r="AD12" s="88" t="s">
        <v>138</v>
      </c>
      <c r="AE12" s="88" t="s">
        <v>139</v>
      </c>
      <c r="AF12" s="88" t="s">
        <v>140</v>
      </c>
      <c r="AG12" s="88" t="s">
        <v>141</v>
      </c>
      <c r="AH12" s="88" t="s">
        <v>142</v>
      </c>
      <c r="AI12" s="88" t="s">
        <v>143</v>
      </c>
      <c r="AJ12" s="88" t="s">
        <v>144</v>
      </c>
      <c r="AK12" s="88" t="s">
        <v>145</v>
      </c>
      <c r="AL12" s="88" t="s">
        <v>146</v>
      </c>
      <c r="AM12" s="88" t="s">
        <v>147</v>
      </c>
      <c r="AN12" s="88" t="s">
        <v>148</v>
      </c>
      <c r="AO12" s="88" t="s">
        <v>149</v>
      </c>
      <c r="AP12" s="88" t="s">
        <v>150</v>
      </c>
      <c r="AQ12" s="88" t="s">
        <v>151</v>
      </c>
      <c r="AR12" s="88" t="s">
        <v>152</v>
      </c>
      <c r="AS12" s="88" t="s">
        <v>153</v>
      </c>
      <c r="AT12" s="88" t="s">
        <v>154</v>
      </c>
      <c r="AU12" s="88" t="s">
        <v>155</v>
      </c>
      <c r="AV12" s="88" t="s">
        <v>156</v>
      </c>
      <c r="AW12" s="88" t="s">
        <v>157</v>
      </c>
      <c r="AX12" s="88" t="s">
        <v>158</v>
      </c>
      <c r="AY12" s="88" t="s">
        <v>159</v>
      </c>
      <c r="AZ12" s="88" t="s">
        <v>160</v>
      </c>
      <c r="BA12" s="88" t="s">
        <v>161</v>
      </c>
      <c r="BB12" s="88" t="s">
        <v>162</v>
      </c>
      <c r="BC12" s="88" t="s">
        <v>163</v>
      </c>
      <c r="BD12" s="88" t="s">
        <v>164</v>
      </c>
      <c r="BE12" s="88" t="s">
        <v>165</v>
      </c>
      <c r="BF12" s="88" t="s">
        <v>166</v>
      </c>
      <c r="BG12" s="88" t="s">
        <v>167</v>
      </c>
      <c r="BH12" s="88" t="s">
        <v>168</v>
      </c>
      <c r="BI12" s="88" t="s">
        <v>169</v>
      </c>
      <c r="BJ12" s="88" t="s">
        <v>170</v>
      </c>
      <c r="BK12" s="88" t="s">
        <v>171</v>
      </c>
    </row>
    <row r="13" spans="1:63" s="126" customFormat="1" ht="29.1" customHeight="1" thickBot="1">
      <c r="A13" s="81"/>
      <c r="B13" s="228" t="str">
        <f t="shared" ref="B13:BB13" si="0">B$11</f>
        <v>Musicology</v>
      </c>
      <c r="C13" s="89">
        <f t="shared" si="0"/>
        <v>0</v>
      </c>
      <c r="D13" s="89">
        <f t="shared" si="0"/>
        <v>0</v>
      </c>
      <c r="E13" s="89">
        <f t="shared" si="0"/>
        <v>0</v>
      </c>
      <c r="F13" s="89">
        <f t="shared" si="0"/>
        <v>0</v>
      </c>
      <c r="G13" s="89">
        <f t="shared" si="0"/>
        <v>0</v>
      </c>
      <c r="H13" s="89">
        <f t="shared" si="0"/>
        <v>0</v>
      </c>
      <c r="I13" s="89">
        <f t="shared" si="0"/>
        <v>0</v>
      </c>
      <c r="J13" s="89">
        <f t="shared" si="0"/>
        <v>0</v>
      </c>
      <c r="K13" s="89">
        <f t="shared" si="0"/>
        <v>0</v>
      </c>
      <c r="L13" s="89">
        <f t="shared" si="0"/>
        <v>0</v>
      </c>
      <c r="M13" s="89">
        <f t="shared" si="0"/>
        <v>0</v>
      </c>
      <c r="N13" s="89">
        <f t="shared" si="0"/>
        <v>0</v>
      </c>
      <c r="O13" s="89">
        <f t="shared" si="0"/>
        <v>0</v>
      </c>
      <c r="P13" s="89">
        <f t="shared" si="0"/>
        <v>0</v>
      </c>
      <c r="Q13" s="89">
        <f t="shared" si="0"/>
        <v>0</v>
      </c>
      <c r="R13" s="89">
        <f t="shared" si="0"/>
        <v>0</v>
      </c>
      <c r="S13" s="89">
        <f t="shared" si="0"/>
        <v>0</v>
      </c>
      <c r="T13" s="89">
        <f t="shared" si="0"/>
        <v>0</v>
      </c>
      <c r="U13" s="89">
        <f t="shared" si="0"/>
        <v>0</v>
      </c>
      <c r="V13" s="89">
        <f t="shared" si="0"/>
        <v>0</v>
      </c>
      <c r="W13" s="89">
        <f t="shared" si="0"/>
        <v>0</v>
      </c>
      <c r="X13" s="89">
        <f t="shared" si="0"/>
        <v>0</v>
      </c>
      <c r="Y13" s="89">
        <f t="shared" si="0"/>
        <v>0</v>
      </c>
      <c r="Z13" s="89">
        <f t="shared" si="0"/>
        <v>0</v>
      </c>
      <c r="AA13" s="89">
        <f t="shared" si="0"/>
        <v>0</v>
      </c>
      <c r="AB13" s="89" t="str">
        <f>IF(ISBLANK(AB$11),"",AB$11)</f>
        <v>The interdisciplinary nature of the Musicology programme creates a rich and stimulating environment for staff and students. You’ll benefit from a variety of departmental research seminar series, performance events and international conferences.</v>
      </c>
      <c r="AC13" s="89">
        <f t="shared" si="0"/>
        <v>0</v>
      </c>
      <c r="AD13" s="89">
        <f t="shared" si="0"/>
        <v>0</v>
      </c>
      <c r="AE13" s="89">
        <f t="shared" si="0"/>
        <v>0</v>
      </c>
      <c r="AF13" s="89">
        <f t="shared" si="0"/>
        <v>0</v>
      </c>
      <c r="AG13" s="89">
        <f t="shared" si="0"/>
        <v>0</v>
      </c>
      <c r="AH13" s="89">
        <f t="shared" si="0"/>
        <v>0</v>
      </c>
      <c r="AI13" s="89">
        <f t="shared" si="0"/>
        <v>0</v>
      </c>
      <c r="AJ13" s="89">
        <f t="shared" si="0"/>
        <v>0</v>
      </c>
      <c r="AK13" s="89">
        <f t="shared" si="0"/>
        <v>0</v>
      </c>
      <c r="AL13" s="89">
        <f t="shared" si="0"/>
        <v>0</v>
      </c>
      <c r="AM13" s="89">
        <f t="shared" si="0"/>
        <v>0</v>
      </c>
      <c r="AN13" s="89">
        <f t="shared" si="0"/>
        <v>0</v>
      </c>
      <c r="AO13" s="89">
        <f t="shared" si="0"/>
        <v>0</v>
      </c>
      <c r="AP13" s="89">
        <f t="shared" si="0"/>
        <v>0</v>
      </c>
      <c r="AQ13" s="89">
        <f t="shared" si="0"/>
        <v>0</v>
      </c>
      <c r="AR13" s="89">
        <f t="shared" si="0"/>
        <v>0</v>
      </c>
      <c r="AS13" s="89">
        <f t="shared" si="0"/>
        <v>0</v>
      </c>
      <c r="AT13" s="89">
        <f t="shared" si="0"/>
        <v>0</v>
      </c>
      <c r="AU13" s="89">
        <f t="shared" si="0"/>
        <v>0</v>
      </c>
      <c r="AV13" s="89">
        <f t="shared" si="0"/>
        <v>0</v>
      </c>
      <c r="AW13" s="89">
        <f t="shared" si="0"/>
        <v>0</v>
      </c>
      <c r="AX13" s="89">
        <f t="shared" si="0"/>
        <v>0</v>
      </c>
      <c r="AY13" s="89">
        <f t="shared" si="0"/>
        <v>0</v>
      </c>
      <c r="AZ13" s="89">
        <f t="shared" si="0"/>
        <v>0</v>
      </c>
      <c r="BA13" s="89">
        <f t="shared" si="0"/>
        <v>0</v>
      </c>
      <c r="BB13" s="229">
        <f t="shared" si="0"/>
        <v>44013</v>
      </c>
      <c r="BC13" s="90" t="str">
        <f>IF(ISBLANK(BC$11),"",BC$11)</f>
        <v/>
      </c>
      <c r="BD13" s="229" t="s">
        <v>1674</v>
      </c>
      <c r="BE13" s="81" t="str" cm="1">
        <f t="array" ref="BE13">MultiMatch(Credentials[[#This Row],[EuropassCredential.type.Property.content.]],Vocabularies[name],0)</f>
        <v>43</v>
      </c>
      <c r="BF13" s="231" t="str">
        <f>Persons[[#This Row],[Person.fullName.Property.content.en]]</f>
        <v>Zed StringStrummer</v>
      </c>
      <c r="BG13" s="81" t="str" cm="1">
        <f t="array" ref="BG13">MultiMatch(Credentials[[#This Row],[EuropassCredential.credentialSubject.Reference.Person.]],PersonNames,0)</f>
        <v>13</v>
      </c>
      <c r="BH13" s="228" t="str">
        <f t="shared" ref="BH13" si="1">BH$11</f>
        <v>Awesome University for Music Lovers</v>
      </c>
      <c r="BI13" s="81" t="str" cm="1">
        <f t="array" ref="BI13">MultiMatch(Credentials[[#This Row],[EuropassCredential.issuer.Reference.Organisation.]],OrganisationNames,0)</f>
        <v>13</v>
      </c>
      <c r="BJ13" s="93"/>
      <c r="BK13" s="92">
        <f>BK$11</f>
        <v>0</v>
      </c>
    </row>
  </sheetData>
  <sheetProtection formatColumns="0"/>
  <dataValidations count="5">
    <dataValidation type="list" allowBlank="1" showInputMessage="1" showErrorMessage="1" sqref="BD11:BD13">
      <formula1>CredentialTypeNames</formula1>
    </dataValidation>
    <dataValidation type="list" allowBlank="1" showInputMessage="1" showErrorMessage="1" sqref="BH13">
      <formula1>OrganisationNames</formula1>
    </dataValidation>
    <dataValidation type="list" allowBlank="1" showInputMessage="1" showErrorMessage="1" sqref="BF13">
      <formula1>PersonNames</formula1>
    </dataValidation>
    <dataValidation type="date" operator="greaterThan" allowBlank="1" showInputMessage="1" showErrorMessage="1" sqref="BB13 BB11">
      <formula1>1</formula1>
    </dataValidation>
    <dataValidation type="date" operator="greaterThanOrEqual" allowBlank="1" showInputMessage="1" showErrorMessage="1" sqref="BC11 BC13">
      <formula1>BB11</formula1>
    </dataValidation>
  </dataValidations>
  <pageMargins left="0.7" right="0.7" top="0.75" bottom="0.75" header="0.3" footer="0.3"/>
  <pageSetup paperSize="9" orientation="portrait" horizontalDpi="300" verticalDpi="300" r:id="rId1"/>
  <ignoredErrors>
    <ignoredError sqref="B13" unlockedFormula="1"/>
  </ignoredError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3"/>
  <sheetViews>
    <sheetView zoomScale="80" zoomScaleNormal="80" workbookViewId="0">
      <pane xSplit="4" ySplit="12" topLeftCell="E13" activePane="bottomRight" state="frozen"/>
      <selection pane="topRight" activeCell="E1" sqref="E1"/>
      <selection pane="bottomLeft" activeCell="A13" sqref="A13"/>
      <selection pane="bottomRight" activeCell="U15" sqref="U15"/>
    </sheetView>
  </sheetViews>
  <sheetFormatPr baseColWidth="10" defaultColWidth="9.140625" defaultRowHeight="29.85" customHeight="1"/>
  <cols>
    <col min="1" max="1" width="23.85546875" style="81" customWidth="1"/>
    <col min="2" max="2" width="0.5703125" style="81" hidden="1" customWidth="1"/>
    <col min="3" max="4" width="16.85546875" style="81" customWidth="1"/>
    <col min="5" max="5" width="12.5703125" style="81" customWidth="1"/>
    <col min="6" max="6" width="11.85546875" style="81" customWidth="1"/>
    <col min="7" max="7" width="11.85546875" style="81" hidden="1" customWidth="1"/>
    <col min="8" max="8" width="13" style="81" customWidth="1"/>
    <col min="9" max="9" width="15.140625" style="81" customWidth="1"/>
    <col min="10" max="10" width="17.5703125" style="81" hidden="1" customWidth="1"/>
    <col min="11" max="11" width="16.5703125" style="81" customWidth="1"/>
    <col min="12" max="12" width="18.140625" style="81" hidden="1" customWidth="1"/>
    <col min="13" max="13" width="16.5703125" style="81" customWidth="1"/>
    <col min="14" max="14" width="18" style="81" hidden="1" customWidth="1"/>
    <col min="15" max="15" width="26.85546875" style="81" customWidth="1"/>
    <col min="16" max="16" width="19.85546875" style="81" customWidth="1"/>
    <col min="17" max="17" width="26.85546875" style="81" customWidth="1"/>
    <col min="18" max="18" width="20.140625" style="81" customWidth="1"/>
    <col min="19" max="20" width="21" style="81" bestFit="1" customWidth="1"/>
    <col min="21" max="21" width="33.140625" style="81" customWidth="1"/>
    <col min="22" max="46" width="33.140625" style="81" hidden="1" customWidth="1"/>
    <col min="47" max="47" width="15.140625" style="81" customWidth="1"/>
    <col min="48" max="48" width="17.5703125" style="81" hidden="1" customWidth="1"/>
    <col min="49" max="49" width="40.85546875" style="81" customWidth="1"/>
    <col min="50" max="50" width="8.140625" style="81" hidden="1" customWidth="1"/>
    <col min="51" max="51" width="42.140625" style="81" customWidth="1"/>
    <col min="52" max="52" width="7.140625" style="81" hidden="1" customWidth="1"/>
    <col min="53" max="53" width="35.140625" style="81" customWidth="1"/>
    <col min="54" max="54" width="6.85546875" style="81" hidden="1" customWidth="1"/>
    <col min="55" max="55" width="9.140625" style="91" customWidth="1"/>
    <col min="56" max="16384" width="9.140625" style="91"/>
  </cols>
  <sheetData>
    <row r="1" spans="1:74" ht="23.25">
      <c r="A1" s="102" t="s">
        <v>172</v>
      </c>
      <c r="B1" s="79"/>
      <c r="C1" s="79"/>
      <c r="D1" s="79"/>
    </row>
    <row r="2" spans="1:74" ht="29.1" hidden="1" customHeight="1">
      <c r="A2" s="82" t="s">
        <v>173</v>
      </c>
      <c r="B2" s="82" t="s">
        <v>37</v>
      </c>
      <c r="C2" s="82" t="s">
        <v>37</v>
      </c>
      <c r="D2" s="82" t="s">
        <v>37</v>
      </c>
      <c r="E2" s="82" t="s">
        <v>37</v>
      </c>
      <c r="F2" s="82" t="s">
        <v>37</v>
      </c>
      <c r="G2" s="82" t="s">
        <v>37</v>
      </c>
      <c r="H2" s="82" t="s">
        <v>174</v>
      </c>
      <c r="I2" s="82" t="s">
        <v>174</v>
      </c>
      <c r="J2" s="82" t="s">
        <v>174</v>
      </c>
      <c r="K2" s="82" t="s">
        <v>175</v>
      </c>
      <c r="L2" s="82" t="s">
        <v>175</v>
      </c>
      <c r="M2" s="82" t="s">
        <v>37</v>
      </c>
      <c r="N2" s="82" t="s">
        <v>37</v>
      </c>
      <c r="O2" s="82" t="s">
        <v>176</v>
      </c>
      <c r="P2" s="82" t="s">
        <v>176</v>
      </c>
      <c r="Q2" s="82" t="s">
        <v>177</v>
      </c>
      <c r="R2" s="82" t="s">
        <v>177</v>
      </c>
      <c r="S2" s="82" t="s">
        <v>178</v>
      </c>
      <c r="T2" s="82" t="s">
        <v>179</v>
      </c>
      <c r="U2" s="96" t="s">
        <v>180</v>
      </c>
      <c r="V2" s="96" t="s">
        <v>180</v>
      </c>
      <c r="W2" s="96" t="s">
        <v>180</v>
      </c>
      <c r="X2" s="96" t="s">
        <v>180</v>
      </c>
      <c r="Y2" s="96" t="s">
        <v>180</v>
      </c>
      <c r="Z2" s="96" t="s">
        <v>180</v>
      </c>
      <c r="AA2" s="96" t="s">
        <v>180</v>
      </c>
      <c r="AB2" s="96" t="s">
        <v>180</v>
      </c>
      <c r="AC2" s="96" t="s">
        <v>180</v>
      </c>
      <c r="AD2" s="96" t="s">
        <v>180</v>
      </c>
      <c r="AE2" s="96" t="s">
        <v>180</v>
      </c>
      <c r="AF2" s="96" t="s">
        <v>180</v>
      </c>
      <c r="AG2" s="96" t="s">
        <v>180</v>
      </c>
      <c r="AH2" s="96" t="s">
        <v>180</v>
      </c>
      <c r="AI2" s="96" t="s">
        <v>180</v>
      </c>
      <c r="AJ2" s="96" t="s">
        <v>180</v>
      </c>
      <c r="AK2" s="96" t="s">
        <v>180</v>
      </c>
      <c r="AL2" s="96" t="s">
        <v>180</v>
      </c>
      <c r="AM2" s="96" t="s">
        <v>180</v>
      </c>
      <c r="AN2" s="96" t="s">
        <v>180</v>
      </c>
      <c r="AO2" s="96" t="s">
        <v>180</v>
      </c>
      <c r="AP2" s="96" t="s">
        <v>180</v>
      </c>
      <c r="AQ2" s="96" t="s">
        <v>180</v>
      </c>
      <c r="AR2" s="96" t="s">
        <v>180</v>
      </c>
      <c r="AS2" s="96" t="s">
        <v>180</v>
      </c>
      <c r="AT2" s="96" t="s">
        <v>180</v>
      </c>
      <c r="AU2" s="96" t="s">
        <v>180</v>
      </c>
      <c r="AV2" s="96" t="s">
        <v>180</v>
      </c>
      <c r="AW2" s="82" t="s">
        <v>37</v>
      </c>
      <c r="AX2" s="82" t="s">
        <v>37</v>
      </c>
      <c r="AY2" s="82" t="s">
        <v>37</v>
      </c>
      <c r="AZ2" s="82" t="s">
        <v>37</v>
      </c>
      <c r="BA2" s="82" t="s">
        <v>37</v>
      </c>
      <c r="BB2" s="82" t="s">
        <v>37</v>
      </c>
      <c r="BC2" s="82" t="s">
        <v>37</v>
      </c>
      <c r="BD2" s="82" t="s">
        <v>37</v>
      </c>
      <c r="BE2" s="82" t="s">
        <v>37</v>
      </c>
      <c r="BF2" s="82" t="s">
        <v>37</v>
      </c>
      <c r="BG2" s="82" t="s">
        <v>37</v>
      </c>
      <c r="BH2" s="82" t="s">
        <v>37</v>
      </c>
      <c r="BI2" s="82" t="s">
        <v>37</v>
      </c>
      <c r="BJ2" s="82" t="s">
        <v>37</v>
      </c>
      <c r="BK2" s="82" t="s">
        <v>37</v>
      </c>
      <c r="BL2" s="82" t="s">
        <v>37</v>
      </c>
      <c r="BM2" s="82" t="s">
        <v>37</v>
      </c>
      <c r="BN2" s="82" t="s">
        <v>37</v>
      </c>
      <c r="BO2" s="82" t="s">
        <v>37</v>
      </c>
      <c r="BP2" s="82" t="s">
        <v>37</v>
      </c>
      <c r="BQ2" s="82" t="s">
        <v>37</v>
      </c>
      <c r="BR2" s="82" t="s">
        <v>37</v>
      </c>
      <c r="BS2" s="82" t="s">
        <v>37</v>
      </c>
      <c r="BT2" s="82" t="s">
        <v>37</v>
      </c>
      <c r="BU2" s="82" t="s">
        <v>37</v>
      </c>
      <c r="BV2" s="82" t="s">
        <v>37</v>
      </c>
    </row>
    <row r="3" spans="1:74" ht="29.1" hidden="1" customHeight="1">
      <c r="A3" s="82" t="s">
        <v>19</v>
      </c>
      <c r="B3" s="82" t="s">
        <v>181</v>
      </c>
      <c r="C3" s="82" t="s">
        <v>182</v>
      </c>
      <c r="D3" s="82" t="s">
        <v>183</v>
      </c>
      <c r="E3" s="82" t="s">
        <v>184</v>
      </c>
      <c r="F3" s="82" t="s">
        <v>185</v>
      </c>
      <c r="G3" s="82" t="s">
        <v>185</v>
      </c>
      <c r="H3" s="82" t="s">
        <v>35</v>
      </c>
      <c r="I3" s="82" t="s">
        <v>186</v>
      </c>
      <c r="J3" s="82" t="s">
        <v>187</v>
      </c>
      <c r="K3" s="82" t="s">
        <v>188</v>
      </c>
      <c r="L3" s="82" t="s">
        <v>188</v>
      </c>
      <c r="M3" s="82" t="s">
        <v>189</v>
      </c>
      <c r="N3" s="82" t="s">
        <v>189</v>
      </c>
      <c r="O3" s="82" t="s">
        <v>190</v>
      </c>
      <c r="P3" s="96" t="s">
        <v>35</v>
      </c>
      <c r="Q3" s="82" t="s">
        <v>190</v>
      </c>
      <c r="R3" s="96" t="s">
        <v>35</v>
      </c>
      <c r="S3" s="82" t="s">
        <v>191</v>
      </c>
      <c r="T3" s="82" t="s">
        <v>192</v>
      </c>
      <c r="U3" s="96" t="s">
        <v>193</v>
      </c>
      <c r="V3" s="96" t="s">
        <v>193</v>
      </c>
      <c r="W3" s="96" t="s">
        <v>193</v>
      </c>
      <c r="X3" s="96" t="s">
        <v>193</v>
      </c>
      <c r="Y3" s="96" t="s">
        <v>193</v>
      </c>
      <c r="Z3" s="96" t="s">
        <v>193</v>
      </c>
      <c r="AA3" s="96" t="s">
        <v>193</v>
      </c>
      <c r="AB3" s="96" t="s">
        <v>193</v>
      </c>
      <c r="AC3" s="96" t="s">
        <v>193</v>
      </c>
      <c r="AD3" s="96" t="s">
        <v>193</v>
      </c>
      <c r="AE3" s="96" t="s">
        <v>193</v>
      </c>
      <c r="AF3" s="96" t="s">
        <v>193</v>
      </c>
      <c r="AG3" s="96" t="s">
        <v>193</v>
      </c>
      <c r="AH3" s="96" t="s">
        <v>193</v>
      </c>
      <c r="AI3" s="96" t="s">
        <v>193</v>
      </c>
      <c r="AJ3" s="96" t="s">
        <v>193</v>
      </c>
      <c r="AK3" s="96" t="s">
        <v>193</v>
      </c>
      <c r="AL3" s="96" t="s">
        <v>193</v>
      </c>
      <c r="AM3" s="96" t="s">
        <v>193</v>
      </c>
      <c r="AN3" s="96" t="s">
        <v>193</v>
      </c>
      <c r="AO3" s="96" t="s">
        <v>193</v>
      </c>
      <c r="AP3" s="96" t="s">
        <v>193</v>
      </c>
      <c r="AQ3" s="96" t="s">
        <v>193</v>
      </c>
      <c r="AR3" s="96" t="s">
        <v>193</v>
      </c>
      <c r="AS3" s="96" t="s">
        <v>193</v>
      </c>
      <c r="AT3" s="96" t="s">
        <v>193</v>
      </c>
      <c r="AU3" s="96" t="s">
        <v>194</v>
      </c>
      <c r="AV3" s="96" t="s">
        <v>194</v>
      </c>
      <c r="AW3" s="82" t="s">
        <v>195</v>
      </c>
      <c r="AX3" s="82" t="s">
        <v>195</v>
      </c>
      <c r="AY3" s="82" t="s">
        <v>196</v>
      </c>
      <c r="AZ3" s="82" t="s">
        <v>196</v>
      </c>
      <c r="BA3" s="82" t="s">
        <v>197</v>
      </c>
      <c r="BB3" s="82" t="s">
        <v>197</v>
      </c>
      <c r="BC3" s="82">
        <v>13</v>
      </c>
      <c r="BD3" s="82">
        <v>14</v>
      </c>
      <c r="BE3" s="82">
        <v>15</v>
      </c>
      <c r="BF3" s="82">
        <v>16</v>
      </c>
      <c r="BG3" s="82">
        <v>17</v>
      </c>
      <c r="BH3" s="82">
        <v>18</v>
      </c>
      <c r="BI3" s="82">
        <v>19</v>
      </c>
      <c r="BJ3" s="82">
        <v>20</v>
      </c>
      <c r="BK3" s="82">
        <v>21</v>
      </c>
      <c r="BL3" s="82">
        <v>22</v>
      </c>
      <c r="BM3" s="82">
        <v>23</v>
      </c>
      <c r="BN3" s="82">
        <v>24</v>
      </c>
      <c r="BO3" s="82">
        <v>25</v>
      </c>
      <c r="BP3" s="82">
        <v>26</v>
      </c>
      <c r="BQ3" s="82">
        <v>27</v>
      </c>
      <c r="BR3" s="82">
        <v>28</v>
      </c>
      <c r="BS3" s="82">
        <v>29</v>
      </c>
      <c r="BT3" s="82">
        <v>30</v>
      </c>
      <c r="BU3" s="82">
        <v>31</v>
      </c>
      <c r="BV3" s="82">
        <v>32</v>
      </c>
    </row>
    <row r="4" spans="1:74" ht="29.1" hidden="1" customHeight="1">
      <c r="A4" s="82" t="s">
        <v>29</v>
      </c>
      <c r="B4" s="82" t="s">
        <v>30</v>
      </c>
      <c r="C4" s="82" t="s">
        <v>30</v>
      </c>
      <c r="D4" s="82" t="s">
        <v>30</v>
      </c>
      <c r="E4" s="82" t="s">
        <v>30</v>
      </c>
      <c r="F4" s="82" t="s">
        <v>31</v>
      </c>
      <c r="G4" s="82" t="s">
        <v>32</v>
      </c>
      <c r="H4" s="82" t="s">
        <v>33</v>
      </c>
      <c r="I4" s="82" t="s">
        <v>33</v>
      </c>
      <c r="J4" s="82" t="s">
        <v>33</v>
      </c>
      <c r="K4" s="82" t="s">
        <v>31</v>
      </c>
      <c r="L4" s="82" t="s">
        <v>198</v>
      </c>
      <c r="M4" s="82" t="s">
        <v>199</v>
      </c>
      <c r="N4" s="82" t="s">
        <v>32</v>
      </c>
      <c r="O4" s="82" t="s">
        <v>33</v>
      </c>
      <c r="P4" s="82" t="s">
        <v>33</v>
      </c>
      <c r="Q4" s="82" t="s">
        <v>33</v>
      </c>
      <c r="R4" s="82" t="s">
        <v>33</v>
      </c>
      <c r="S4" s="82" t="s">
        <v>33</v>
      </c>
      <c r="T4" s="82" t="s">
        <v>33</v>
      </c>
      <c r="U4" s="96" t="s">
        <v>33</v>
      </c>
      <c r="V4" s="96" t="s">
        <v>33</v>
      </c>
      <c r="W4" s="96" t="s">
        <v>33</v>
      </c>
      <c r="X4" s="96" t="s">
        <v>33</v>
      </c>
      <c r="Y4" s="96" t="s">
        <v>33</v>
      </c>
      <c r="Z4" s="96" t="s">
        <v>33</v>
      </c>
      <c r="AA4" s="96" t="s">
        <v>33</v>
      </c>
      <c r="AB4" s="96" t="s">
        <v>33</v>
      </c>
      <c r="AC4" s="96" t="s">
        <v>33</v>
      </c>
      <c r="AD4" s="96" t="s">
        <v>33</v>
      </c>
      <c r="AE4" s="96" t="s">
        <v>33</v>
      </c>
      <c r="AF4" s="96" t="s">
        <v>33</v>
      </c>
      <c r="AG4" s="96" t="s">
        <v>33</v>
      </c>
      <c r="AH4" s="96" t="s">
        <v>33</v>
      </c>
      <c r="AI4" s="96" t="s">
        <v>33</v>
      </c>
      <c r="AJ4" s="96" t="s">
        <v>33</v>
      </c>
      <c r="AK4" s="96" t="s">
        <v>33</v>
      </c>
      <c r="AL4" s="96" t="s">
        <v>33</v>
      </c>
      <c r="AM4" s="96" t="s">
        <v>33</v>
      </c>
      <c r="AN4" s="96" t="s">
        <v>33</v>
      </c>
      <c r="AO4" s="96" t="s">
        <v>33</v>
      </c>
      <c r="AP4" s="96" t="s">
        <v>33</v>
      </c>
      <c r="AQ4" s="96" t="s">
        <v>33</v>
      </c>
      <c r="AR4" s="96" t="s">
        <v>33</v>
      </c>
      <c r="AS4" s="96" t="s">
        <v>33</v>
      </c>
      <c r="AT4" s="96" t="s">
        <v>33</v>
      </c>
      <c r="AU4" s="96" t="s">
        <v>31</v>
      </c>
      <c r="AV4" s="96" t="s">
        <v>198</v>
      </c>
      <c r="AW4" s="82" t="s">
        <v>199</v>
      </c>
      <c r="AX4" s="82" t="s">
        <v>32</v>
      </c>
      <c r="AY4" s="82" t="s">
        <v>199</v>
      </c>
      <c r="AZ4" s="82" t="s">
        <v>32</v>
      </c>
      <c r="BA4" s="82" t="s">
        <v>199</v>
      </c>
      <c r="BB4" s="82" t="s">
        <v>32</v>
      </c>
      <c r="BC4" s="82" t="s">
        <v>200</v>
      </c>
      <c r="BD4" s="82" t="s">
        <v>200</v>
      </c>
      <c r="BE4" s="82" t="s">
        <v>200</v>
      </c>
      <c r="BF4" s="82" t="s">
        <v>200</v>
      </c>
      <c r="BG4" s="82" t="s">
        <v>200</v>
      </c>
      <c r="BH4" s="82" t="s">
        <v>200</v>
      </c>
      <c r="BI4" s="82" t="s">
        <v>200</v>
      </c>
      <c r="BJ4" s="82" t="s">
        <v>200</v>
      </c>
      <c r="BK4" s="82" t="s">
        <v>200</v>
      </c>
      <c r="BL4" s="82" t="s">
        <v>200</v>
      </c>
      <c r="BM4" s="82" t="s">
        <v>200</v>
      </c>
      <c r="BN4" s="82" t="s">
        <v>200</v>
      </c>
      <c r="BO4" s="82" t="s">
        <v>200</v>
      </c>
      <c r="BP4" s="82" t="s">
        <v>200</v>
      </c>
      <c r="BQ4" s="82" t="s">
        <v>200</v>
      </c>
      <c r="BR4" s="82" t="s">
        <v>200</v>
      </c>
      <c r="BS4" s="82" t="s">
        <v>200</v>
      </c>
      <c r="BT4" s="82" t="s">
        <v>200</v>
      </c>
      <c r="BU4" s="82" t="s">
        <v>200</v>
      </c>
      <c r="BV4" s="82" t="s">
        <v>200</v>
      </c>
    </row>
    <row r="5" spans="1:74" ht="15" hidden="1" customHeight="1">
      <c r="A5" s="82" t="s">
        <v>34</v>
      </c>
      <c r="B5" s="82" t="s">
        <v>35</v>
      </c>
      <c r="C5" s="82" t="s">
        <v>35</v>
      </c>
      <c r="D5" s="82" t="s">
        <v>35</v>
      </c>
      <c r="G5" s="96" t="s">
        <v>36</v>
      </c>
      <c r="L5" s="96" t="s">
        <v>36</v>
      </c>
      <c r="N5" s="96" t="s">
        <v>36</v>
      </c>
      <c r="S5" s="82" t="s">
        <v>192</v>
      </c>
      <c r="T5" s="82"/>
      <c r="U5" s="96" t="s">
        <v>35</v>
      </c>
      <c r="V5" s="96" t="s">
        <v>35</v>
      </c>
      <c r="W5" s="96" t="s">
        <v>35</v>
      </c>
      <c r="X5" s="96" t="s">
        <v>35</v>
      </c>
      <c r="Y5" s="96" t="s">
        <v>35</v>
      </c>
      <c r="Z5" s="96" t="s">
        <v>35</v>
      </c>
      <c r="AA5" s="96" t="s">
        <v>35</v>
      </c>
      <c r="AB5" s="96" t="s">
        <v>35</v>
      </c>
      <c r="AC5" s="96" t="s">
        <v>35</v>
      </c>
      <c r="AD5" s="96" t="s">
        <v>35</v>
      </c>
      <c r="AE5" s="96" t="s">
        <v>35</v>
      </c>
      <c r="AF5" s="96" t="s">
        <v>35</v>
      </c>
      <c r="AG5" s="96" t="s">
        <v>35</v>
      </c>
      <c r="AH5" s="96" t="s">
        <v>35</v>
      </c>
      <c r="AI5" s="96" t="s">
        <v>35</v>
      </c>
      <c r="AJ5" s="96" t="s">
        <v>35</v>
      </c>
      <c r="AK5" s="96" t="s">
        <v>35</v>
      </c>
      <c r="AL5" s="96" t="s">
        <v>35</v>
      </c>
      <c r="AM5" s="96" t="s">
        <v>35</v>
      </c>
      <c r="AN5" s="96" t="s">
        <v>35</v>
      </c>
      <c r="AO5" s="96" t="s">
        <v>35</v>
      </c>
      <c r="AP5" s="96" t="s">
        <v>35</v>
      </c>
      <c r="AQ5" s="96" t="s">
        <v>35</v>
      </c>
      <c r="AR5" s="96" t="s">
        <v>35</v>
      </c>
      <c r="AS5" s="96" t="s">
        <v>35</v>
      </c>
      <c r="AT5" s="96" t="s">
        <v>35</v>
      </c>
      <c r="AU5" s="96"/>
      <c r="AV5" s="96" t="s">
        <v>36</v>
      </c>
      <c r="AW5" s="82" t="s">
        <v>201</v>
      </c>
      <c r="AX5" s="82" t="s">
        <v>201</v>
      </c>
      <c r="AY5" s="82" t="s">
        <v>202</v>
      </c>
      <c r="AZ5" s="82" t="s">
        <v>202</v>
      </c>
      <c r="BA5" s="82" t="s">
        <v>203</v>
      </c>
      <c r="BB5" s="82" t="s">
        <v>203</v>
      </c>
      <c r="BC5" s="82"/>
      <c r="BD5" s="82"/>
      <c r="BE5" s="82"/>
      <c r="BF5" s="82"/>
      <c r="BG5" s="82"/>
      <c r="BH5" s="82"/>
      <c r="BI5" s="82"/>
      <c r="BJ5" s="82"/>
      <c r="BK5" s="82"/>
      <c r="BL5" s="82"/>
      <c r="BM5" s="82"/>
      <c r="BN5" s="82"/>
      <c r="BO5" s="82"/>
      <c r="BP5" s="82"/>
      <c r="BQ5" s="82"/>
      <c r="BR5" s="82"/>
      <c r="BS5" s="82"/>
      <c r="BT5" s="82"/>
      <c r="BU5" s="82"/>
      <c r="BV5" s="82"/>
    </row>
    <row r="6" spans="1:74" ht="15" hidden="1" customHeight="1">
      <c r="A6" s="82" t="s">
        <v>41</v>
      </c>
      <c r="B6" s="82"/>
      <c r="C6" s="82"/>
      <c r="D6" s="82"/>
      <c r="S6" s="82">
        <v>1</v>
      </c>
      <c r="T6" s="82"/>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W6" s="82"/>
      <c r="AX6" s="82"/>
      <c r="AY6" s="82"/>
      <c r="AZ6" s="82"/>
      <c r="BA6" s="82"/>
      <c r="BB6" s="82"/>
      <c r="BC6" s="82"/>
      <c r="BD6" s="82"/>
      <c r="BE6" s="82"/>
      <c r="BF6" s="82"/>
      <c r="BG6" s="82"/>
      <c r="BH6" s="82"/>
      <c r="BI6" s="82"/>
      <c r="BJ6" s="82"/>
      <c r="BK6" s="82"/>
      <c r="BL6" s="82"/>
      <c r="BM6" s="82"/>
      <c r="BN6" s="82"/>
      <c r="BO6" s="82"/>
      <c r="BP6" s="82"/>
      <c r="BQ6" s="82"/>
      <c r="BR6" s="82"/>
      <c r="BS6" s="82"/>
      <c r="BT6" s="82"/>
      <c r="BU6" s="82"/>
      <c r="BV6" s="82"/>
    </row>
    <row r="7" spans="1:74" ht="15" hidden="1" customHeight="1">
      <c r="A7" s="82" t="s">
        <v>42</v>
      </c>
      <c r="B7" s="82" t="s">
        <v>11</v>
      </c>
      <c r="C7" s="82" t="s">
        <v>11</v>
      </c>
      <c r="D7" s="82" t="s">
        <v>11</v>
      </c>
      <c r="S7" s="82"/>
      <c r="T7" s="82"/>
      <c r="U7" s="96" t="s">
        <v>11</v>
      </c>
      <c r="V7" s="82" t="s">
        <v>43</v>
      </c>
      <c r="W7" s="82" t="s">
        <v>44</v>
      </c>
      <c r="X7" s="82" t="s">
        <v>45</v>
      </c>
      <c r="Y7" s="82" t="s">
        <v>46</v>
      </c>
      <c r="Z7" s="82" t="s">
        <v>47</v>
      </c>
      <c r="AA7" s="82" t="s">
        <v>48</v>
      </c>
      <c r="AB7" s="82" t="s">
        <v>49</v>
      </c>
      <c r="AC7" s="82" t="s">
        <v>50</v>
      </c>
      <c r="AD7" s="82" t="s">
        <v>51</v>
      </c>
      <c r="AE7" s="82" t="s">
        <v>52</v>
      </c>
      <c r="AF7" s="82" t="s">
        <v>53</v>
      </c>
      <c r="AG7" s="82" t="s">
        <v>54</v>
      </c>
      <c r="AH7" s="82" t="s">
        <v>55</v>
      </c>
      <c r="AI7" s="82" t="s">
        <v>56</v>
      </c>
      <c r="AJ7" s="82" t="s">
        <v>57</v>
      </c>
      <c r="AK7" s="82" t="s">
        <v>58</v>
      </c>
      <c r="AL7" s="82" t="s">
        <v>59</v>
      </c>
      <c r="AM7" s="82" t="s">
        <v>60</v>
      </c>
      <c r="AN7" s="82" t="s">
        <v>61</v>
      </c>
      <c r="AO7" s="82" t="s">
        <v>62</v>
      </c>
      <c r="AP7" s="82" t="s">
        <v>63</v>
      </c>
      <c r="AQ7" s="82" t="s">
        <v>64</v>
      </c>
      <c r="AR7" s="82" t="s">
        <v>65</v>
      </c>
      <c r="AS7" s="82" t="s">
        <v>66</v>
      </c>
      <c r="AT7" s="82" t="s">
        <v>67</v>
      </c>
      <c r="AW7" s="82"/>
      <c r="AX7" s="82"/>
      <c r="AY7" s="82"/>
      <c r="AZ7" s="82"/>
      <c r="BA7" s="82"/>
      <c r="BB7" s="82"/>
      <c r="BC7" s="82"/>
      <c r="BD7" s="82"/>
      <c r="BE7" s="82"/>
      <c r="BF7" s="82"/>
      <c r="BG7" s="82"/>
      <c r="BH7" s="82"/>
      <c r="BI7" s="82"/>
      <c r="BJ7" s="82"/>
      <c r="BK7" s="82"/>
      <c r="BL7" s="82"/>
      <c r="BM7" s="82"/>
      <c r="BN7" s="82"/>
      <c r="BO7" s="82"/>
      <c r="BP7" s="82"/>
      <c r="BQ7" s="82"/>
      <c r="BR7" s="82"/>
      <c r="BS7" s="82"/>
      <c r="BT7" s="82"/>
      <c r="BU7" s="82"/>
      <c r="BV7" s="82"/>
    </row>
    <row r="8" spans="1:74" s="121" customFormat="1" ht="29.45" customHeight="1">
      <c r="A8" s="5" t="s">
        <v>68</v>
      </c>
      <c r="B8" s="5" t="s">
        <v>204</v>
      </c>
      <c r="C8" s="196" t="s">
        <v>205</v>
      </c>
      <c r="D8" s="196" t="s">
        <v>206</v>
      </c>
      <c r="E8" s="196" t="s">
        <v>207</v>
      </c>
      <c r="F8" s="5" t="s">
        <v>208</v>
      </c>
      <c r="G8" s="5"/>
      <c r="H8" s="5" t="s">
        <v>209</v>
      </c>
      <c r="I8" s="5" t="s">
        <v>210</v>
      </c>
      <c r="J8" s="5"/>
      <c r="K8" s="5" t="s">
        <v>211</v>
      </c>
      <c r="L8" s="5"/>
      <c r="M8" s="5" t="s">
        <v>212</v>
      </c>
      <c r="N8" s="5"/>
      <c r="O8" s="5" t="s">
        <v>213</v>
      </c>
      <c r="P8" s="5" t="s">
        <v>214</v>
      </c>
      <c r="Q8" s="5" t="s">
        <v>215</v>
      </c>
      <c r="R8" s="5" t="s">
        <v>216</v>
      </c>
      <c r="S8" s="196" t="s">
        <v>217</v>
      </c>
      <c r="T8" s="196" t="s">
        <v>218</v>
      </c>
      <c r="U8" s="19" t="s">
        <v>219</v>
      </c>
      <c r="V8" s="19" t="str">
        <f>CONCATENATE(U8,".",V7)</f>
        <v>Full Address.bg</v>
      </c>
      <c r="W8" s="19" t="str">
        <f>CONCATENATE(U8,".",W7)</f>
        <v>Full Address.cs</v>
      </c>
      <c r="X8" s="19" t="str">
        <f>CONCATENATE(U8,".",X7)</f>
        <v>Full Address.da</v>
      </c>
      <c r="Y8" s="19" t="str">
        <f>CONCATENATE(U8,".",Y7)</f>
        <v>Full Address.de</v>
      </c>
      <c r="Z8" s="19" t="str">
        <f>CONCATENATE(U8,".",Z7)</f>
        <v>Full Address.el</v>
      </c>
      <c r="AA8" s="19" t="str">
        <f>CONCATENATE(U8,".",AA7)</f>
        <v>Full Address.es</v>
      </c>
      <c r="AB8" s="19" t="str">
        <f>CONCATENATE(U8,".",AB7)</f>
        <v>Full Address.et</v>
      </c>
      <c r="AC8" s="19" t="str">
        <f>CONCATENATE(U8,".",AC7)</f>
        <v>Full Address.fi</v>
      </c>
      <c r="AD8" s="19" t="str">
        <f>CONCATENATE(U8,".",AD7)</f>
        <v>Full Address.fr</v>
      </c>
      <c r="AE8" s="19" t="str">
        <f>CONCATENATE(U8,".",AE7)</f>
        <v>Full Address.ga</v>
      </c>
      <c r="AF8" s="19" t="str">
        <f>CONCATENATE(U8,".",AF7)</f>
        <v>Full Address.hr</v>
      </c>
      <c r="AG8" s="19" t="str">
        <f>CONCATENATE(U8,".",AG7)</f>
        <v>Full Address.hu</v>
      </c>
      <c r="AH8" s="19" t="str">
        <f>CONCATENATE(U8,".",AH7)</f>
        <v>Full Address.is</v>
      </c>
      <c r="AI8" s="19" t="str">
        <f>CONCATENATE(U8,".",AI7)</f>
        <v>Full Address.it</v>
      </c>
      <c r="AJ8" s="19" t="str">
        <f>CONCATENATE(U8,".",AJ7)</f>
        <v>Full Address.lt</v>
      </c>
      <c r="AK8" s="19" t="str">
        <f>CONCATENATE(U8,".",AK7)</f>
        <v>Full Address.lv</v>
      </c>
      <c r="AL8" s="19" t="str">
        <f>CONCATENATE(U8,".",AL7)</f>
        <v>Full Address.mt</v>
      </c>
      <c r="AM8" s="19" t="str">
        <f>CONCATENATE(U8,".",AM7)</f>
        <v>Full Address.nl</v>
      </c>
      <c r="AN8" s="19" t="str">
        <f>CONCATENATE(U8,".",AN7)</f>
        <v>Full Address.no</v>
      </c>
      <c r="AO8" s="19" t="str">
        <f>CONCATENATE(U8,".",AO7)</f>
        <v>Full Address.pl</v>
      </c>
      <c r="AP8" s="19" t="str">
        <f>CONCATENATE(U8,".",AP7)</f>
        <v>Full Address.pt</v>
      </c>
      <c r="AQ8" s="19" t="str">
        <f>CONCATENATE(U8,".",AQ7)</f>
        <v>Full Address.ro</v>
      </c>
      <c r="AR8" s="19" t="str">
        <f>CONCATENATE(U8,".",AR7)</f>
        <v>Full Address.sk</v>
      </c>
      <c r="AS8" s="19" t="str">
        <f>CONCATENATE(U8,".",AS7)</f>
        <v>Full Address.sl</v>
      </c>
      <c r="AT8" s="19" t="str">
        <f>CONCATENATE(U8,".",AT7)</f>
        <v>Full Address.sv</v>
      </c>
      <c r="AU8" s="5" t="s">
        <v>220</v>
      </c>
      <c r="AV8" s="5"/>
      <c r="AW8" s="5" t="s">
        <v>221</v>
      </c>
      <c r="AX8" s="5"/>
      <c r="AY8" s="5" t="s">
        <v>222</v>
      </c>
      <c r="AZ8" s="5"/>
      <c r="BA8" s="5" t="s">
        <v>223</v>
      </c>
      <c r="BB8" s="5"/>
      <c r="BC8" s="19" t="s">
        <v>224</v>
      </c>
      <c r="BD8" s="19" t="s">
        <v>224</v>
      </c>
      <c r="BE8" s="19" t="s">
        <v>224</v>
      </c>
      <c r="BF8" s="19" t="s">
        <v>224</v>
      </c>
      <c r="BG8" s="19" t="s">
        <v>224</v>
      </c>
      <c r="BH8" s="19" t="s">
        <v>224</v>
      </c>
      <c r="BI8" s="19" t="s">
        <v>224</v>
      </c>
      <c r="BJ8" s="19" t="s">
        <v>224</v>
      </c>
      <c r="BK8" s="19" t="s">
        <v>224</v>
      </c>
      <c r="BL8" s="19" t="s">
        <v>224</v>
      </c>
      <c r="BM8" s="19" t="s">
        <v>224</v>
      </c>
      <c r="BN8" s="19" t="s">
        <v>224</v>
      </c>
      <c r="BO8" s="19" t="s">
        <v>224</v>
      </c>
      <c r="BP8" s="19" t="s">
        <v>224</v>
      </c>
      <c r="BQ8" s="19" t="s">
        <v>224</v>
      </c>
      <c r="BR8" s="19" t="s">
        <v>224</v>
      </c>
      <c r="BS8" s="19" t="s">
        <v>224</v>
      </c>
      <c r="BT8" s="19" t="s">
        <v>224</v>
      </c>
      <c r="BU8" s="19" t="s">
        <v>224</v>
      </c>
      <c r="BV8" s="19" t="s">
        <v>224</v>
      </c>
    </row>
    <row r="9" spans="1:74" s="73" customFormat="1" ht="56.25">
      <c r="A9" s="6" t="s">
        <v>70</v>
      </c>
      <c r="B9" s="7"/>
      <c r="C9" s="77"/>
      <c r="D9" s="7"/>
      <c r="E9" s="77" t="s">
        <v>225</v>
      </c>
      <c r="F9" s="7"/>
      <c r="G9" s="7"/>
      <c r="H9" s="7"/>
      <c r="I9" s="77"/>
      <c r="J9" s="7"/>
      <c r="K9" s="77" t="s">
        <v>226</v>
      </c>
      <c r="L9" s="7"/>
      <c r="M9" s="7" t="s">
        <v>227</v>
      </c>
      <c r="N9" s="7"/>
      <c r="O9" s="7" t="s">
        <v>228</v>
      </c>
      <c r="P9" s="77" t="s">
        <v>229</v>
      </c>
      <c r="Q9" s="7" t="s">
        <v>228</v>
      </c>
      <c r="R9" s="77" t="s">
        <v>229</v>
      </c>
      <c r="S9" s="7"/>
      <c r="T9" s="77"/>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77" t="s">
        <v>230</v>
      </c>
      <c r="AV9" s="7"/>
      <c r="AW9" s="7" t="s">
        <v>231</v>
      </c>
      <c r="AX9" s="77"/>
      <c r="AY9" s="7" t="s">
        <v>232</v>
      </c>
      <c r="AZ9" s="77"/>
      <c r="BA9" s="7" t="s">
        <v>233</v>
      </c>
      <c r="BB9" s="77"/>
      <c r="BC9" s="7" t="str">
        <f>IFERROR((CONCATENATE("Assessment -  ",INDEX(Assessments[],1,1))),"")</f>
        <v xml:space="preserve">Assessment -  </v>
      </c>
      <c r="BD9" s="7" t="str">
        <f>IFERROR((CONCATENATE("Assessment -  ",INDEX(Assessments[],2,1))),"")</f>
        <v/>
      </c>
      <c r="BE9" s="7" t="str">
        <f>IFERROR((CONCATENATE("Assessment -  ",INDEX(Assessments[],3,1))),"")</f>
        <v/>
      </c>
      <c r="BF9" s="7" t="str">
        <f>IFERROR((CONCATENATE("Assessment -  ",INDEX(Assessments[],4,1))),"")</f>
        <v/>
      </c>
      <c r="BG9" s="7" t="str">
        <f>IFERROR((CONCATENATE("Assessment -  ",INDEX(Assessments[],5,1))),"")</f>
        <v/>
      </c>
      <c r="BH9" s="7" t="str">
        <f>IFERROR((CONCATENATE("Assessment -  ",INDEX(Assessments[],6,1))),"")</f>
        <v/>
      </c>
      <c r="BI9" s="7" t="str">
        <f>IFERROR((CONCATENATE("Assessment -  ",INDEX(Assessments[],7,1))),"")</f>
        <v/>
      </c>
      <c r="BJ9" s="7" t="str">
        <f>IFERROR((CONCATENATE("Assessment -  ",INDEX(Assessments[],8,1))),"")</f>
        <v/>
      </c>
      <c r="BK9" s="7" t="str">
        <f>IFERROR((CONCATENATE("Assessment -  ",INDEX(Assessments[],9,1))),"")</f>
        <v/>
      </c>
      <c r="BL9" s="7" t="str">
        <f>IFERROR((CONCATENATE("Assessment -  ",INDEX(Assessments[],10,1))),"")</f>
        <v/>
      </c>
      <c r="BM9" s="7" t="str">
        <f>IFERROR((CONCATENATE("Assessment -  ",INDEX(Assessments[],11,1))),"")</f>
        <v/>
      </c>
      <c r="BN9" s="7" t="str">
        <f>IFERROR((CONCATENATE("Assessment -  ",INDEX(Assessments[],12,1))),"")</f>
        <v/>
      </c>
      <c r="BO9" s="7" t="str">
        <f>IFERROR((CONCATENATE("Assessment -  ",INDEX(Assessments[],13,1))),"")</f>
        <v/>
      </c>
      <c r="BP9" s="7" t="str">
        <f>IFERROR((CONCATENATE("Assessment -  ",INDEX(Assessments[],14,1))),"")</f>
        <v/>
      </c>
      <c r="BQ9" s="7" t="str">
        <f>IFERROR((CONCATENATE("Assessment -  ",INDEX(Assessments[],15,1))),"")</f>
        <v/>
      </c>
      <c r="BR9" s="7" t="str">
        <f>IFERROR((CONCATENATE("Assessment -  ",INDEX(Assessments[],16,1))),"")</f>
        <v/>
      </c>
      <c r="BS9" s="7" t="str">
        <f>IFERROR((CONCATENATE("Assessment -  ",INDEX(Assessments[],17,1))),"")</f>
        <v/>
      </c>
      <c r="BT9" s="7" t="str">
        <f>IFERROR((CONCATENATE("Assessment -  ",INDEX(Assessments[],18,1))),"")</f>
        <v/>
      </c>
      <c r="BU9" s="7" t="str">
        <f>IFERROR((CONCATENATE("Assessment -  ",INDEX(Assessments[],19,1))),"")</f>
        <v/>
      </c>
      <c r="BV9" s="7" t="str">
        <f>IFERROR((CONCATENATE("Assessment -  ",INDEX(Assessments[],20,1))),"")</f>
        <v/>
      </c>
    </row>
    <row r="10" spans="1:74" ht="15" customHeight="1" thickBot="1">
      <c r="A10" s="97" t="s">
        <v>42</v>
      </c>
      <c r="B10" s="86" t="s">
        <v>12</v>
      </c>
      <c r="C10" s="86" t="s">
        <v>12</v>
      </c>
      <c r="D10" s="86" t="s">
        <v>12</v>
      </c>
      <c r="E10" s="97"/>
      <c r="F10" s="86"/>
      <c r="G10" s="86"/>
      <c r="H10" s="86"/>
      <c r="I10" s="97"/>
      <c r="J10" s="86"/>
      <c r="K10" s="97"/>
      <c r="L10" s="86"/>
      <c r="M10" s="86"/>
      <c r="N10" s="86"/>
      <c r="O10" s="86"/>
      <c r="P10" s="97"/>
      <c r="Q10" s="86"/>
      <c r="R10" s="97"/>
      <c r="S10" s="86"/>
      <c r="T10" s="97"/>
      <c r="U10" s="98"/>
      <c r="V10" s="86" t="s">
        <v>84</v>
      </c>
      <c r="W10" s="86" t="s">
        <v>85</v>
      </c>
      <c r="X10" s="86" t="s">
        <v>86</v>
      </c>
      <c r="Y10" s="86" t="s">
        <v>87</v>
      </c>
      <c r="Z10" s="86" t="s">
        <v>88</v>
      </c>
      <c r="AA10" s="86" t="s">
        <v>89</v>
      </c>
      <c r="AB10" s="86" t="s">
        <v>90</v>
      </c>
      <c r="AC10" s="86" t="s">
        <v>91</v>
      </c>
      <c r="AD10" s="86" t="s">
        <v>92</v>
      </c>
      <c r="AE10" s="86" t="s">
        <v>93</v>
      </c>
      <c r="AF10" s="86" t="s">
        <v>94</v>
      </c>
      <c r="AG10" s="86" t="s">
        <v>95</v>
      </c>
      <c r="AH10" s="86" t="s">
        <v>96</v>
      </c>
      <c r="AI10" s="86" t="s">
        <v>97</v>
      </c>
      <c r="AJ10" s="86" t="s">
        <v>98</v>
      </c>
      <c r="AK10" s="86" t="s">
        <v>99</v>
      </c>
      <c r="AL10" s="86" t="s">
        <v>100</v>
      </c>
      <c r="AM10" s="86" t="s">
        <v>14</v>
      </c>
      <c r="AN10" s="86" t="s">
        <v>101</v>
      </c>
      <c r="AO10" s="86" t="s">
        <v>102</v>
      </c>
      <c r="AP10" s="86" t="s">
        <v>103</v>
      </c>
      <c r="AQ10" s="86" t="s">
        <v>104</v>
      </c>
      <c r="AR10" s="86" t="s">
        <v>105</v>
      </c>
      <c r="AS10" s="86" t="s">
        <v>106</v>
      </c>
      <c r="AT10" s="86" t="s">
        <v>107</v>
      </c>
      <c r="AU10" s="97"/>
      <c r="AV10" s="86"/>
      <c r="AW10" s="86"/>
      <c r="AX10" s="97"/>
      <c r="AY10" s="86"/>
      <c r="AZ10" s="97"/>
      <c r="BA10" s="86"/>
      <c r="BB10" s="97"/>
      <c r="BC10" s="86"/>
      <c r="BD10" s="86"/>
      <c r="BE10" s="86"/>
      <c r="BF10" s="86"/>
      <c r="BG10" s="86"/>
      <c r="BH10" s="86"/>
      <c r="BI10" s="86"/>
      <c r="BJ10" s="86"/>
      <c r="BK10" s="86"/>
      <c r="BL10" s="86"/>
      <c r="BM10" s="86"/>
      <c r="BN10" s="86"/>
      <c r="BO10" s="86"/>
      <c r="BP10" s="86"/>
      <c r="BQ10" s="86"/>
      <c r="BR10" s="86"/>
      <c r="BS10" s="86"/>
      <c r="BT10" s="86"/>
      <c r="BU10" s="86"/>
      <c r="BV10" s="86"/>
    </row>
    <row r="11" spans="1:74" s="216" customFormat="1" ht="28.5" customHeight="1">
      <c r="A11" s="188" t="s">
        <v>109</v>
      </c>
      <c r="B11" s="211"/>
      <c r="C11" s="206"/>
      <c r="D11" s="206"/>
      <c r="E11" s="206"/>
      <c r="F11" s="206"/>
      <c r="G11" s="206"/>
      <c r="H11" s="206"/>
      <c r="I11" s="187" t="s">
        <v>2382</v>
      </c>
      <c r="J11" s="206"/>
      <c r="K11" s="187" t="s">
        <v>1681</v>
      </c>
      <c r="L11" s="206"/>
      <c r="M11" s="187" t="s">
        <v>2382</v>
      </c>
      <c r="N11" s="206"/>
      <c r="O11" s="187"/>
      <c r="P11" s="206"/>
      <c r="Q11" s="187"/>
      <c r="R11" s="206"/>
      <c r="S11" s="206"/>
      <c r="T11" s="206"/>
      <c r="U11" s="206"/>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187" t="s">
        <v>2463</v>
      </c>
      <c r="AV11" s="206"/>
      <c r="AW11" s="187" t="s">
        <v>5377</v>
      </c>
      <c r="AX11" s="206"/>
      <c r="AY11" s="187" t="s">
        <v>5381</v>
      </c>
      <c r="AZ11" s="206"/>
      <c r="BA11" s="187"/>
      <c r="BB11" s="206"/>
      <c r="BC11" s="206"/>
      <c r="BD11" s="206"/>
      <c r="BE11" s="206"/>
      <c r="BF11" s="206"/>
      <c r="BG11" s="206"/>
      <c r="BH11" s="206"/>
      <c r="BI11" s="206"/>
      <c r="BJ11" s="206"/>
      <c r="BK11" s="206"/>
      <c r="BL11" s="206"/>
      <c r="BM11" s="206"/>
      <c r="BN11" s="206"/>
      <c r="BO11" s="206"/>
      <c r="BP11" s="206"/>
      <c r="BQ11" s="206"/>
      <c r="BR11" s="206"/>
      <c r="BS11" s="206"/>
      <c r="BT11" s="206"/>
      <c r="BU11" s="206"/>
      <c r="BV11" s="206"/>
    </row>
    <row r="12" spans="1:74" ht="29.85" hidden="1" customHeight="1">
      <c r="A12" s="99"/>
      <c r="B12" s="81" t="s">
        <v>234</v>
      </c>
      <c r="C12" s="81" t="s">
        <v>235</v>
      </c>
      <c r="D12" s="81" t="s">
        <v>236</v>
      </c>
      <c r="E12" s="81" t="s">
        <v>237</v>
      </c>
      <c r="F12" s="81" t="s">
        <v>238</v>
      </c>
      <c r="G12" s="81" t="s">
        <v>239</v>
      </c>
      <c r="H12" s="81" t="s">
        <v>240</v>
      </c>
      <c r="I12" s="81" t="s">
        <v>241</v>
      </c>
      <c r="J12" s="81" t="s">
        <v>242</v>
      </c>
      <c r="K12" s="81" t="s">
        <v>243</v>
      </c>
      <c r="L12" s="81" t="s">
        <v>244</v>
      </c>
      <c r="M12" s="81" t="s">
        <v>245</v>
      </c>
      <c r="N12" s="81" t="s">
        <v>246</v>
      </c>
      <c r="O12" s="81" t="s">
        <v>247</v>
      </c>
      <c r="P12" s="81" t="s">
        <v>248</v>
      </c>
      <c r="Q12" s="81" t="s">
        <v>249</v>
      </c>
      <c r="R12" s="81" t="s">
        <v>250</v>
      </c>
      <c r="S12" s="81" t="s">
        <v>251</v>
      </c>
      <c r="T12" s="81" t="s">
        <v>252</v>
      </c>
      <c r="U12" s="81" t="s">
        <v>253</v>
      </c>
      <c r="V12" s="81" t="s">
        <v>254</v>
      </c>
      <c r="W12" s="81" t="s">
        <v>255</v>
      </c>
      <c r="X12" s="81" t="s">
        <v>256</v>
      </c>
      <c r="Y12" s="81" t="s">
        <v>257</v>
      </c>
      <c r="Z12" s="81" t="s">
        <v>258</v>
      </c>
      <c r="AA12" s="81" t="s">
        <v>259</v>
      </c>
      <c r="AB12" s="81" t="s">
        <v>260</v>
      </c>
      <c r="AC12" s="81" t="s">
        <v>261</v>
      </c>
      <c r="AD12" s="81" t="s">
        <v>262</v>
      </c>
      <c r="AE12" s="81" t="s">
        <v>263</v>
      </c>
      <c r="AF12" s="81" t="s">
        <v>264</v>
      </c>
      <c r="AG12" s="81" t="s">
        <v>265</v>
      </c>
      <c r="AH12" s="81" t="s">
        <v>266</v>
      </c>
      <c r="AI12" s="81" t="s">
        <v>267</v>
      </c>
      <c r="AJ12" s="81" t="s">
        <v>268</v>
      </c>
      <c r="AK12" s="81" t="s">
        <v>269</v>
      </c>
      <c r="AL12" s="81" t="s">
        <v>270</v>
      </c>
      <c r="AM12" s="81" t="s">
        <v>271</v>
      </c>
      <c r="AN12" s="81" t="s">
        <v>272</v>
      </c>
      <c r="AO12" s="81" t="s">
        <v>273</v>
      </c>
      <c r="AP12" s="81" t="s">
        <v>274</v>
      </c>
      <c r="AQ12" s="81" t="s">
        <v>275</v>
      </c>
      <c r="AR12" s="81" t="s">
        <v>276</v>
      </c>
      <c r="AS12" s="81" t="s">
        <v>277</v>
      </c>
      <c r="AT12" s="81" t="s">
        <v>278</v>
      </c>
      <c r="AU12" s="81" t="s">
        <v>279</v>
      </c>
      <c r="AV12" s="81" t="s">
        <v>280</v>
      </c>
      <c r="AW12" s="81" t="s">
        <v>281</v>
      </c>
      <c r="AX12" s="81" t="s">
        <v>282</v>
      </c>
      <c r="AY12" s="81" t="s">
        <v>283</v>
      </c>
      <c r="AZ12" s="81" t="s">
        <v>284</v>
      </c>
      <c r="BA12" s="81" t="s">
        <v>285</v>
      </c>
      <c r="BB12" s="81" t="s">
        <v>286</v>
      </c>
      <c r="BC12" s="81" t="s">
        <v>287</v>
      </c>
      <c r="BD12" s="81" t="s">
        <v>288</v>
      </c>
      <c r="BE12" s="81" t="s">
        <v>289</v>
      </c>
      <c r="BF12" s="132" t="s">
        <v>290</v>
      </c>
      <c r="BG12" s="132" t="s">
        <v>291</v>
      </c>
      <c r="BH12" s="132" t="s">
        <v>292</v>
      </c>
      <c r="BI12" s="132" t="s">
        <v>293</v>
      </c>
      <c r="BJ12" s="132" t="s">
        <v>294</v>
      </c>
      <c r="BK12" s="132" t="s">
        <v>295</v>
      </c>
      <c r="BL12" s="132" t="s">
        <v>296</v>
      </c>
      <c r="BM12" s="132" t="s">
        <v>297</v>
      </c>
      <c r="BN12" s="132" t="s">
        <v>298</v>
      </c>
      <c r="BO12" s="132" t="s">
        <v>299</v>
      </c>
      <c r="BP12" s="132" t="s">
        <v>300</v>
      </c>
      <c r="BQ12" s="132" t="s">
        <v>301</v>
      </c>
      <c r="BR12" s="132" t="s">
        <v>302</v>
      </c>
      <c r="BS12" s="132" t="s">
        <v>303</v>
      </c>
      <c r="BT12" s="132" t="s">
        <v>304</v>
      </c>
      <c r="BU12" s="132" t="s">
        <v>305</v>
      </c>
      <c r="BV12" s="132" t="s">
        <v>306</v>
      </c>
    </row>
    <row r="13" spans="1:74" ht="29.85" customHeight="1">
      <c r="B13" s="81" t="str">
        <f>CONCATENATE(Persons[[#This Row],[Person.givenNames.Property.content.en]]," ",Persons[[#This Row],[Person.familyName.Property.content.en]])</f>
        <v>Zed StringStrummer</v>
      </c>
      <c r="C13" s="228" t="s">
        <v>5365</v>
      </c>
      <c r="D13" s="228" t="s">
        <v>5366</v>
      </c>
      <c r="E13" s="229">
        <v>36526</v>
      </c>
      <c r="F13" s="90" t="s">
        <v>5310</v>
      </c>
      <c r="G13" s="176" t="str" cm="1">
        <f t="array" ref="G13">MultiMatch(Persons[[#This Row],[Column2]],Vocabularies[name],0)</f>
        <v>1227</v>
      </c>
      <c r="H13" s="89" t="s">
        <v>5367</v>
      </c>
      <c r="I13" s="132" t="str">
        <f t="shared" ref="I13" si="0">IF(ISBLANK(I$11),"",I$11)</f>
        <v>Spain</v>
      </c>
      <c r="J13" s="89" t="str">
        <f>IFERROR(VLOOKUP(Persons[[#This Row],[Person.nationalId.identifierSchemeAgencyName.NestedProperty.]],References!$A$44:$F$325,5),"")</f>
        <v>ESP</v>
      </c>
      <c r="K13" s="132" t="str">
        <f t="shared" ref="K13" si="1">IF(ISBLANK(K$11),"",K$11)</f>
        <v>Åland Islands</v>
      </c>
      <c r="L13" s="81" t="str" cm="1">
        <f t="array" ref="L13">MultiMatch(Persons[[#This Row],[Person.placeOfBirth.spatialCode.Reference.]],Vocabularies[name],0)</f>
        <v>45</v>
      </c>
      <c r="M13" s="132" t="str">
        <f t="shared" ref="M13" si="2">IF(ISBLANK(M$11),"",M$11)</f>
        <v>Spain</v>
      </c>
      <c r="N13" s="81" t="str" cm="1">
        <f t="array" ref="N13">MultiMatch(Persons[[#This Row],[Person.citizenshipCountry.citizenshipCountry.MultiReference.]],Vocabularies[name],0)</f>
        <v>279</v>
      </c>
      <c r="O13" s="91" t="str">
        <f>IF(ISBLANK(O$11),"",O$11)</f>
        <v/>
      </c>
      <c r="P13" s="89"/>
      <c r="Q13" s="81" t="str">
        <f t="shared" ref="Q13" si="3">IF(ISBLANK(Q$11),"",Q$11)</f>
        <v/>
      </c>
      <c r="R13" s="89"/>
      <c r="S13" s="230" t="s">
        <v>5383</v>
      </c>
      <c r="T13" s="230" t="s">
        <v>5384</v>
      </c>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132" t="str">
        <f t="shared" ref="AU13" si="4">IF(ISBLANK(AU$11),"",AU$11)</f>
        <v>United Kingdom</v>
      </c>
      <c r="AV13" s="89" t="str" cm="1">
        <f t="array" ref="AV13">MultiMatch(Persons[[#This Row],[Person.contactPoint'#1.postalAddress'#1.countryCode.Reference.]],Vocabularies[name],0)</f>
        <v>306</v>
      </c>
      <c r="AW13" s="89" t="str">
        <f t="shared" ref="AW13" si="5">IF(ISBLANK(AW$11),"",AW$11)</f>
        <v>Guitar Hero Diploma</v>
      </c>
      <c r="AX13" s="81" t="str" cm="1">
        <f t="array" ref="AX13">MultiMatch(Persons[[#This Row],[Person.achieved.MultiReference.LearningAchievement.]],AchievementNames,0)</f>
        <v>13</v>
      </c>
      <c r="AY13" s="89" t="str">
        <f t="shared" ref="AY13" si="6">IF(ISBLANK(AY$11),"",AY$11)</f>
        <v>Music Technology Foundations</v>
      </c>
      <c r="AZ13" s="81" t="str" cm="1">
        <f t="array" ref="AZ13">MultiMatch(Persons[[#This Row],[Person.performed.MultiReference.LearningActivity.]],ActivityNames,0)</f>
        <v>13</v>
      </c>
      <c r="BA13" s="89" t="str">
        <f>IF(ISBLANK(BA$11),"",BA$11)</f>
        <v/>
      </c>
      <c r="BB13" s="81" t="str" cm="1">
        <f t="array" ref="BB13">MultiMatch(Persons[[#This Row],[Person.entitledTo.MultiReference.Entitlement.]],EntitlementNames,0)</f>
        <v/>
      </c>
      <c r="BC13" s="201"/>
      <c r="BD13" s="201"/>
      <c r="BE13" s="201"/>
      <c r="BF13" s="201"/>
      <c r="BG13" s="201"/>
      <c r="BH13" s="201"/>
      <c r="BI13" s="201"/>
      <c r="BJ13" s="201"/>
      <c r="BK13" s="201"/>
      <c r="BL13" s="201"/>
      <c r="BM13" s="201"/>
      <c r="BN13" s="201"/>
      <c r="BO13" s="201"/>
      <c r="BP13" s="201"/>
      <c r="BQ13" s="201"/>
      <c r="BR13" s="201"/>
      <c r="BS13" s="201"/>
      <c r="BT13" s="201"/>
      <c r="BU13" s="201"/>
      <c r="BV13" s="201"/>
    </row>
  </sheetData>
  <sheetProtection formatColumns="0"/>
  <phoneticPr fontId="12" type="noConversion"/>
  <dataValidations count="6">
    <dataValidation type="list" allowBlank="1" showInputMessage="1" showErrorMessage="1" sqref="I11 K11 M11 I13 K13 M13 AU11 AU13">
      <formula1>CountryNames</formula1>
    </dataValidation>
    <dataValidation type="list" allowBlank="1" showInputMessage="1" showErrorMessage="1" sqref="AW11 AW13">
      <formula1>AchievementNames</formula1>
    </dataValidation>
    <dataValidation type="list" allowBlank="1" showInputMessage="1" showErrorMessage="1" sqref="AY11 AY13">
      <formula1>ActivityNames</formula1>
    </dataValidation>
    <dataValidation type="list" allowBlank="1" showInputMessage="1" showErrorMessage="1" sqref="BA11 BA13">
      <formula1>EntitlementNames</formula1>
    </dataValidation>
    <dataValidation type="list" allowBlank="1" showInputMessage="1" showErrorMessage="1" sqref="F13">
      <formula1>GenderNames</formula1>
    </dataValidation>
    <dataValidation type="date" operator="greaterThan" allowBlank="1" showInputMessage="1" showErrorMessage="1" sqref="E13">
      <formula1>1</formula1>
    </dataValidation>
  </dataValidations>
  <hyperlinks>
    <hyperlink ref="S13" r:id="rId1"/>
    <hyperlink ref="T13" r:id="rId2" display="esayosll@everis.com"/>
  </hyperlinks>
  <pageMargins left="0.7" right="0.7" top="0.75" bottom="0.75" header="0.3" footer="0.3"/>
  <pageSetup paperSize="9" orientation="portrait" horizontalDpi="300" verticalDpi="300"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S14"/>
  <sheetViews>
    <sheetView zoomScale="80" zoomScaleNormal="80" workbookViewId="0">
      <pane xSplit="27" ySplit="12" topLeftCell="AB13" activePane="bottomRight" state="frozen"/>
      <selection pane="topRight" activeCell="AB1" sqref="AB1"/>
      <selection pane="bottomLeft" activeCell="A13" sqref="A13"/>
      <selection pane="bottomRight" activeCell="BE16" sqref="BE16"/>
    </sheetView>
  </sheetViews>
  <sheetFormatPr baseColWidth="10" defaultColWidth="9.140625" defaultRowHeight="28.5" customHeight="1"/>
  <cols>
    <col min="1" max="1" width="23.85546875" style="81" customWidth="1"/>
    <col min="2" max="2" width="38.85546875" style="81" customWidth="1"/>
    <col min="3" max="27" width="38.85546875" style="81" hidden="1" customWidth="1"/>
    <col min="28" max="28" width="38.85546875" style="81" customWidth="1"/>
    <col min="29" max="53" width="38.85546875" style="81" hidden="1" customWidth="1"/>
    <col min="54" max="54" width="15.5703125" style="81" customWidth="1"/>
    <col min="55" max="55" width="24.140625" style="81" customWidth="1"/>
    <col min="56" max="57" width="35.85546875" style="81" customWidth="1"/>
    <col min="58" max="58" width="20.85546875" style="81" customWidth="1"/>
    <col min="59" max="83" width="20.85546875" style="81" hidden="1" customWidth="1"/>
    <col min="84" max="84" width="30.85546875" style="81" customWidth="1"/>
    <col min="85" max="109" width="30.85546875" style="81" hidden="1" customWidth="1"/>
    <col min="110" max="110" width="15.140625" style="81" customWidth="1"/>
    <col min="111" max="111" width="12.85546875" style="81" hidden="1" customWidth="1"/>
    <col min="112" max="112" width="15.5703125" style="81" customWidth="1"/>
    <col min="113" max="113" width="20.85546875" style="81" customWidth="1"/>
    <col min="114" max="114" width="15.5703125" style="81" customWidth="1"/>
    <col min="115" max="119" width="20.85546875" style="81" customWidth="1"/>
    <col min="120" max="120" width="35.85546875" style="81" hidden="1" customWidth="1"/>
    <col min="121" max="121" width="10.85546875" style="81" hidden="1" customWidth="1"/>
    <col min="122" max="122" width="35.85546875" style="81" customWidth="1"/>
    <col min="123" max="123" width="10.85546875" style="81" hidden="1" customWidth="1"/>
    <col min="124" max="16384" width="9.140625" style="91"/>
  </cols>
  <sheetData>
    <row r="1" spans="1:123" s="125" customFormat="1" ht="23.25">
      <c r="A1" s="78" t="s">
        <v>307</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row>
    <row r="2" spans="1:123" ht="60" hidden="1">
      <c r="A2" s="82" t="s">
        <v>16</v>
      </c>
      <c r="B2" s="82" t="s">
        <v>38</v>
      </c>
      <c r="C2" s="82" t="s">
        <v>38</v>
      </c>
      <c r="D2" s="82" t="s">
        <v>38</v>
      </c>
      <c r="E2" s="82" t="s">
        <v>38</v>
      </c>
      <c r="F2" s="82" t="s">
        <v>38</v>
      </c>
      <c r="G2" s="82" t="s">
        <v>38</v>
      </c>
      <c r="H2" s="82" t="s">
        <v>38</v>
      </c>
      <c r="I2" s="82" t="s">
        <v>38</v>
      </c>
      <c r="J2" s="82" t="s">
        <v>38</v>
      </c>
      <c r="K2" s="82" t="s">
        <v>38</v>
      </c>
      <c r="L2" s="82" t="s">
        <v>38</v>
      </c>
      <c r="M2" s="82" t="s">
        <v>38</v>
      </c>
      <c r="N2" s="82" t="s">
        <v>38</v>
      </c>
      <c r="O2" s="82" t="s">
        <v>38</v>
      </c>
      <c r="P2" s="82" t="s">
        <v>38</v>
      </c>
      <c r="Q2" s="82" t="s">
        <v>38</v>
      </c>
      <c r="R2" s="82" t="s">
        <v>38</v>
      </c>
      <c r="S2" s="82" t="s">
        <v>38</v>
      </c>
      <c r="T2" s="82" t="s">
        <v>38</v>
      </c>
      <c r="U2" s="82" t="s">
        <v>38</v>
      </c>
      <c r="V2" s="82" t="s">
        <v>38</v>
      </c>
      <c r="W2" s="82" t="s">
        <v>38</v>
      </c>
      <c r="X2" s="82" t="s">
        <v>38</v>
      </c>
      <c r="Y2" s="82" t="s">
        <v>38</v>
      </c>
      <c r="Z2" s="82" t="s">
        <v>38</v>
      </c>
      <c r="AA2" s="82" t="s">
        <v>38</v>
      </c>
      <c r="AB2" s="82" t="s">
        <v>38</v>
      </c>
      <c r="AC2" s="82" t="s">
        <v>38</v>
      </c>
      <c r="AD2" s="82" t="s">
        <v>38</v>
      </c>
      <c r="AE2" s="82" t="s">
        <v>38</v>
      </c>
      <c r="AF2" s="82" t="s">
        <v>38</v>
      </c>
      <c r="AG2" s="82" t="s">
        <v>38</v>
      </c>
      <c r="AH2" s="82" t="s">
        <v>38</v>
      </c>
      <c r="AI2" s="82" t="s">
        <v>38</v>
      </c>
      <c r="AJ2" s="82" t="s">
        <v>38</v>
      </c>
      <c r="AK2" s="82" t="s">
        <v>38</v>
      </c>
      <c r="AL2" s="82" t="s">
        <v>38</v>
      </c>
      <c r="AM2" s="82" t="s">
        <v>38</v>
      </c>
      <c r="AN2" s="82" t="s">
        <v>38</v>
      </c>
      <c r="AO2" s="82" t="s">
        <v>38</v>
      </c>
      <c r="AP2" s="82" t="s">
        <v>38</v>
      </c>
      <c r="AQ2" s="82" t="s">
        <v>38</v>
      </c>
      <c r="AR2" s="82" t="s">
        <v>38</v>
      </c>
      <c r="AS2" s="82" t="s">
        <v>38</v>
      </c>
      <c r="AT2" s="82" t="s">
        <v>38</v>
      </c>
      <c r="AU2" s="82" t="s">
        <v>38</v>
      </c>
      <c r="AV2" s="82" t="s">
        <v>38</v>
      </c>
      <c r="AW2" s="82" t="s">
        <v>38</v>
      </c>
      <c r="AX2" s="82" t="s">
        <v>38</v>
      </c>
      <c r="AY2" s="82" t="s">
        <v>38</v>
      </c>
      <c r="AZ2" s="82" t="s">
        <v>38</v>
      </c>
      <c r="BA2" s="82" t="s">
        <v>38</v>
      </c>
      <c r="BB2" s="82" t="s">
        <v>308</v>
      </c>
      <c r="BC2" s="82" t="s">
        <v>308</v>
      </c>
      <c r="BD2" s="82" t="s">
        <v>309</v>
      </c>
      <c r="BE2" s="82" t="s">
        <v>310</v>
      </c>
      <c r="BF2" s="82" t="s">
        <v>311</v>
      </c>
      <c r="BG2" s="82" t="s">
        <v>311</v>
      </c>
      <c r="BH2" s="82" t="s">
        <v>311</v>
      </c>
      <c r="BI2" s="82" t="s">
        <v>311</v>
      </c>
      <c r="BJ2" s="82" t="s">
        <v>311</v>
      </c>
      <c r="BK2" s="82" t="s">
        <v>311</v>
      </c>
      <c r="BL2" s="82" t="s">
        <v>311</v>
      </c>
      <c r="BM2" s="82" t="s">
        <v>311</v>
      </c>
      <c r="BN2" s="82" t="s">
        <v>311</v>
      </c>
      <c r="BO2" s="82" t="s">
        <v>311</v>
      </c>
      <c r="BP2" s="82" t="s">
        <v>311</v>
      </c>
      <c r="BQ2" s="82" t="s">
        <v>311</v>
      </c>
      <c r="BR2" s="82" t="s">
        <v>311</v>
      </c>
      <c r="BS2" s="82" t="s">
        <v>311</v>
      </c>
      <c r="BT2" s="82" t="s">
        <v>311</v>
      </c>
      <c r="BU2" s="82" t="s">
        <v>311</v>
      </c>
      <c r="BV2" s="82" t="s">
        <v>311</v>
      </c>
      <c r="BW2" s="82" t="s">
        <v>311</v>
      </c>
      <c r="BX2" s="82" t="s">
        <v>311</v>
      </c>
      <c r="BY2" s="82" t="s">
        <v>311</v>
      </c>
      <c r="BZ2" s="82" t="s">
        <v>311</v>
      </c>
      <c r="CA2" s="82" t="s">
        <v>311</v>
      </c>
      <c r="CB2" s="82" t="s">
        <v>311</v>
      </c>
      <c r="CC2" s="82" t="s">
        <v>311</v>
      </c>
      <c r="CD2" s="82" t="s">
        <v>311</v>
      </c>
      <c r="CE2" s="82" t="s">
        <v>311</v>
      </c>
      <c r="CF2" s="82" t="s">
        <v>312</v>
      </c>
      <c r="CG2" s="82" t="s">
        <v>312</v>
      </c>
      <c r="CH2" s="82" t="s">
        <v>312</v>
      </c>
      <c r="CI2" s="82" t="s">
        <v>312</v>
      </c>
      <c r="CJ2" s="82" t="s">
        <v>312</v>
      </c>
      <c r="CK2" s="82" t="s">
        <v>312</v>
      </c>
      <c r="CL2" s="82" t="s">
        <v>312</v>
      </c>
      <c r="CM2" s="82" t="s">
        <v>312</v>
      </c>
      <c r="CN2" s="82" t="s">
        <v>312</v>
      </c>
      <c r="CO2" s="82" t="s">
        <v>312</v>
      </c>
      <c r="CP2" s="82" t="s">
        <v>312</v>
      </c>
      <c r="CQ2" s="82" t="s">
        <v>312</v>
      </c>
      <c r="CR2" s="82" t="s">
        <v>312</v>
      </c>
      <c r="CS2" s="82" t="s">
        <v>312</v>
      </c>
      <c r="CT2" s="82" t="s">
        <v>312</v>
      </c>
      <c r="CU2" s="82" t="s">
        <v>312</v>
      </c>
      <c r="CV2" s="82" t="s">
        <v>312</v>
      </c>
      <c r="CW2" s="82" t="s">
        <v>312</v>
      </c>
      <c r="CX2" s="82" t="s">
        <v>312</v>
      </c>
      <c r="CY2" s="82" t="s">
        <v>312</v>
      </c>
      <c r="CZ2" s="82" t="s">
        <v>312</v>
      </c>
      <c r="DA2" s="82" t="s">
        <v>312</v>
      </c>
      <c r="DB2" s="82" t="s">
        <v>312</v>
      </c>
      <c r="DC2" s="82" t="s">
        <v>312</v>
      </c>
      <c r="DD2" s="82" t="s">
        <v>312</v>
      </c>
      <c r="DE2" s="82" t="s">
        <v>312</v>
      </c>
      <c r="DF2" s="82" t="s">
        <v>313</v>
      </c>
      <c r="DG2" s="82" t="s">
        <v>313</v>
      </c>
      <c r="DH2" s="96" t="s">
        <v>314</v>
      </c>
      <c r="DI2" s="82" t="s">
        <v>314</v>
      </c>
      <c r="DJ2" s="82" t="s">
        <v>315</v>
      </c>
      <c r="DK2" s="82" t="s">
        <v>315</v>
      </c>
      <c r="DL2" s="82" t="s">
        <v>316</v>
      </c>
      <c r="DM2" s="82" t="s">
        <v>316</v>
      </c>
      <c r="DN2" s="82" t="s">
        <v>317</v>
      </c>
      <c r="DO2" s="82" t="s">
        <v>317</v>
      </c>
      <c r="DP2" s="82" t="s">
        <v>38</v>
      </c>
      <c r="DQ2" s="82" t="s">
        <v>38</v>
      </c>
      <c r="DR2" s="82" t="s">
        <v>38</v>
      </c>
      <c r="DS2" s="82" t="s">
        <v>38</v>
      </c>
    </row>
    <row r="3" spans="1:123" ht="15" hidden="1">
      <c r="A3" s="82" t="s">
        <v>19</v>
      </c>
      <c r="B3" s="82" t="s">
        <v>318</v>
      </c>
      <c r="C3" s="82" t="s">
        <v>318</v>
      </c>
      <c r="D3" s="82" t="s">
        <v>318</v>
      </c>
      <c r="E3" s="82" t="s">
        <v>318</v>
      </c>
      <c r="F3" s="82" t="s">
        <v>318</v>
      </c>
      <c r="G3" s="82" t="s">
        <v>318</v>
      </c>
      <c r="H3" s="82" t="s">
        <v>318</v>
      </c>
      <c r="I3" s="82" t="s">
        <v>318</v>
      </c>
      <c r="J3" s="82" t="s">
        <v>318</v>
      </c>
      <c r="K3" s="82" t="s">
        <v>318</v>
      </c>
      <c r="L3" s="82" t="s">
        <v>318</v>
      </c>
      <c r="M3" s="82" t="s">
        <v>318</v>
      </c>
      <c r="N3" s="82" t="s">
        <v>318</v>
      </c>
      <c r="O3" s="82" t="s">
        <v>318</v>
      </c>
      <c r="P3" s="82" t="s">
        <v>318</v>
      </c>
      <c r="Q3" s="82" t="s">
        <v>318</v>
      </c>
      <c r="R3" s="82" t="s">
        <v>318</v>
      </c>
      <c r="S3" s="82" t="s">
        <v>318</v>
      </c>
      <c r="T3" s="82" t="s">
        <v>318</v>
      </c>
      <c r="U3" s="82" t="s">
        <v>318</v>
      </c>
      <c r="V3" s="82" t="s">
        <v>318</v>
      </c>
      <c r="W3" s="82" t="s">
        <v>318</v>
      </c>
      <c r="X3" s="82" t="s">
        <v>318</v>
      </c>
      <c r="Y3" s="82" t="s">
        <v>318</v>
      </c>
      <c r="Z3" s="82" t="s">
        <v>318</v>
      </c>
      <c r="AA3" s="82" t="s">
        <v>318</v>
      </c>
      <c r="AB3" s="82" t="s">
        <v>319</v>
      </c>
      <c r="AC3" s="82" t="s">
        <v>319</v>
      </c>
      <c r="AD3" s="82" t="s">
        <v>319</v>
      </c>
      <c r="AE3" s="82" t="s">
        <v>319</v>
      </c>
      <c r="AF3" s="82" t="s">
        <v>319</v>
      </c>
      <c r="AG3" s="82" t="s">
        <v>319</v>
      </c>
      <c r="AH3" s="82" t="s">
        <v>319</v>
      </c>
      <c r="AI3" s="82" t="s">
        <v>319</v>
      </c>
      <c r="AJ3" s="82" t="s">
        <v>319</v>
      </c>
      <c r="AK3" s="82" t="s">
        <v>319</v>
      </c>
      <c r="AL3" s="82" t="s">
        <v>319</v>
      </c>
      <c r="AM3" s="82" t="s">
        <v>319</v>
      </c>
      <c r="AN3" s="82" t="s">
        <v>319</v>
      </c>
      <c r="AO3" s="82" t="s">
        <v>319</v>
      </c>
      <c r="AP3" s="82" t="s">
        <v>319</v>
      </c>
      <c r="AQ3" s="82" t="s">
        <v>319</v>
      </c>
      <c r="AR3" s="82" t="s">
        <v>319</v>
      </c>
      <c r="AS3" s="82" t="s">
        <v>319</v>
      </c>
      <c r="AT3" s="82" t="s">
        <v>319</v>
      </c>
      <c r="AU3" s="82" t="s">
        <v>319</v>
      </c>
      <c r="AV3" s="82" t="s">
        <v>319</v>
      </c>
      <c r="AW3" s="82" t="s">
        <v>319</v>
      </c>
      <c r="AX3" s="82" t="s">
        <v>319</v>
      </c>
      <c r="AY3" s="82" t="s">
        <v>319</v>
      </c>
      <c r="AZ3" s="82" t="s">
        <v>319</v>
      </c>
      <c r="BA3" s="82" t="s">
        <v>319</v>
      </c>
      <c r="BB3" s="82" t="s">
        <v>187</v>
      </c>
      <c r="BC3" s="82" t="s">
        <v>35</v>
      </c>
      <c r="BD3" s="82" t="s">
        <v>39</v>
      </c>
      <c r="BE3" s="82" t="s">
        <v>192</v>
      </c>
      <c r="BF3" s="82" t="s">
        <v>320</v>
      </c>
      <c r="BG3" s="82" t="s">
        <v>320</v>
      </c>
      <c r="BH3" s="82" t="s">
        <v>320</v>
      </c>
      <c r="BI3" s="82" t="s">
        <v>320</v>
      </c>
      <c r="BJ3" s="82" t="s">
        <v>320</v>
      </c>
      <c r="BK3" s="82" t="s">
        <v>320</v>
      </c>
      <c r="BL3" s="82" t="s">
        <v>320</v>
      </c>
      <c r="BM3" s="82" t="s">
        <v>320</v>
      </c>
      <c r="BN3" s="82" t="s">
        <v>320</v>
      </c>
      <c r="BO3" s="82" t="s">
        <v>320</v>
      </c>
      <c r="BP3" s="82" t="s">
        <v>320</v>
      </c>
      <c r="BQ3" s="82" t="s">
        <v>320</v>
      </c>
      <c r="BR3" s="82" t="s">
        <v>320</v>
      </c>
      <c r="BS3" s="82" t="s">
        <v>320</v>
      </c>
      <c r="BT3" s="82" t="s">
        <v>320</v>
      </c>
      <c r="BU3" s="82" t="s">
        <v>320</v>
      </c>
      <c r="BV3" s="82" t="s">
        <v>320</v>
      </c>
      <c r="BW3" s="82" t="s">
        <v>320</v>
      </c>
      <c r="BX3" s="82" t="s">
        <v>320</v>
      </c>
      <c r="BY3" s="82" t="s">
        <v>320</v>
      </c>
      <c r="BZ3" s="82" t="s">
        <v>320</v>
      </c>
      <c r="CA3" s="82" t="s">
        <v>320</v>
      </c>
      <c r="CB3" s="82" t="s">
        <v>320</v>
      </c>
      <c r="CC3" s="82" t="s">
        <v>320</v>
      </c>
      <c r="CD3" s="82" t="s">
        <v>320</v>
      </c>
      <c r="CE3" s="82" t="s">
        <v>320</v>
      </c>
      <c r="CF3" s="82" t="s">
        <v>193</v>
      </c>
      <c r="CG3" s="82" t="s">
        <v>193</v>
      </c>
      <c r="CH3" s="82" t="s">
        <v>193</v>
      </c>
      <c r="CI3" s="82" t="s">
        <v>193</v>
      </c>
      <c r="CJ3" s="82" t="s">
        <v>193</v>
      </c>
      <c r="CK3" s="82" t="s">
        <v>193</v>
      </c>
      <c r="CL3" s="82" t="s">
        <v>193</v>
      </c>
      <c r="CM3" s="82" t="s">
        <v>193</v>
      </c>
      <c r="CN3" s="82" t="s">
        <v>193</v>
      </c>
      <c r="CO3" s="82" t="s">
        <v>193</v>
      </c>
      <c r="CP3" s="82" t="s">
        <v>193</v>
      </c>
      <c r="CQ3" s="82" t="s">
        <v>193</v>
      </c>
      <c r="CR3" s="82" t="s">
        <v>193</v>
      </c>
      <c r="CS3" s="82" t="s">
        <v>193</v>
      </c>
      <c r="CT3" s="82" t="s">
        <v>193</v>
      </c>
      <c r="CU3" s="82" t="s">
        <v>193</v>
      </c>
      <c r="CV3" s="82" t="s">
        <v>193</v>
      </c>
      <c r="CW3" s="82" t="s">
        <v>193</v>
      </c>
      <c r="CX3" s="82" t="s">
        <v>193</v>
      </c>
      <c r="CY3" s="82" t="s">
        <v>193</v>
      </c>
      <c r="CZ3" s="82" t="s">
        <v>193</v>
      </c>
      <c r="DA3" s="82" t="s">
        <v>193</v>
      </c>
      <c r="DB3" s="82" t="s">
        <v>193</v>
      </c>
      <c r="DC3" s="82" t="s">
        <v>193</v>
      </c>
      <c r="DD3" s="82" t="s">
        <v>193</v>
      </c>
      <c r="DE3" s="82" t="s">
        <v>193</v>
      </c>
      <c r="DF3" s="82" t="s">
        <v>194</v>
      </c>
      <c r="DG3" s="82" t="s">
        <v>194</v>
      </c>
      <c r="DH3" s="96" t="s">
        <v>187</v>
      </c>
      <c r="DI3" s="82" t="s">
        <v>35</v>
      </c>
      <c r="DJ3" s="82" t="s">
        <v>187</v>
      </c>
      <c r="DK3" s="82" t="s">
        <v>35</v>
      </c>
      <c r="DL3" s="82" t="s">
        <v>190</v>
      </c>
      <c r="DM3" s="82" t="s">
        <v>35</v>
      </c>
      <c r="DN3" s="82" t="s">
        <v>190</v>
      </c>
      <c r="DO3" s="82" t="s">
        <v>35</v>
      </c>
      <c r="DP3" s="82" t="s">
        <v>321</v>
      </c>
      <c r="DQ3" s="82" t="s">
        <v>321</v>
      </c>
      <c r="DR3" s="82" t="s">
        <v>322</v>
      </c>
      <c r="DS3" s="82" t="s">
        <v>322</v>
      </c>
    </row>
    <row r="4" spans="1:123" ht="30" hidden="1">
      <c r="A4" s="82" t="s">
        <v>29</v>
      </c>
      <c r="B4" s="82" t="s">
        <v>30</v>
      </c>
      <c r="C4" s="82" t="s">
        <v>30</v>
      </c>
      <c r="D4" s="82" t="s">
        <v>30</v>
      </c>
      <c r="E4" s="82" t="s">
        <v>30</v>
      </c>
      <c r="F4" s="82" t="s">
        <v>30</v>
      </c>
      <c r="G4" s="82" t="s">
        <v>30</v>
      </c>
      <c r="H4" s="82" t="s">
        <v>30</v>
      </c>
      <c r="I4" s="82" t="s">
        <v>30</v>
      </c>
      <c r="J4" s="82" t="s">
        <v>30</v>
      </c>
      <c r="K4" s="82" t="s">
        <v>30</v>
      </c>
      <c r="L4" s="82" t="s">
        <v>30</v>
      </c>
      <c r="M4" s="82" t="s">
        <v>30</v>
      </c>
      <c r="N4" s="82" t="s">
        <v>30</v>
      </c>
      <c r="O4" s="82" t="s">
        <v>30</v>
      </c>
      <c r="P4" s="82" t="s">
        <v>30</v>
      </c>
      <c r="Q4" s="82" t="s">
        <v>30</v>
      </c>
      <c r="R4" s="82" t="s">
        <v>30</v>
      </c>
      <c r="S4" s="82" t="s">
        <v>30</v>
      </c>
      <c r="T4" s="82" t="s">
        <v>30</v>
      </c>
      <c r="U4" s="82" t="s">
        <v>30</v>
      </c>
      <c r="V4" s="82" t="s">
        <v>30</v>
      </c>
      <c r="W4" s="82" t="s">
        <v>30</v>
      </c>
      <c r="X4" s="82" t="s">
        <v>30</v>
      </c>
      <c r="Y4" s="82" t="s">
        <v>30</v>
      </c>
      <c r="Z4" s="82" t="s">
        <v>30</v>
      </c>
      <c r="AA4" s="82" t="s">
        <v>30</v>
      </c>
      <c r="AB4" s="82" t="s">
        <v>30</v>
      </c>
      <c r="AC4" s="82" t="s">
        <v>30</v>
      </c>
      <c r="AD4" s="82" t="s">
        <v>30</v>
      </c>
      <c r="AE4" s="82" t="s">
        <v>30</v>
      </c>
      <c r="AF4" s="82" t="s">
        <v>30</v>
      </c>
      <c r="AG4" s="82" t="s">
        <v>30</v>
      </c>
      <c r="AH4" s="82" t="s">
        <v>30</v>
      </c>
      <c r="AI4" s="82" t="s">
        <v>30</v>
      </c>
      <c r="AJ4" s="82" t="s">
        <v>30</v>
      </c>
      <c r="AK4" s="82" t="s">
        <v>30</v>
      </c>
      <c r="AL4" s="82" t="s">
        <v>30</v>
      </c>
      <c r="AM4" s="82" t="s">
        <v>30</v>
      </c>
      <c r="AN4" s="82" t="s">
        <v>30</v>
      </c>
      <c r="AO4" s="82" t="s">
        <v>30</v>
      </c>
      <c r="AP4" s="82" t="s">
        <v>30</v>
      </c>
      <c r="AQ4" s="82" t="s">
        <v>30</v>
      </c>
      <c r="AR4" s="82" t="s">
        <v>30</v>
      </c>
      <c r="AS4" s="82" t="s">
        <v>30</v>
      </c>
      <c r="AT4" s="82" t="s">
        <v>30</v>
      </c>
      <c r="AU4" s="82" t="s">
        <v>30</v>
      </c>
      <c r="AV4" s="82" t="s">
        <v>30</v>
      </c>
      <c r="AW4" s="82" t="s">
        <v>30</v>
      </c>
      <c r="AX4" s="82" t="s">
        <v>30</v>
      </c>
      <c r="AY4" s="82" t="s">
        <v>30</v>
      </c>
      <c r="AZ4" s="82" t="s">
        <v>30</v>
      </c>
      <c r="BA4" s="82" t="s">
        <v>30</v>
      </c>
      <c r="BB4" s="82" t="s">
        <v>33</v>
      </c>
      <c r="BC4" s="82" t="s">
        <v>33</v>
      </c>
      <c r="BD4" s="82" t="s">
        <v>33</v>
      </c>
      <c r="BE4" s="82" t="s">
        <v>33</v>
      </c>
      <c r="BF4" s="82" t="s">
        <v>33</v>
      </c>
      <c r="BG4" s="82" t="s">
        <v>33</v>
      </c>
      <c r="BH4" s="82" t="s">
        <v>33</v>
      </c>
      <c r="BI4" s="82" t="s">
        <v>33</v>
      </c>
      <c r="BJ4" s="82" t="s">
        <v>33</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82" t="s">
        <v>33</v>
      </c>
      <c r="CM4" s="82" t="s">
        <v>33</v>
      </c>
      <c r="CN4" s="82" t="s">
        <v>33</v>
      </c>
      <c r="CO4" s="82" t="s">
        <v>33</v>
      </c>
      <c r="CP4" s="82" t="s">
        <v>33</v>
      </c>
      <c r="CQ4" s="82" t="s">
        <v>33</v>
      </c>
      <c r="CR4" s="82" t="s">
        <v>33</v>
      </c>
      <c r="CS4" s="82" t="s">
        <v>33</v>
      </c>
      <c r="CT4" s="82" t="s">
        <v>33</v>
      </c>
      <c r="CU4" s="82" t="s">
        <v>33</v>
      </c>
      <c r="CV4" s="82" t="s">
        <v>33</v>
      </c>
      <c r="CW4" s="82" t="s">
        <v>33</v>
      </c>
      <c r="CX4" s="82" t="s">
        <v>33</v>
      </c>
      <c r="CY4" s="82" t="s">
        <v>33</v>
      </c>
      <c r="CZ4" s="82" t="s">
        <v>33</v>
      </c>
      <c r="DA4" s="82" t="s">
        <v>33</v>
      </c>
      <c r="DB4" s="82" t="s">
        <v>33</v>
      </c>
      <c r="DC4" s="82" t="s">
        <v>33</v>
      </c>
      <c r="DD4" s="82" t="s">
        <v>33</v>
      </c>
      <c r="DE4" s="82" t="s">
        <v>33</v>
      </c>
      <c r="DF4" s="82" t="s">
        <v>31</v>
      </c>
      <c r="DG4" s="193" t="s">
        <v>198</v>
      </c>
      <c r="DH4" s="96" t="s">
        <v>33</v>
      </c>
      <c r="DI4" s="193" t="s">
        <v>33</v>
      </c>
      <c r="DJ4" s="193" t="s">
        <v>33</v>
      </c>
      <c r="DK4" s="82" t="s">
        <v>33</v>
      </c>
      <c r="DL4" s="82" t="s">
        <v>33</v>
      </c>
      <c r="DM4" s="82" t="s">
        <v>33</v>
      </c>
      <c r="DN4" s="82" t="s">
        <v>33</v>
      </c>
      <c r="DO4" s="82" t="s">
        <v>33</v>
      </c>
      <c r="DP4" s="82" t="s">
        <v>199</v>
      </c>
      <c r="DQ4" s="82" t="s">
        <v>32</v>
      </c>
      <c r="DR4" s="82" t="s">
        <v>199</v>
      </c>
      <c r="DS4" s="82" t="s">
        <v>32</v>
      </c>
    </row>
    <row r="5" spans="1:123" ht="30" hidden="1">
      <c r="A5" s="82" t="s">
        <v>34</v>
      </c>
      <c r="B5" s="82" t="s">
        <v>35</v>
      </c>
      <c r="C5" s="82" t="s">
        <v>35</v>
      </c>
      <c r="D5" s="82" t="s">
        <v>35</v>
      </c>
      <c r="E5" s="82" t="s">
        <v>35</v>
      </c>
      <c r="F5" s="82" t="s">
        <v>35</v>
      </c>
      <c r="G5" s="82" t="s">
        <v>35</v>
      </c>
      <c r="H5" s="82" t="s">
        <v>35</v>
      </c>
      <c r="I5" s="82" t="s">
        <v>35</v>
      </c>
      <c r="J5" s="82" t="s">
        <v>35</v>
      </c>
      <c r="K5" s="82" t="s">
        <v>35</v>
      </c>
      <c r="L5" s="82" t="s">
        <v>35</v>
      </c>
      <c r="M5" s="82" t="s">
        <v>35</v>
      </c>
      <c r="N5" s="82" t="s">
        <v>35</v>
      </c>
      <c r="O5" s="82" t="s">
        <v>35</v>
      </c>
      <c r="P5" s="82" t="s">
        <v>35</v>
      </c>
      <c r="Q5" s="82" t="s">
        <v>35</v>
      </c>
      <c r="R5" s="82" t="s">
        <v>35</v>
      </c>
      <c r="S5" s="82" t="s">
        <v>35</v>
      </c>
      <c r="T5" s="82" t="s">
        <v>35</v>
      </c>
      <c r="U5" s="82" t="s">
        <v>35</v>
      </c>
      <c r="V5" s="82" t="s">
        <v>35</v>
      </c>
      <c r="W5" s="82" t="s">
        <v>35</v>
      </c>
      <c r="X5" s="82" t="s">
        <v>35</v>
      </c>
      <c r="Y5" s="82" t="s">
        <v>35</v>
      </c>
      <c r="Z5" s="82" t="s">
        <v>35</v>
      </c>
      <c r="AA5" s="82" t="s">
        <v>35</v>
      </c>
      <c r="AB5" s="82" t="s">
        <v>35</v>
      </c>
      <c r="AC5" s="82" t="s">
        <v>35</v>
      </c>
      <c r="AD5" s="82" t="s">
        <v>35</v>
      </c>
      <c r="AE5" s="82" t="s">
        <v>35</v>
      </c>
      <c r="AF5" s="82" t="s">
        <v>35</v>
      </c>
      <c r="AG5" s="82" t="s">
        <v>35</v>
      </c>
      <c r="AH5" s="82" t="s">
        <v>35</v>
      </c>
      <c r="AI5" s="82" t="s">
        <v>35</v>
      </c>
      <c r="AJ5" s="82" t="s">
        <v>35</v>
      </c>
      <c r="AK5" s="82" t="s">
        <v>35</v>
      </c>
      <c r="AL5" s="82" t="s">
        <v>35</v>
      </c>
      <c r="AM5" s="82" t="s">
        <v>35</v>
      </c>
      <c r="AN5" s="82" t="s">
        <v>35</v>
      </c>
      <c r="AO5" s="82" t="s">
        <v>35</v>
      </c>
      <c r="AP5" s="82" t="s">
        <v>35</v>
      </c>
      <c r="AQ5" s="82" t="s">
        <v>35</v>
      </c>
      <c r="AR5" s="82" t="s">
        <v>35</v>
      </c>
      <c r="AS5" s="82" t="s">
        <v>35</v>
      </c>
      <c r="AT5" s="82" t="s">
        <v>35</v>
      </c>
      <c r="AU5" s="82" t="s">
        <v>35</v>
      </c>
      <c r="AV5" s="82" t="s">
        <v>35</v>
      </c>
      <c r="AW5" s="82" t="s">
        <v>35</v>
      </c>
      <c r="AX5" s="82" t="s">
        <v>35</v>
      </c>
      <c r="AY5" s="82" t="s">
        <v>35</v>
      </c>
      <c r="AZ5" s="82" t="s">
        <v>35</v>
      </c>
      <c r="BA5" s="82" t="s">
        <v>35</v>
      </c>
      <c r="BB5" s="82"/>
      <c r="BC5" s="82"/>
      <c r="BD5" s="82"/>
      <c r="BE5" s="82"/>
      <c r="BF5" s="82" t="s">
        <v>35</v>
      </c>
      <c r="BG5" s="82" t="s">
        <v>35</v>
      </c>
      <c r="BH5" s="82" t="s">
        <v>35</v>
      </c>
      <c r="BI5" s="82" t="s">
        <v>35</v>
      </c>
      <c r="BJ5" s="82" t="s">
        <v>35</v>
      </c>
      <c r="BK5" s="82" t="s">
        <v>35</v>
      </c>
      <c r="BL5" s="82" t="s">
        <v>35</v>
      </c>
      <c r="BM5" s="82" t="s">
        <v>35</v>
      </c>
      <c r="BN5" s="82" t="s">
        <v>35</v>
      </c>
      <c r="BO5" s="82" t="s">
        <v>35</v>
      </c>
      <c r="BP5" s="82" t="s">
        <v>35</v>
      </c>
      <c r="BQ5" s="82" t="s">
        <v>35</v>
      </c>
      <c r="BR5" s="82" t="s">
        <v>35</v>
      </c>
      <c r="BS5" s="82" t="s">
        <v>35</v>
      </c>
      <c r="BT5" s="82" t="s">
        <v>35</v>
      </c>
      <c r="BU5" s="82" t="s">
        <v>35</v>
      </c>
      <c r="BV5" s="82" t="s">
        <v>35</v>
      </c>
      <c r="BW5" s="82" t="s">
        <v>35</v>
      </c>
      <c r="BX5" s="82" t="s">
        <v>35</v>
      </c>
      <c r="BY5" s="82" t="s">
        <v>35</v>
      </c>
      <c r="BZ5" s="82" t="s">
        <v>35</v>
      </c>
      <c r="CA5" s="82" t="s">
        <v>35</v>
      </c>
      <c r="CB5" s="82" t="s">
        <v>35</v>
      </c>
      <c r="CC5" s="82" t="s">
        <v>35</v>
      </c>
      <c r="CD5" s="82" t="s">
        <v>35</v>
      </c>
      <c r="CE5" s="82" t="s">
        <v>35</v>
      </c>
      <c r="CF5" s="82" t="s">
        <v>35</v>
      </c>
      <c r="CG5" s="82" t="s">
        <v>35</v>
      </c>
      <c r="CH5" s="82" t="s">
        <v>35</v>
      </c>
      <c r="CI5" s="82" t="s">
        <v>35</v>
      </c>
      <c r="CJ5" s="82" t="s">
        <v>35</v>
      </c>
      <c r="CK5" s="82" t="s">
        <v>35</v>
      </c>
      <c r="CL5" s="82" t="s">
        <v>35</v>
      </c>
      <c r="CM5" s="82" t="s">
        <v>35</v>
      </c>
      <c r="CN5" s="82" t="s">
        <v>35</v>
      </c>
      <c r="CO5" s="82" t="s">
        <v>35</v>
      </c>
      <c r="CP5" s="82" t="s">
        <v>35</v>
      </c>
      <c r="CQ5" s="82" t="s">
        <v>35</v>
      </c>
      <c r="CR5" s="82" t="s">
        <v>35</v>
      </c>
      <c r="CS5" s="82" t="s">
        <v>35</v>
      </c>
      <c r="CT5" s="82" t="s">
        <v>35</v>
      </c>
      <c r="CU5" s="82" t="s">
        <v>35</v>
      </c>
      <c r="CV5" s="82" t="s">
        <v>35</v>
      </c>
      <c r="CW5" s="82" t="s">
        <v>35</v>
      </c>
      <c r="CX5" s="82" t="s">
        <v>35</v>
      </c>
      <c r="CY5" s="82" t="s">
        <v>35</v>
      </c>
      <c r="CZ5" s="82" t="s">
        <v>35</v>
      </c>
      <c r="DA5" s="82" t="s">
        <v>35</v>
      </c>
      <c r="DB5" s="82" t="s">
        <v>35</v>
      </c>
      <c r="DC5" s="82" t="s">
        <v>35</v>
      </c>
      <c r="DD5" s="82" t="s">
        <v>35</v>
      </c>
      <c r="DE5" s="82" t="s">
        <v>35</v>
      </c>
      <c r="DF5" s="82"/>
      <c r="DG5" s="82" t="s">
        <v>36</v>
      </c>
      <c r="DH5" s="82"/>
      <c r="DI5" s="82"/>
      <c r="DJ5" s="82"/>
      <c r="DK5" s="82"/>
      <c r="DL5" s="82"/>
      <c r="DM5" s="82"/>
      <c r="DN5" s="82"/>
      <c r="DO5" s="82"/>
      <c r="DP5" s="82" t="s">
        <v>38</v>
      </c>
      <c r="DQ5" s="82" t="s">
        <v>38</v>
      </c>
      <c r="DR5" s="82" t="s">
        <v>38</v>
      </c>
      <c r="DS5" s="82" t="s">
        <v>38</v>
      </c>
    </row>
    <row r="6" spans="1:123" ht="15" hidden="1">
      <c r="A6" s="82" t="s">
        <v>41</v>
      </c>
      <c r="B6" s="82"/>
      <c r="C6" s="82"/>
      <c r="D6" s="82"/>
      <c r="E6" s="82"/>
      <c r="F6" s="82"/>
      <c r="G6" s="82"/>
      <c r="H6" s="82"/>
      <c r="I6" s="82"/>
      <c r="J6" s="82"/>
      <c r="K6" s="82"/>
      <c r="L6" s="82"/>
      <c r="M6" s="82"/>
      <c r="N6" s="82"/>
      <c r="O6" s="82"/>
      <c r="P6" s="82"/>
      <c r="Q6" s="82"/>
      <c r="R6" s="82"/>
      <c r="S6" s="82"/>
      <c r="T6" s="82"/>
      <c r="U6" s="82"/>
      <c r="V6" s="82"/>
      <c r="W6" s="82"/>
      <c r="X6" s="82"/>
      <c r="Y6" s="82"/>
      <c r="Z6" s="82"/>
      <c r="AA6" s="82"/>
      <c r="AB6" s="82">
        <v>1</v>
      </c>
      <c r="AC6" s="82">
        <v>1</v>
      </c>
      <c r="AD6" s="82">
        <v>1</v>
      </c>
      <c r="AE6" s="82">
        <v>1</v>
      </c>
      <c r="AF6" s="82">
        <v>1</v>
      </c>
      <c r="AG6" s="82">
        <v>1</v>
      </c>
      <c r="AH6" s="82">
        <v>1</v>
      </c>
      <c r="AI6" s="82">
        <v>1</v>
      </c>
      <c r="AJ6" s="82">
        <v>1</v>
      </c>
      <c r="AK6" s="82">
        <v>1</v>
      </c>
      <c r="AL6" s="82">
        <v>1</v>
      </c>
      <c r="AM6" s="82">
        <v>1</v>
      </c>
      <c r="AN6" s="82">
        <v>1</v>
      </c>
      <c r="AO6" s="82">
        <v>1</v>
      </c>
      <c r="AP6" s="82">
        <v>1</v>
      </c>
      <c r="AQ6" s="82">
        <v>1</v>
      </c>
      <c r="AR6" s="82">
        <v>1</v>
      </c>
      <c r="AS6" s="82">
        <v>1</v>
      </c>
      <c r="AT6" s="82">
        <v>1</v>
      </c>
      <c r="AU6" s="82">
        <v>1</v>
      </c>
      <c r="AV6" s="82">
        <v>1</v>
      </c>
      <c r="AW6" s="82">
        <v>1</v>
      </c>
      <c r="AX6" s="82">
        <v>1</v>
      </c>
      <c r="AY6" s="82">
        <v>1</v>
      </c>
      <c r="AZ6" s="82">
        <v>1</v>
      </c>
      <c r="BA6" s="82">
        <v>1</v>
      </c>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82"/>
      <c r="CV6" s="82"/>
      <c r="CW6" s="82"/>
      <c r="CX6" s="82"/>
      <c r="CY6" s="82"/>
      <c r="CZ6" s="82"/>
      <c r="DA6" s="82"/>
      <c r="DB6" s="82"/>
      <c r="DC6" s="82"/>
      <c r="DD6" s="82"/>
      <c r="DE6" s="82"/>
      <c r="DF6" s="82"/>
      <c r="DG6" s="82"/>
      <c r="DH6" s="82"/>
      <c r="DI6" s="82"/>
      <c r="DJ6" s="82"/>
      <c r="DK6" s="82"/>
      <c r="DL6" s="82"/>
      <c r="DM6" s="82"/>
      <c r="DN6" s="82"/>
      <c r="DO6" s="82"/>
      <c r="DP6" s="82"/>
      <c r="DQ6" s="82"/>
      <c r="DR6" s="82"/>
      <c r="DS6" s="82"/>
    </row>
    <row r="7" spans="1:123" ht="15" hidden="1">
      <c r="A7" s="82" t="s">
        <v>42</v>
      </c>
      <c r="B7" s="82"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B7" s="82" t="s">
        <v>11</v>
      </c>
      <c r="AC7" s="82" t="s">
        <v>43</v>
      </c>
      <c r="AD7" s="82" t="s">
        <v>44</v>
      </c>
      <c r="AE7" s="82" t="s">
        <v>45</v>
      </c>
      <c r="AF7" s="82" t="s">
        <v>46</v>
      </c>
      <c r="AG7" s="82" t="s">
        <v>47</v>
      </c>
      <c r="AH7" s="82" t="s">
        <v>48</v>
      </c>
      <c r="AI7" s="82" t="s">
        <v>49</v>
      </c>
      <c r="AJ7" s="82" t="s">
        <v>50</v>
      </c>
      <c r="AK7" s="82" t="s">
        <v>51</v>
      </c>
      <c r="AL7" s="82" t="s">
        <v>52</v>
      </c>
      <c r="AM7" s="82" t="s">
        <v>53</v>
      </c>
      <c r="AN7" s="82" t="s">
        <v>54</v>
      </c>
      <c r="AO7" s="82" t="s">
        <v>55</v>
      </c>
      <c r="AP7" s="82" t="s">
        <v>56</v>
      </c>
      <c r="AQ7" s="82" t="s">
        <v>57</v>
      </c>
      <c r="AR7" s="82" t="s">
        <v>58</v>
      </c>
      <c r="AS7" s="82" t="s">
        <v>59</v>
      </c>
      <c r="AT7" s="82" t="s">
        <v>60</v>
      </c>
      <c r="AU7" s="82" t="s">
        <v>61</v>
      </c>
      <c r="AV7" s="82" t="s">
        <v>62</v>
      </c>
      <c r="AW7" s="82" t="s">
        <v>63</v>
      </c>
      <c r="AX7" s="82" t="s">
        <v>64</v>
      </c>
      <c r="AY7" s="82" t="s">
        <v>65</v>
      </c>
      <c r="AZ7" s="82" t="s">
        <v>66</v>
      </c>
      <c r="BA7" s="82" t="s">
        <v>67</v>
      </c>
      <c r="BB7" s="82"/>
      <c r="BC7" s="82"/>
      <c r="BD7" s="82"/>
      <c r="BE7" s="82"/>
      <c r="BF7" s="82" t="s">
        <v>11</v>
      </c>
      <c r="BG7" s="82" t="s">
        <v>43</v>
      </c>
      <c r="BH7" s="82" t="s">
        <v>44</v>
      </c>
      <c r="BI7" s="82" t="s">
        <v>45</v>
      </c>
      <c r="BJ7" s="82" t="s">
        <v>46</v>
      </c>
      <c r="BK7" s="82" t="s">
        <v>47</v>
      </c>
      <c r="BL7" s="82" t="s">
        <v>48</v>
      </c>
      <c r="BM7" s="82" t="s">
        <v>49</v>
      </c>
      <c r="BN7" s="82" t="s">
        <v>50</v>
      </c>
      <c r="BO7" s="82" t="s">
        <v>51</v>
      </c>
      <c r="BP7" s="82" t="s">
        <v>52</v>
      </c>
      <c r="BQ7" s="82" t="s">
        <v>53</v>
      </c>
      <c r="BR7" s="82" t="s">
        <v>54</v>
      </c>
      <c r="BS7" s="82" t="s">
        <v>55</v>
      </c>
      <c r="BT7" s="82" t="s">
        <v>56</v>
      </c>
      <c r="BU7" s="82" t="s">
        <v>57</v>
      </c>
      <c r="BV7" s="82" t="s">
        <v>58</v>
      </c>
      <c r="BW7" s="82" t="s">
        <v>59</v>
      </c>
      <c r="BX7" s="82" t="s">
        <v>60</v>
      </c>
      <c r="BY7" s="82" t="s">
        <v>61</v>
      </c>
      <c r="BZ7" s="82" t="s">
        <v>62</v>
      </c>
      <c r="CA7" s="82" t="s">
        <v>63</v>
      </c>
      <c r="CB7" s="82" t="s">
        <v>64</v>
      </c>
      <c r="CC7" s="82" t="s">
        <v>65</v>
      </c>
      <c r="CD7" s="82" t="s">
        <v>66</v>
      </c>
      <c r="CE7" s="82" t="s">
        <v>67</v>
      </c>
      <c r="CF7" s="82" t="s">
        <v>11</v>
      </c>
      <c r="CG7" s="82" t="s">
        <v>43</v>
      </c>
      <c r="CH7" s="82" t="s">
        <v>44</v>
      </c>
      <c r="CI7" s="82" t="s">
        <v>45</v>
      </c>
      <c r="CJ7" s="82" t="s">
        <v>46</v>
      </c>
      <c r="CK7" s="82" t="s">
        <v>47</v>
      </c>
      <c r="CL7" s="82" t="s">
        <v>48</v>
      </c>
      <c r="CM7" s="82" t="s">
        <v>49</v>
      </c>
      <c r="CN7" s="82" t="s">
        <v>50</v>
      </c>
      <c r="CO7" s="82" t="s">
        <v>51</v>
      </c>
      <c r="CP7" s="82" t="s">
        <v>52</v>
      </c>
      <c r="CQ7" s="82" t="s">
        <v>53</v>
      </c>
      <c r="CR7" s="82" t="s">
        <v>54</v>
      </c>
      <c r="CS7" s="82" t="s">
        <v>55</v>
      </c>
      <c r="CT7" s="82" t="s">
        <v>56</v>
      </c>
      <c r="CU7" s="82" t="s">
        <v>57</v>
      </c>
      <c r="CV7" s="82" t="s">
        <v>58</v>
      </c>
      <c r="CW7" s="82" t="s">
        <v>59</v>
      </c>
      <c r="CX7" s="82" t="s">
        <v>60</v>
      </c>
      <c r="CY7" s="82" t="s">
        <v>61</v>
      </c>
      <c r="CZ7" s="82" t="s">
        <v>62</v>
      </c>
      <c r="DA7" s="82" t="s">
        <v>63</v>
      </c>
      <c r="DB7" s="82" t="s">
        <v>64</v>
      </c>
      <c r="DC7" s="82" t="s">
        <v>65</v>
      </c>
      <c r="DD7" s="82" t="s">
        <v>66</v>
      </c>
      <c r="DE7" s="82" t="s">
        <v>67</v>
      </c>
      <c r="DF7" s="82"/>
      <c r="DG7" s="82"/>
      <c r="DH7" s="82"/>
      <c r="DI7" s="82"/>
      <c r="DJ7" s="82"/>
      <c r="DK7" s="82"/>
      <c r="DL7" s="82"/>
      <c r="DM7" s="82"/>
      <c r="DN7" s="82"/>
      <c r="DO7" s="82"/>
      <c r="DP7" s="82"/>
      <c r="DQ7" s="82"/>
      <c r="DR7" s="82"/>
      <c r="DS7" s="82"/>
    </row>
    <row r="8" spans="1:123" s="121" customFormat="1" ht="30">
      <c r="A8" s="5" t="s">
        <v>68</v>
      </c>
      <c r="B8" s="196" t="s">
        <v>323</v>
      </c>
      <c r="C8" s="5" t="str">
        <f>CONCATENATE(B8,".",C7)</f>
        <v>Legal Name.bg</v>
      </c>
      <c r="D8" s="5" t="str">
        <f>CONCATENATE(B8,".",D7)</f>
        <v>Legal Name.cs</v>
      </c>
      <c r="E8" s="5" t="str">
        <f>CONCATENATE(B8,".",E7)</f>
        <v>Legal Name.da</v>
      </c>
      <c r="F8" s="5" t="str">
        <f>CONCATENATE(B8,".",F7)</f>
        <v>Legal Name.de</v>
      </c>
      <c r="G8" s="5" t="str">
        <f>CONCATENATE(B8,".",G7)</f>
        <v>Legal Name.el</v>
      </c>
      <c r="H8" s="5" t="str">
        <f>CONCATENATE(B8,".",H7)</f>
        <v>Legal Name.es</v>
      </c>
      <c r="I8" s="5" t="str">
        <f>CONCATENATE(B8,".",I7)</f>
        <v>Legal Name.et</v>
      </c>
      <c r="J8" s="5" t="str">
        <f>CONCATENATE(B8,".",J7)</f>
        <v>Legal Name.fi</v>
      </c>
      <c r="K8" s="5" t="str">
        <f>CONCATENATE(B8,".",K7)</f>
        <v>Legal Name.fr</v>
      </c>
      <c r="L8" s="5" t="str">
        <f>CONCATENATE(B8,".",L7)</f>
        <v>Legal Name.ga</v>
      </c>
      <c r="M8" s="5" t="str">
        <f>CONCATENATE(B8,".",M7)</f>
        <v>Legal Name.hr</v>
      </c>
      <c r="N8" s="5" t="str">
        <f>CONCATENATE(B8,".",N7)</f>
        <v>Legal Name.hu</v>
      </c>
      <c r="O8" s="5" t="str">
        <f>CONCATENATE(B8,".",O7)</f>
        <v>Legal Name.is</v>
      </c>
      <c r="P8" s="5" t="str">
        <f>CONCATENATE(B8,".",P7)</f>
        <v>Legal Name.it</v>
      </c>
      <c r="Q8" s="5" t="str">
        <f>CONCATENATE(B8,".",Q7)</f>
        <v>Legal Name.lt</v>
      </c>
      <c r="R8" s="5" t="str">
        <f>CONCATENATE(B8,".",R7)</f>
        <v>Legal Name.lv</v>
      </c>
      <c r="S8" s="5" t="str">
        <f>CONCATENATE(B8,".",S7)</f>
        <v>Legal Name.mt</v>
      </c>
      <c r="T8" s="5" t="str">
        <f>CONCATENATE(B8,".",T7)</f>
        <v>Legal Name.nl</v>
      </c>
      <c r="U8" s="5" t="str">
        <f>CONCATENATE(B8,".",U7)</f>
        <v>Legal Name.no</v>
      </c>
      <c r="V8" s="5" t="str">
        <f>CONCATENATE(B8,".",V7)</f>
        <v>Legal Name.pl</v>
      </c>
      <c r="W8" s="5" t="str">
        <f>CONCATENATE(B8,".",W7)</f>
        <v>Legal Name.pt</v>
      </c>
      <c r="X8" s="5" t="str">
        <f>CONCATENATE(B8,".",X7)</f>
        <v>Legal Name.ro</v>
      </c>
      <c r="Y8" s="5" t="str">
        <f>CONCATENATE(B8,".",Y7)</f>
        <v>Legal Name.sk</v>
      </c>
      <c r="Z8" s="5" t="str">
        <f>CONCATENATE(B8,".",Z7)</f>
        <v>Legal Name.sl</v>
      </c>
      <c r="AA8" s="5" t="str">
        <f>CONCATENATE(B8,".",AA7)</f>
        <v>Legal Name.sv</v>
      </c>
      <c r="AB8" s="5" t="s">
        <v>324</v>
      </c>
      <c r="AC8" s="5" t="str">
        <f>CONCATENATE(AB8,".",AC7)</f>
        <v>Common Name.bg</v>
      </c>
      <c r="AD8" s="5" t="str">
        <f>CONCATENATE(AB8,".",AD7)</f>
        <v>Common Name.cs</v>
      </c>
      <c r="AE8" s="5" t="str">
        <f>CONCATENATE(AB8,".",AE7)</f>
        <v>Common Name.da</v>
      </c>
      <c r="AF8" s="5" t="str">
        <f>CONCATENATE(AB8,".",AF7)</f>
        <v>Common Name.de</v>
      </c>
      <c r="AG8" s="5" t="str">
        <f>CONCATENATE(AB8,".",AG7)</f>
        <v>Common Name.el</v>
      </c>
      <c r="AH8" s="5" t="str">
        <f>CONCATENATE(AB8,".",AH7)</f>
        <v>Common Name.es</v>
      </c>
      <c r="AI8" s="5" t="str">
        <f>CONCATENATE(AB8,".",AI7)</f>
        <v>Common Name.et</v>
      </c>
      <c r="AJ8" s="5" t="str">
        <f>CONCATENATE(AB8,".",AJ7)</f>
        <v>Common Name.fi</v>
      </c>
      <c r="AK8" s="5" t="str">
        <f>CONCATENATE(AB8,".",AK7)</f>
        <v>Common Name.fr</v>
      </c>
      <c r="AL8" s="5" t="str">
        <f>CONCATENATE(AB8,".",AL7)</f>
        <v>Common Name.ga</v>
      </c>
      <c r="AM8" s="5" t="str">
        <f>CONCATENATE(AB8,".",AM7)</f>
        <v>Common Name.hr</v>
      </c>
      <c r="AN8" s="5" t="str">
        <f>CONCATENATE(AB8,".",AN7)</f>
        <v>Common Name.hu</v>
      </c>
      <c r="AO8" s="5" t="str">
        <f>CONCATENATE(AB8,".",AO7)</f>
        <v>Common Name.is</v>
      </c>
      <c r="AP8" s="5" t="str">
        <f>CONCATENATE(AB8,".",AP7)</f>
        <v>Common Name.it</v>
      </c>
      <c r="AQ8" s="5" t="str">
        <f>CONCATENATE(AB8,".",AQ7)</f>
        <v>Common Name.lt</v>
      </c>
      <c r="AR8" s="5" t="str">
        <f>CONCATENATE(AB8,".",AR7)</f>
        <v>Common Name.lv</v>
      </c>
      <c r="AS8" s="5" t="str">
        <f>CONCATENATE(AB8,".",AS7)</f>
        <v>Common Name.mt</v>
      </c>
      <c r="AT8" s="5" t="str">
        <f>CONCATENATE(AB8,".",AT7)</f>
        <v>Common Name.nl</v>
      </c>
      <c r="AU8" s="5" t="str">
        <f>CONCATENATE(AB8,".",AU7)</f>
        <v>Common Name.no</v>
      </c>
      <c r="AV8" s="5" t="str">
        <f>CONCATENATE(AB8,".",AV7)</f>
        <v>Common Name.pl</v>
      </c>
      <c r="AW8" s="5" t="str">
        <f>CONCATENATE(AB8,".",AW7)</f>
        <v>Common Name.pt</v>
      </c>
      <c r="AX8" s="5" t="str">
        <f>CONCATENATE(AB8,".",AX7)</f>
        <v>Common Name.ro</v>
      </c>
      <c r="AY8" s="5" t="str">
        <f>CONCATENATE(AB8,".",AY7)</f>
        <v>Common Name.sk</v>
      </c>
      <c r="AZ8" s="5" t="str">
        <f>CONCATENATE(AB8,".",AZ7)</f>
        <v>Common Name.sl</v>
      </c>
      <c r="BA8" s="5" t="str">
        <f>CONCATENATE(AB8,".",BA7)</f>
        <v>Common Name.sv</v>
      </c>
      <c r="BB8" s="282" t="s">
        <v>325</v>
      </c>
      <c r="BC8" s="283"/>
      <c r="BD8" s="5" t="s">
        <v>326</v>
      </c>
      <c r="BE8" s="5" t="s">
        <v>327</v>
      </c>
      <c r="BF8" s="5" t="s">
        <v>328</v>
      </c>
      <c r="BG8" s="5" t="str">
        <f>CONCATENATE(BF8,".",BG7)</f>
        <v>Location Name.bg</v>
      </c>
      <c r="BH8" s="5" t="str">
        <f>CONCATENATE(BF8,".",BH7)</f>
        <v>Location Name.cs</v>
      </c>
      <c r="BI8" s="5" t="str">
        <f>CONCATENATE(BF8,".",BI7)</f>
        <v>Location Name.da</v>
      </c>
      <c r="BJ8" s="5" t="str">
        <f>CONCATENATE(BF8,".",BJ7)</f>
        <v>Location Name.de</v>
      </c>
      <c r="BK8" s="5" t="str">
        <f>CONCATENATE(BF8,".",BK7)</f>
        <v>Location Name.el</v>
      </c>
      <c r="BL8" s="5" t="str">
        <f>CONCATENATE(BF8,".",BL7)</f>
        <v>Location Name.es</v>
      </c>
      <c r="BM8" s="5" t="str">
        <f>CONCATENATE(BF8,".",BM7)</f>
        <v>Location Name.et</v>
      </c>
      <c r="BN8" s="5" t="str">
        <f>CONCATENATE(BF8,".",BN7)</f>
        <v>Location Name.fi</v>
      </c>
      <c r="BO8" s="5" t="str">
        <f>CONCATENATE(BF8,".",BO7)</f>
        <v>Location Name.fr</v>
      </c>
      <c r="BP8" s="5" t="str">
        <f>CONCATENATE(BF8,".",BP7)</f>
        <v>Location Name.ga</v>
      </c>
      <c r="BQ8" s="5" t="str">
        <f>CONCATENATE(BF8,".",BQ7)</f>
        <v>Location Name.hr</v>
      </c>
      <c r="BR8" s="5" t="str">
        <f>CONCATENATE(BF8,".",BR7)</f>
        <v>Location Name.hu</v>
      </c>
      <c r="BS8" s="5" t="str">
        <f>CONCATENATE(BF8,".",BS7)</f>
        <v>Location Name.is</v>
      </c>
      <c r="BT8" s="5" t="str">
        <f>CONCATENATE(BF8,".",BT7)</f>
        <v>Location Name.it</v>
      </c>
      <c r="BU8" s="5" t="str">
        <f>CONCATENATE(BF8,".",BU7)</f>
        <v>Location Name.lt</v>
      </c>
      <c r="BV8" s="5" t="str">
        <f>CONCATENATE(BF8,".",BV7)</f>
        <v>Location Name.lv</v>
      </c>
      <c r="BW8" s="5" t="str">
        <f>CONCATENATE(BF8,".",BW7)</f>
        <v>Location Name.mt</v>
      </c>
      <c r="BX8" s="5" t="str">
        <f>CONCATENATE(BF8,".",BX7)</f>
        <v>Location Name.nl</v>
      </c>
      <c r="BY8" s="5" t="str">
        <f>CONCATENATE(BF8,".",BY7)</f>
        <v>Location Name.no</v>
      </c>
      <c r="BZ8" s="5" t="str">
        <f>CONCATENATE(BF8,".",BZ7)</f>
        <v>Location Name.pl</v>
      </c>
      <c r="CA8" s="5" t="str">
        <f>CONCATENATE(BF8,".",CA7)</f>
        <v>Location Name.pt</v>
      </c>
      <c r="CB8" s="5" t="str">
        <f>CONCATENATE(BF8,".",CB7)</f>
        <v>Location Name.ro</v>
      </c>
      <c r="CC8" s="5" t="str">
        <f>CONCATENATE(BF8,".",CC7)</f>
        <v>Location Name.sk</v>
      </c>
      <c r="CD8" s="5" t="str">
        <f>CONCATENATE(BF8,".",CD7)</f>
        <v>Location Name.sl</v>
      </c>
      <c r="CE8" s="5" t="str">
        <f>CONCATENATE(BF8,".",CE7)</f>
        <v>Location Name.sv</v>
      </c>
      <c r="CF8" s="5" t="s">
        <v>219</v>
      </c>
      <c r="CG8" s="5" t="str">
        <f>CONCATENATE(CF8,".",CG7)</f>
        <v>Full Address.bg</v>
      </c>
      <c r="CH8" s="5" t="str">
        <f>CONCATENATE(CF8,".",CH7)</f>
        <v>Full Address.cs</v>
      </c>
      <c r="CI8" s="5" t="str">
        <f>CONCATENATE(CF8,".",CI7)</f>
        <v>Full Address.da</v>
      </c>
      <c r="CJ8" s="5" t="str">
        <f>CONCATENATE(CF8,".",CJ7)</f>
        <v>Full Address.de</v>
      </c>
      <c r="CK8" s="5" t="str">
        <f>CONCATENATE(CF8,".",CK7)</f>
        <v>Full Address.el</v>
      </c>
      <c r="CL8" s="5" t="str">
        <f>CONCATENATE(CF8,".",CL7)</f>
        <v>Full Address.es</v>
      </c>
      <c r="CM8" s="5" t="str">
        <f>CONCATENATE(CF8,".",CM7)</f>
        <v>Full Address.et</v>
      </c>
      <c r="CN8" s="5" t="str">
        <f>CONCATENATE(CF8,".",CN7)</f>
        <v>Full Address.fi</v>
      </c>
      <c r="CO8" s="5" t="str">
        <f>CONCATENATE(CF8,".",CO7)</f>
        <v>Full Address.fr</v>
      </c>
      <c r="CP8" s="5" t="str">
        <f>CONCATENATE(CF8,".",CP7)</f>
        <v>Full Address.ga</v>
      </c>
      <c r="CQ8" s="5" t="str">
        <f>CONCATENATE(CF8,".",CQ7)</f>
        <v>Full Address.hr</v>
      </c>
      <c r="CR8" s="5" t="str">
        <f>CONCATENATE(CF8,".",CR7)</f>
        <v>Full Address.hu</v>
      </c>
      <c r="CS8" s="5" t="str">
        <f>CONCATENATE(CF8,".",CS7)</f>
        <v>Full Address.is</v>
      </c>
      <c r="CT8" s="5" t="str">
        <f>CONCATENATE(CF8,".",CT7)</f>
        <v>Full Address.it</v>
      </c>
      <c r="CU8" s="5" t="str">
        <f>CONCATENATE(CF8,".",CU7)</f>
        <v>Full Address.lt</v>
      </c>
      <c r="CV8" s="5" t="str">
        <f>CONCATENATE(CF8,".",CV7)</f>
        <v>Full Address.lv</v>
      </c>
      <c r="CW8" s="5" t="str">
        <f>CONCATENATE(CF8,".",CW7)</f>
        <v>Full Address.mt</v>
      </c>
      <c r="CX8" s="5" t="str">
        <f>CONCATENATE(CF8,".",CX7)</f>
        <v>Full Address.nl</v>
      </c>
      <c r="CY8" s="5" t="str">
        <f>CONCATENATE(CF8,".",CY7)</f>
        <v>Full Address.no</v>
      </c>
      <c r="CZ8" s="5" t="str">
        <f>CONCATENATE(CF8,".",CZ7)</f>
        <v>Full Address.pl</v>
      </c>
      <c r="DA8" s="5" t="str">
        <f>CONCATENATE(CF8,".",DA7)</f>
        <v>Full Address.pt</v>
      </c>
      <c r="DB8" s="5" t="str">
        <f>CONCATENATE(CF8,".",DB7)</f>
        <v>Full Address.ro</v>
      </c>
      <c r="DC8" s="5" t="str">
        <f>CONCATENATE(CF8,".",DC7)</f>
        <v>Full Address.sk</v>
      </c>
      <c r="DD8" s="5" t="str">
        <f>CONCATENATE(CF8,".",DD7)</f>
        <v>Full Address.sl</v>
      </c>
      <c r="DE8" s="5" t="str">
        <f>CONCATENATE(CF8,".",DE7)</f>
        <v>Full Address.sv</v>
      </c>
      <c r="DF8" s="5" t="s">
        <v>329</v>
      </c>
      <c r="DG8" s="5"/>
      <c r="DH8" s="278" t="s">
        <v>330</v>
      </c>
      <c r="DI8" s="279"/>
      <c r="DJ8" s="280" t="s">
        <v>331</v>
      </c>
      <c r="DK8" s="281"/>
      <c r="DL8" s="5" t="s">
        <v>332</v>
      </c>
      <c r="DM8" s="5" t="s">
        <v>214</v>
      </c>
      <c r="DN8" s="5" t="s">
        <v>333</v>
      </c>
      <c r="DO8" s="5" t="s">
        <v>216</v>
      </c>
      <c r="DP8" s="19" t="s">
        <v>334</v>
      </c>
      <c r="DQ8" s="19"/>
      <c r="DR8" s="19" t="s">
        <v>335</v>
      </c>
      <c r="DS8" s="19"/>
    </row>
    <row r="9" spans="1:123" s="73" customFormat="1" ht="56.85" customHeight="1">
      <c r="A9" s="6" t="s">
        <v>70</v>
      </c>
      <c r="B9" s="7" t="s">
        <v>336</v>
      </c>
      <c r="C9" s="7"/>
      <c r="D9" s="7"/>
      <c r="E9" s="7"/>
      <c r="F9" s="7"/>
      <c r="G9" s="7"/>
      <c r="H9" s="7"/>
      <c r="I9" s="7"/>
      <c r="J9" s="7"/>
      <c r="K9" s="7"/>
      <c r="L9" s="7"/>
      <c r="M9" s="7"/>
      <c r="N9" s="7"/>
      <c r="O9" s="7"/>
      <c r="P9" s="7"/>
      <c r="Q9" s="7"/>
      <c r="R9" s="7"/>
      <c r="S9" s="7"/>
      <c r="T9" s="7"/>
      <c r="U9" s="7"/>
      <c r="V9" s="7"/>
      <c r="W9" s="7"/>
      <c r="X9" s="7"/>
      <c r="Y9" s="7"/>
      <c r="Z9" s="7"/>
      <c r="AA9" s="7"/>
      <c r="AB9" s="77" t="s">
        <v>337</v>
      </c>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232" t="s">
        <v>338</v>
      </c>
      <c r="BC9" s="233" t="s">
        <v>339</v>
      </c>
      <c r="BD9" s="7" t="s">
        <v>340</v>
      </c>
      <c r="BE9" s="77"/>
      <c r="BF9" s="7"/>
      <c r="BG9" s="7"/>
      <c r="BH9" s="7"/>
      <c r="BI9" s="7"/>
      <c r="BJ9" s="7"/>
      <c r="BK9" s="7"/>
      <c r="BL9" s="7"/>
      <c r="BM9" s="7"/>
      <c r="BN9" s="7"/>
      <c r="BO9" s="7"/>
      <c r="BP9" s="7"/>
      <c r="BQ9" s="7"/>
      <c r="BR9" s="7"/>
      <c r="BS9" s="7"/>
      <c r="BT9" s="7"/>
      <c r="BU9" s="7"/>
      <c r="BV9" s="7"/>
      <c r="BW9" s="7"/>
      <c r="BX9" s="7"/>
      <c r="BY9" s="7"/>
      <c r="BZ9" s="7"/>
      <c r="CA9" s="7"/>
      <c r="CB9" s="7"/>
      <c r="CC9" s="7"/>
      <c r="CD9" s="7"/>
      <c r="CE9" s="7"/>
      <c r="CF9" s="77"/>
      <c r="CG9" s="77"/>
      <c r="CH9" s="77"/>
      <c r="CI9" s="77"/>
      <c r="CJ9" s="77"/>
      <c r="CK9" s="77"/>
      <c r="CL9" s="77"/>
      <c r="CM9" s="77"/>
      <c r="CN9" s="77"/>
      <c r="CO9" s="77"/>
      <c r="CP9" s="77"/>
      <c r="CQ9" s="77"/>
      <c r="CR9" s="77"/>
      <c r="CS9" s="77"/>
      <c r="CT9" s="77"/>
      <c r="CU9" s="77"/>
      <c r="CV9" s="77"/>
      <c r="CW9" s="77"/>
      <c r="CX9" s="77"/>
      <c r="CY9" s="77"/>
      <c r="CZ9" s="77"/>
      <c r="DA9" s="77"/>
      <c r="DB9" s="77"/>
      <c r="DC9" s="77"/>
      <c r="DD9" s="77"/>
      <c r="DE9" s="77"/>
      <c r="DF9" s="7" t="s">
        <v>341</v>
      </c>
      <c r="DG9" s="77"/>
      <c r="DH9" s="221" t="s">
        <v>342</v>
      </c>
      <c r="DI9" s="222" t="s">
        <v>343</v>
      </c>
      <c r="DJ9" s="232" t="s">
        <v>344</v>
      </c>
      <c r="DK9" s="233" t="s">
        <v>345</v>
      </c>
      <c r="DL9" s="7" t="s">
        <v>346</v>
      </c>
      <c r="DM9" s="77"/>
      <c r="DN9" s="7" t="s">
        <v>346</v>
      </c>
      <c r="DO9" s="26"/>
      <c r="DP9" s="26" t="s">
        <v>347</v>
      </c>
      <c r="DQ9" s="26"/>
      <c r="DR9" s="26" t="s">
        <v>347</v>
      </c>
      <c r="DS9" s="26"/>
    </row>
    <row r="10" spans="1:123" ht="15.75" thickBot="1">
      <c r="A10" s="97" t="s">
        <v>42</v>
      </c>
      <c r="B10" s="86"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t="s">
        <v>12</v>
      </c>
      <c r="AC10" s="86" t="s">
        <v>84</v>
      </c>
      <c r="AD10" s="86" t="s">
        <v>85</v>
      </c>
      <c r="AE10" s="86" t="s">
        <v>86</v>
      </c>
      <c r="AF10" s="86" t="s">
        <v>87</v>
      </c>
      <c r="AG10" s="86" t="s">
        <v>88</v>
      </c>
      <c r="AH10" s="86" t="s">
        <v>89</v>
      </c>
      <c r="AI10" s="86" t="s">
        <v>90</v>
      </c>
      <c r="AJ10" s="86" t="s">
        <v>91</v>
      </c>
      <c r="AK10" s="86" t="s">
        <v>92</v>
      </c>
      <c r="AL10" s="86" t="s">
        <v>93</v>
      </c>
      <c r="AM10" s="86" t="s">
        <v>94</v>
      </c>
      <c r="AN10" s="86" t="s">
        <v>95</v>
      </c>
      <c r="AO10" s="86" t="s">
        <v>96</v>
      </c>
      <c r="AP10" s="86" t="s">
        <v>97</v>
      </c>
      <c r="AQ10" s="86" t="s">
        <v>98</v>
      </c>
      <c r="AR10" s="86" t="s">
        <v>99</v>
      </c>
      <c r="AS10" s="86" t="s">
        <v>100</v>
      </c>
      <c r="AT10" s="86" t="s">
        <v>14</v>
      </c>
      <c r="AU10" s="86" t="s">
        <v>101</v>
      </c>
      <c r="AV10" s="86" t="s">
        <v>102</v>
      </c>
      <c r="AW10" s="86" t="s">
        <v>103</v>
      </c>
      <c r="AX10" s="86" t="s">
        <v>104</v>
      </c>
      <c r="AY10" s="86" t="s">
        <v>105</v>
      </c>
      <c r="AZ10" s="86" t="s">
        <v>106</v>
      </c>
      <c r="BA10" s="86" t="s">
        <v>107</v>
      </c>
      <c r="BB10" s="86"/>
      <c r="BC10" s="86"/>
      <c r="BD10" s="86"/>
      <c r="BE10" s="97"/>
      <c r="BF10" s="86"/>
      <c r="BG10" s="86" t="s">
        <v>84</v>
      </c>
      <c r="BH10" s="86" t="s">
        <v>85</v>
      </c>
      <c r="BI10" s="86" t="s">
        <v>86</v>
      </c>
      <c r="BJ10" s="86" t="s">
        <v>87</v>
      </c>
      <c r="BK10" s="86" t="s">
        <v>88</v>
      </c>
      <c r="BL10" s="86" t="s">
        <v>89</v>
      </c>
      <c r="BM10" s="86" t="s">
        <v>90</v>
      </c>
      <c r="BN10" s="86" t="s">
        <v>91</v>
      </c>
      <c r="BO10" s="86" t="s">
        <v>92</v>
      </c>
      <c r="BP10" s="86" t="s">
        <v>93</v>
      </c>
      <c r="BQ10" s="86" t="s">
        <v>94</v>
      </c>
      <c r="BR10" s="86" t="s">
        <v>95</v>
      </c>
      <c r="BS10" s="86" t="s">
        <v>96</v>
      </c>
      <c r="BT10" s="86" t="s">
        <v>97</v>
      </c>
      <c r="BU10" s="86" t="s">
        <v>98</v>
      </c>
      <c r="BV10" s="86" t="s">
        <v>99</v>
      </c>
      <c r="BW10" s="86" t="s">
        <v>100</v>
      </c>
      <c r="BX10" s="86" t="s">
        <v>14</v>
      </c>
      <c r="BY10" s="86" t="s">
        <v>101</v>
      </c>
      <c r="BZ10" s="86" t="s">
        <v>102</v>
      </c>
      <c r="CA10" s="86" t="s">
        <v>103</v>
      </c>
      <c r="CB10" s="86" t="s">
        <v>104</v>
      </c>
      <c r="CC10" s="86" t="s">
        <v>105</v>
      </c>
      <c r="CD10" s="86" t="s">
        <v>106</v>
      </c>
      <c r="CE10" s="86" t="s">
        <v>107</v>
      </c>
      <c r="CF10" s="97"/>
      <c r="CG10" s="86" t="s">
        <v>84</v>
      </c>
      <c r="CH10" s="86" t="s">
        <v>85</v>
      </c>
      <c r="CI10" s="86" t="s">
        <v>86</v>
      </c>
      <c r="CJ10" s="86" t="s">
        <v>87</v>
      </c>
      <c r="CK10" s="86" t="s">
        <v>88</v>
      </c>
      <c r="CL10" s="86" t="s">
        <v>89</v>
      </c>
      <c r="CM10" s="86" t="s">
        <v>90</v>
      </c>
      <c r="CN10" s="86" t="s">
        <v>91</v>
      </c>
      <c r="CO10" s="86" t="s">
        <v>92</v>
      </c>
      <c r="CP10" s="86" t="s">
        <v>93</v>
      </c>
      <c r="CQ10" s="86" t="s">
        <v>94</v>
      </c>
      <c r="CR10" s="86" t="s">
        <v>95</v>
      </c>
      <c r="CS10" s="86" t="s">
        <v>96</v>
      </c>
      <c r="CT10" s="86" t="s">
        <v>97</v>
      </c>
      <c r="CU10" s="86" t="s">
        <v>98</v>
      </c>
      <c r="CV10" s="86" t="s">
        <v>99</v>
      </c>
      <c r="CW10" s="86" t="s">
        <v>100</v>
      </c>
      <c r="CX10" s="86" t="s">
        <v>14</v>
      </c>
      <c r="CY10" s="86" t="s">
        <v>101</v>
      </c>
      <c r="CZ10" s="86" t="s">
        <v>102</v>
      </c>
      <c r="DA10" s="86" t="s">
        <v>103</v>
      </c>
      <c r="DB10" s="86" t="s">
        <v>104</v>
      </c>
      <c r="DC10" s="86" t="s">
        <v>105</v>
      </c>
      <c r="DD10" s="86" t="s">
        <v>106</v>
      </c>
      <c r="DE10" s="86" t="s">
        <v>107</v>
      </c>
      <c r="DF10" s="86"/>
      <c r="DG10" s="97"/>
      <c r="DH10" s="97"/>
      <c r="DI10" s="86"/>
      <c r="DJ10" s="86"/>
      <c r="DK10" s="97"/>
      <c r="DL10" s="86"/>
      <c r="DM10" s="97"/>
      <c r="DN10" s="98"/>
      <c r="DO10" s="86"/>
      <c r="DP10" s="86"/>
      <c r="DQ10" s="86"/>
      <c r="DR10" s="86"/>
      <c r="DS10" s="86"/>
    </row>
    <row r="11" spans="1:123" s="216" customFormat="1" ht="28.5"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186"/>
      <c r="DG11" s="206"/>
      <c r="DH11" s="206"/>
      <c r="DI11" s="206"/>
      <c r="DJ11" s="206"/>
      <c r="DK11" s="206"/>
      <c r="DL11" s="186"/>
      <c r="DM11" s="206"/>
      <c r="DN11" s="186"/>
      <c r="DO11" s="206"/>
      <c r="DP11" s="206"/>
      <c r="DQ11" s="206"/>
      <c r="DR11" s="206"/>
      <c r="DS11" s="206"/>
    </row>
    <row r="12" spans="1:123" ht="28.5" hidden="1" customHeight="1">
      <c r="A12" s="99"/>
      <c r="B12" s="81" t="s">
        <v>348</v>
      </c>
      <c r="C12" s="81" t="s">
        <v>349</v>
      </c>
      <c r="D12" s="81" t="s">
        <v>350</v>
      </c>
      <c r="E12" s="81" t="s">
        <v>351</v>
      </c>
      <c r="F12" s="81" t="s">
        <v>352</v>
      </c>
      <c r="G12" s="81" t="s">
        <v>353</v>
      </c>
      <c r="H12" s="81" t="s">
        <v>354</v>
      </c>
      <c r="I12" s="81" t="s">
        <v>355</v>
      </c>
      <c r="J12" s="81" t="s">
        <v>356</v>
      </c>
      <c r="K12" s="81" t="s">
        <v>357</v>
      </c>
      <c r="L12" s="81" t="s">
        <v>358</v>
      </c>
      <c r="M12" s="81" t="s">
        <v>359</v>
      </c>
      <c r="N12" s="81" t="s">
        <v>360</v>
      </c>
      <c r="O12" s="81" t="s">
        <v>361</v>
      </c>
      <c r="P12" s="81" t="s">
        <v>362</v>
      </c>
      <c r="Q12" s="81" t="s">
        <v>363</v>
      </c>
      <c r="R12" s="81" t="s">
        <v>364</v>
      </c>
      <c r="S12" s="81" t="s">
        <v>365</v>
      </c>
      <c r="T12" s="81" t="s">
        <v>366</v>
      </c>
      <c r="U12" s="81" t="s">
        <v>367</v>
      </c>
      <c r="V12" s="81" t="s">
        <v>368</v>
      </c>
      <c r="W12" s="81" t="s">
        <v>369</v>
      </c>
      <c r="X12" s="81" t="s">
        <v>370</v>
      </c>
      <c r="Y12" s="81" t="s">
        <v>371</v>
      </c>
      <c r="Z12" s="81" t="s">
        <v>372</v>
      </c>
      <c r="AA12" s="81" t="s">
        <v>373</v>
      </c>
      <c r="AB12" s="81" t="s">
        <v>374</v>
      </c>
      <c r="AC12" s="81" t="s">
        <v>375</v>
      </c>
      <c r="AD12" s="81" t="s">
        <v>376</v>
      </c>
      <c r="AE12" s="81" t="s">
        <v>377</v>
      </c>
      <c r="AF12" s="81" t="s">
        <v>378</v>
      </c>
      <c r="AG12" s="81" t="s">
        <v>379</v>
      </c>
      <c r="AH12" s="81" t="s">
        <v>380</v>
      </c>
      <c r="AI12" s="81" t="s">
        <v>381</v>
      </c>
      <c r="AJ12" s="81" t="s">
        <v>382</v>
      </c>
      <c r="AK12" s="81" t="s">
        <v>383</v>
      </c>
      <c r="AL12" s="81" t="s">
        <v>384</v>
      </c>
      <c r="AM12" s="81" t="s">
        <v>385</v>
      </c>
      <c r="AN12" s="81" t="s">
        <v>386</v>
      </c>
      <c r="AO12" s="81" t="s">
        <v>387</v>
      </c>
      <c r="AP12" s="81" t="s">
        <v>388</v>
      </c>
      <c r="AQ12" s="81" t="s">
        <v>389</v>
      </c>
      <c r="AR12" s="81" t="s">
        <v>390</v>
      </c>
      <c r="AS12" s="81" t="s">
        <v>391</v>
      </c>
      <c r="AT12" s="81" t="s">
        <v>392</v>
      </c>
      <c r="AU12" s="81" t="s">
        <v>393</v>
      </c>
      <c r="AV12" s="81" t="s">
        <v>394</v>
      </c>
      <c r="AW12" s="81" t="s">
        <v>395</v>
      </c>
      <c r="AX12" s="81" t="s">
        <v>396</v>
      </c>
      <c r="AY12" s="81" t="s">
        <v>397</v>
      </c>
      <c r="AZ12" s="81" t="s">
        <v>398</v>
      </c>
      <c r="BA12" s="81" t="s">
        <v>399</v>
      </c>
      <c r="BB12" s="81" t="s">
        <v>400</v>
      </c>
      <c r="BC12" s="81" t="s">
        <v>401</v>
      </c>
      <c r="BD12" s="81" t="s">
        <v>402</v>
      </c>
      <c r="BE12" s="100" t="s">
        <v>403</v>
      </c>
      <c r="BF12" s="81" t="s">
        <v>404</v>
      </c>
      <c r="BG12" s="81" t="s">
        <v>405</v>
      </c>
      <c r="BH12" s="81" t="s">
        <v>406</v>
      </c>
      <c r="BI12" s="81" t="s">
        <v>407</v>
      </c>
      <c r="BJ12" s="81" t="s">
        <v>408</v>
      </c>
      <c r="BK12" s="81" t="s">
        <v>409</v>
      </c>
      <c r="BL12" s="81" t="s">
        <v>410</v>
      </c>
      <c r="BM12" s="81" t="s">
        <v>411</v>
      </c>
      <c r="BN12" s="81" t="s">
        <v>412</v>
      </c>
      <c r="BO12" s="81" t="s">
        <v>413</v>
      </c>
      <c r="BP12" s="81" t="s">
        <v>414</v>
      </c>
      <c r="BQ12" s="81" t="s">
        <v>415</v>
      </c>
      <c r="BR12" s="81" t="s">
        <v>416</v>
      </c>
      <c r="BS12" s="81" t="s">
        <v>417</v>
      </c>
      <c r="BT12" s="81" t="s">
        <v>418</v>
      </c>
      <c r="BU12" s="81" t="s">
        <v>419</v>
      </c>
      <c r="BV12" s="81" t="s">
        <v>420</v>
      </c>
      <c r="BW12" s="81" t="s">
        <v>421</v>
      </c>
      <c r="BX12" s="81" t="s">
        <v>422</v>
      </c>
      <c r="BY12" s="81" t="s">
        <v>423</v>
      </c>
      <c r="BZ12" s="81" t="s">
        <v>424</v>
      </c>
      <c r="CA12" s="81" t="s">
        <v>425</v>
      </c>
      <c r="CB12" s="81" t="s">
        <v>426</v>
      </c>
      <c r="CC12" s="81" t="s">
        <v>427</v>
      </c>
      <c r="CD12" s="81" t="s">
        <v>428</v>
      </c>
      <c r="CE12" s="81" t="s">
        <v>429</v>
      </c>
      <c r="CF12" s="81" t="s">
        <v>430</v>
      </c>
      <c r="CG12" s="81" t="s">
        <v>431</v>
      </c>
      <c r="CH12" s="81" t="s">
        <v>432</v>
      </c>
      <c r="CI12" s="81" t="s">
        <v>433</v>
      </c>
      <c r="CJ12" s="81" t="s">
        <v>434</v>
      </c>
      <c r="CK12" s="81" t="s">
        <v>435</v>
      </c>
      <c r="CL12" s="81" t="s">
        <v>436</v>
      </c>
      <c r="CM12" s="81" t="s">
        <v>437</v>
      </c>
      <c r="CN12" s="81" t="s">
        <v>438</v>
      </c>
      <c r="CO12" s="81" t="s">
        <v>439</v>
      </c>
      <c r="CP12" s="81" t="s">
        <v>440</v>
      </c>
      <c r="CQ12" s="81" t="s">
        <v>441</v>
      </c>
      <c r="CR12" s="81" t="s">
        <v>442</v>
      </c>
      <c r="CS12" s="81" t="s">
        <v>443</v>
      </c>
      <c r="CT12" s="81" t="s">
        <v>444</v>
      </c>
      <c r="CU12" s="81" t="s">
        <v>445</v>
      </c>
      <c r="CV12" s="81" t="s">
        <v>446</v>
      </c>
      <c r="CW12" s="81" t="s">
        <v>447</v>
      </c>
      <c r="CX12" s="81" t="s">
        <v>448</v>
      </c>
      <c r="CY12" s="81" t="s">
        <v>449</v>
      </c>
      <c r="CZ12" s="81" t="s">
        <v>450</v>
      </c>
      <c r="DA12" s="81" t="s">
        <v>451</v>
      </c>
      <c r="DB12" s="81" t="s">
        <v>452</v>
      </c>
      <c r="DC12" s="81" t="s">
        <v>453</v>
      </c>
      <c r="DD12" s="81" t="s">
        <v>454</v>
      </c>
      <c r="DE12" s="81" t="s">
        <v>455</v>
      </c>
      <c r="DF12" s="81" t="s">
        <v>456</v>
      </c>
      <c r="DG12" s="101" t="s">
        <v>457</v>
      </c>
      <c r="DH12" s="101" t="s">
        <v>458</v>
      </c>
      <c r="DI12" s="81" t="s">
        <v>459</v>
      </c>
      <c r="DJ12" s="81" t="s">
        <v>460</v>
      </c>
      <c r="DK12" s="81" t="s">
        <v>461</v>
      </c>
      <c r="DL12" s="81" t="s">
        <v>462</v>
      </c>
      <c r="DM12" s="81" t="s">
        <v>463</v>
      </c>
      <c r="DN12" s="81" t="s">
        <v>464</v>
      </c>
      <c r="DO12" s="81" t="s">
        <v>465</v>
      </c>
      <c r="DP12" s="81" t="s">
        <v>466</v>
      </c>
      <c r="DQ12" s="101" t="s">
        <v>467</v>
      </c>
      <c r="DR12" s="81" t="s">
        <v>468</v>
      </c>
      <c r="DS12" s="101" t="s">
        <v>469</v>
      </c>
    </row>
    <row r="13" spans="1:123" ht="28.5" customHeight="1">
      <c r="B13" s="228" t="s">
        <v>5368</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
        <v>5369</v>
      </c>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228" t="s">
        <v>5370</v>
      </c>
      <c r="BC13" s="228">
        <v>1111114424</v>
      </c>
      <c r="BD13" s="106" t="s">
        <v>5371</v>
      </c>
      <c r="BE13" s="106" t="s">
        <v>5372</v>
      </c>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t="str">
        <f>IF(ISBLANK(DF$11),"",DF$11)</f>
        <v/>
      </c>
      <c r="DG13" s="81" t="str" cm="1">
        <f t="array" ref="DG13">MultiMatch(Organisations[[#This Row],[Organisation.hasLocation'#1.hasAddress'#1.countryCode.Reference.]],Vocabularies[name],0)</f>
        <v/>
      </c>
      <c r="DI13" s="89"/>
      <c r="DJ13" s="89"/>
      <c r="DK13" s="89"/>
      <c r="DL13" s="107" t="str">
        <f t="shared" ref="DL13" si="0">IF(ISBLANK(DL$11),"",DL$11)</f>
        <v/>
      </c>
      <c r="DM13" s="89"/>
      <c r="DN13" s="92" t="str">
        <f t="shared" ref="DN13" si="1">IF(ISBLANK(DN$11),"",DN$11)</f>
        <v/>
      </c>
      <c r="DO13" s="89"/>
      <c r="DP13" s="89"/>
      <c r="DQ13" s="89" t="str" cm="1">
        <f t="array" ref="DQ13">MultiMatch(Organisations[[#This Row],[Organisation.hasUnit.Reference.Organisation.]],OrganisationNames,0)</f>
        <v/>
      </c>
      <c r="DR13" s="89"/>
      <c r="DS13" s="81" t="str" cm="1">
        <f t="array" ref="DS13">MultiMatch(Organisations[[#This Row],[Organisation.unitOf.Reference.Organisation.]],OrganisationNames,0)</f>
        <v/>
      </c>
    </row>
    <row r="14" spans="1:123" ht="28.5" customHeight="1">
      <c r="B14" s="228" t="s">
        <v>5373</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89" t="s">
        <v>5374</v>
      </c>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265" t="s">
        <v>5370</v>
      </c>
      <c r="BC14" s="265">
        <v>111111445</v>
      </c>
      <c r="BD14" s="266" t="s">
        <v>5375</v>
      </c>
      <c r="BE14" s="106" t="s">
        <v>5372</v>
      </c>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t="str">
        <f>IF(ISBLANK(DF$11),"",DF$11)</f>
        <v/>
      </c>
      <c r="DG14" s="101" t="str">
        <f t="array" ref="DG14">MultiMatch(Organisations[[#This Row],[Organisation.hasLocation'#1.hasAddress'#1.countryCode.Reference.]],Vocabularies[name],0)</f>
        <v/>
      </c>
      <c r="DI14" s="89"/>
      <c r="DJ14" s="89"/>
      <c r="DK14" s="89"/>
      <c r="DL14" s="262" t="str">
        <f>IF(ISBLANK(DL$11),"",DL$11)</f>
        <v/>
      </c>
      <c r="DM14" s="89"/>
      <c r="DN14" s="263" t="str">
        <f>IF(ISBLANK(DN$11),"",DN$11)</f>
        <v/>
      </c>
      <c r="DO14" s="89"/>
      <c r="DP14" s="89"/>
      <c r="DQ14" s="264" t="str">
        <f t="array" ref="DQ14">MultiMatch(Organisations[[#This Row],[Organisation.hasUnit.Reference.Organisation.]],OrganisationNames,0)</f>
        <v/>
      </c>
      <c r="DR14" s="89" t="s">
        <v>5368</v>
      </c>
      <c r="DS14" s="101" t="str">
        <f t="array" ref="DS14">MultiMatch(Organisations[[#This Row],[Organisation.unitOf.Reference.Organisation.]],OrganisationNames,0)</f>
        <v>13</v>
      </c>
    </row>
  </sheetData>
  <sheetProtection algorithmName="SHA-512" hashValue="BZq7ajWX3k4vqNdOF+E33fw9bben3serkkAsCULxqwchUCol7xrnlNaJTIG0HvBJ3k6pqnlKgD6QdxAqikq+tQ==" saltValue="/NziJFDkYh2EEK+PkMXv6w==" spinCount="100000" sheet="1" objects="1" scenarios="1" formatColumns="0"/>
  <mergeCells count="3">
    <mergeCell ref="DH8:DI8"/>
    <mergeCell ref="DJ8:DK8"/>
    <mergeCell ref="BB8:BC8"/>
  </mergeCells>
  <phoneticPr fontId="12" type="noConversion"/>
  <dataValidations count="2">
    <dataValidation type="list" allowBlank="1" showInputMessage="1" showErrorMessage="1" sqref="DF11 DF13:DF14">
      <formula1>CountryNames</formula1>
    </dataValidation>
    <dataValidation type="list" allowBlank="1" showInputMessage="1" showErrorMessage="1" sqref="DP13:DP14 DR13:DR14">
      <formula1>OrganisationNames</formula1>
    </dataValidation>
  </dataValidations>
  <hyperlinks>
    <hyperlink ref="BE13" r:id="rId1"/>
    <hyperlink ref="BD14" r:id="rId2"/>
    <hyperlink ref="BE14" r:id="rId3"/>
    <hyperlink ref="BD13" r:id="rId4"/>
  </hyperlinks>
  <pageMargins left="0.7" right="0.7" top="0.75" bottom="0.75" header="0.3" footer="0.3"/>
  <pageSetup paperSize="9" orientation="portrait" horizontalDpi="300" verticalDpi="300" r:id="rId5"/>
  <drawing r:id="rId6"/>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C14"/>
  <sheetViews>
    <sheetView zoomScale="80" zoomScaleNormal="80" workbookViewId="0">
      <pane xSplit="27" ySplit="12" topLeftCell="AB13" activePane="bottomRight" state="frozen"/>
      <selection pane="topRight" activeCell="AB1" sqref="AB1"/>
      <selection pane="bottomLeft" activeCell="A13" sqref="A13"/>
      <selection pane="bottomRight" activeCell="BM13" sqref="BM13"/>
    </sheetView>
  </sheetViews>
  <sheetFormatPr baseColWidth="10" defaultColWidth="9.140625" defaultRowHeight="29.1" customHeight="1"/>
  <cols>
    <col min="1" max="1" width="23.85546875" style="81" customWidth="1"/>
    <col min="2" max="2" width="28.85546875" style="81" customWidth="1"/>
    <col min="3" max="27" width="28.85546875" style="81" hidden="1" customWidth="1"/>
    <col min="28" max="28" width="25.85546875" style="81" customWidth="1"/>
    <col min="29" max="30" width="20.85546875" style="81" customWidth="1"/>
    <col min="31" max="31" width="25.5703125" style="81" customWidth="1"/>
    <col min="32" max="32" width="10.85546875" style="81" hidden="1" customWidth="1"/>
    <col min="33" max="33" width="38.85546875" style="81" customWidth="1"/>
    <col min="34" max="58" width="38.85546875" style="81" hidden="1" customWidth="1"/>
    <col min="59" max="59" width="25.85546875" style="81" customWidth="1"/>
    <col min="60" max="60" width="7.85546875" style="81" hidden="1" customWidth="1"/>
    <col min="61" max="61" width="25.85546875" style="81" customWidth="1"/>
    <col min="62" max="62" width="7.85546875" style="81" hidden="1" customWidth="1"/>
    <col min="63" max="63" width="25.85546875" style="81" customWidth="1"/>
    <col min="64" max="64" width="7.85546875" style="81" hidden="1" customWidth="1"/>
    <col min="65" max="65" width="25.85546875" style="81" customWidth="1"/>
    <col min="66" max="66" width="7.85546875" style="111" hidden="1" customWidth="1"/>
    <col min="67" max="67" width="15.140625" style="175" customWidth="1"/>
    <col min="68" max="68" width="18.85546875" style="260" customWidth="1"/>
    <col min="69" max="69" width="15.5703125" style="81" hidden="1" customWidth="1"/>
    <col min="70" max="70" width="30.5703125" style="81" customWidth="1"/>
    <col min="71" max="71" width="16.140625" style="81" hidden="1" customWidth="1"/>
    <col min="72" max="72" width="18.85546875" style="81" customWidth="1"/>
    <col min="73" max="73" width="18.85546875" style="81" hidden="1" customWidth="1"/>
    <col min="74" max="74" width="25.85546875" style="162" customWidth="1"/>
    <col min="75" max="99" width="25.85546875" style="111" hidden="1" customWidth="1"/>
    <col min="100" max="100" width="35.85546875" style="111" customWidth="1"/>
    <col min="101" max="125" width="35.85546875" style="111" hidden="1" customWidth="1"/>
    <col min="126" max="126" width="30.5703125" customWidth="1"/>
    <col min="127" max="127" width="22.85546875" style="81" customWidth="1"/>
    <col min="128" max="128" width="35.5703125" style="81" customWidth="1"/>
    <col min="129" max="129" width="31.85546875" style="111" customWidth="1"/>
    <col min="130" max="130" width="15.5703125" style="81" hidden="1" customWidth="1"/>
    <col min="131" max="131" width="30.5703125" style="81" customWidth="1"/>
    <col min="132" max="133" width="30.85546875" style="81" customWidth="1"/>
    <col min="134" max="134" width="35.5703125" style="81" customWidth="1"/>
    <col min="135" max="135" width="35.85546875" style="81" hidden="1" customWidth="1"/>
    <col min="136" max="136" width="25.5703125" style="81" customWidth="1"/>
    <col min="137" max="137" width="15.5703125" style="81" hidden="1" customWidth="1"/>
    <col min="138" max="138" width="25.5703125" style="81" customWidth="1"/>
    <col min="139" max="139" width="15.5703125" style="81" hidden="1" customWidth="1"/>
    <col min="140" max="140" width="25.5703125" style="81" customWidth="1"/>
    <col min="141" max="141" width="15.5703125" style="81" hidden="1" customWidth="1"/>
    <col min="142" max="142" width="25.5703125" style="81" customWidth="1"/>
    <col min="143" max="143" width="15.5703125" style="81" hidden="1" customWidth="1"/>
    <col min="144" max="144" width="30.5703125" style="81" customWidth="1"/>
    <col min="145" max="145" width="30.5703125" style="81" hidden="1" customWidth="1"/>
    <col min="146" max="169" width="30.85546875" style="81" hidden="1" customWidth="1"/>
    <col min="170" max="171" width="30.85546875" style="81" customWidth="1"/>
    <col min="172" max="172" width="35.85546875" style="81" customWidth="1"/>
    <col min="173" max="197" width="35.85546875" style="81" hidden="1" customWidth="1"/>
    <col min="198" max="199" width="35.85546875" style="81" customWidth="1"/>
    <col min="200" max="224" width="30.85546875" style="81" hidden="1" customWidth="1"/>
    <col min="225" max="225" width="8.42578125" style="117" customWidth="1"/>
    <col min="226" max="230" width="9.140625" style="117"/>
    <col min="231" max="232" width="13.85546875" style="117" customWidth="1"/>
    <col min="233" max="16384" width="9.140625" style="117"/>
  </cols>
  <sheetData>
    <row r="1" spans="1:315" s="134" customFormat="1" ht="23.25">
      <c r="A1" s="102" t="s">
        <v>470</v>
      </c>
      <c r="B1" s="78"/>
      <c r="C1" s="78"/>
      <c r="D1" s="78"/>
      <c r="E1" s="78"/>
      <c r="F1" s="78"/>
      <c r="G1" s="78"/>
      <c r="H1" s="78"/>
      <c r="I1" s="78"/>
      <c r="J1" s="78"/>
      <c r="K1" s="78"/>
      <c r="L1" s="78"/>
      <c r="M1" s="78"/>
      <c r="N1" s="78"/>
      <c r="O1" s="78"/>
      <c r="P1" s="78"/>
      <c r="Q1" s="78"/>
      <c r="R1" s="78"/>
      <c r="S1" s="78"/>
      <c r="T1" s="78"/>
      <c r="U1" s="78"/>
      <c r="V1" s="78"/>
      <c r="W1" s="78"/>
      <c r="X1" s="78"/>
      <c r="Y1" s="78"/>
      <c r="Z1" s="78"/>
      <c r="AA1" s="7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51"/>
      <c r="BO1" s="170" t="s">
        <v>471</v>
      </c>
      <c r="BP1" s="152"/>
      <c r="BQ1" s="152"/>
      <c r="BR1" s="152"/>
      <c r="BS1" s="152"/>
      <c r="BT1" s="152"/>
      <c r="BU1" s="152"/>
      <c r="BV1" s="284" t="s">
        <v>472</v>
      </c>
      <c r="BW1" s="285"/>
      <c r="BX1" s="285"/>
      <c r="BY1" s="285"/>
      <c r="BZ1" s="285"/>
      <c r="CA1" s="285"/>
      <c r="CB1" s="285"/>
      <c r="CC1" s="285"/>
      <c r="CD1" s="285"/>
      <c r="CE1" s="285"/>
      <c r="CF1" s="285"/>
      <c r="CG1" s="285"/>
      <c r="CH1" s="285"/>
      <c r="CI1" s="285"/>
      <c r="CJ1" s="285"/>
      <c r="CK1" s="285"/>
      <c r="CL1" s="285"/>
      <c r="CM1" s="285"/>
      <c r="CN1" s="285"/>
      <c r="CO1" s="285"/>
      <c r="CP1" s="285"/>
      <c r="CQ1" s="285"/>
      <c r="CR1" s="285"/>
      <c r="CS1" s="285"/>
      <c r="CT1" s="285"/>
      <c r="CU1" s="285"/>
      <c r="CV1" s="285"/>
      <c r="CW1" s="285"/>
      <c r="CX1" s="285"/>
      <c r="CY1" s="285"/>
      <c r="CZ1" s="285"/>
      <c r="DA1" s="285"/>
      <c r="DB1" s="285"/>
      <c r="DC1" s="285"/>
      <c r="DD1" s="285"/>
      <c r="DE1" s="285"/>
      <c r="DF1" s="285"/>
      <c r="DG1" s="285"/>
      <c r="DH1" s="285"/>
      <c r="DI1" s="285"/>
      <c r="DJ1" s="285"/>
      <c r="DK1" s="285"/>
      <c r="DL1" s="285"/>
      <c r="DM1" s="285"/>
      <c r="DN1" s="285"/>
      <c r="DO1" s="285"/>
      <c r="DP1" s="285"/>
      <c r="DQ1" s="285"/>
      <c r="DR1" s="285"/>
      <c r="DS1" s="285"/>
      <c r="DT1" s="285"/>
      <c r="DU1" s="285"/>
      <c r="DV1" s="285"/>
      <c r="DW1" s="285"/>
      <c r="DX1" s="285"/>
      <c r="DY1" s="285"/>
      <c r="DZ1" s="285"/>
      <c r="EA1" s="285"/>
      <c r="EB1" s="285"/>
      <c r="EC1" s="285"/>
      <c r="ED1" s="285"/>
      <c r="EE1" s="285"/>
      <c r="EF1" s="285"/>
      <c r="EG1" s="285"/>
      <c r="EH1" s="285"/>
      <c r="EI1" s="285"/>
      <c r="EJ1" s="285"/>
      <c r="EK1" s="285"/>
      <c r="EL1" s="285"/>
      <c r="EM1" s="285"/>
      <c r="EN1" s="285"/>
      <c r="EO1" s="285"/>
      <c r="EP1" s="285"/>
      <c r="EQ1" s="285"/>
      <c r="ER1" s="285"/>
      <c r="ES1" s="285"/>
      <c r="ET1" s="285"/>
      <c r="EU1" s="285"/>
      <c r="EV1" s="285"/>
      <c r="EW1" s="285"/>
      <c r="EX1" s="285"/>
      <c r="EY1" s="285"/>
      <c r="EZ1" s="285"/>
      <c r="FA1" s="285"/>
      <c r="FB1" s="285"/>
      <c r="FC1" s="285"/>
      <c r="FD1" s="285"/>
      <c r="FE1" s="285"/>
      <c r="FF1" s="285"/>
      <c r="FG1" s="285"/>
      <c r="FH1" s="285"/>
      <c r="FI1" s="285"/>
      <c r="FJ1" s="285"/>
      <c r="FK1" s="285"/>
      <c r="FL1" s="285"/>
      <c r="FM1" s="285"/>
      <c r="FN1" s="285"/>
      <c r="FO1" s="285"/>
      <c r="FP1" s="285"/>
      <c r="FQ1" s="285"/>
      <c r="FR1" s="285"/>
      <c r="FS1" s="285"/>
      <c r="FT1" s="285"/>
      <c r="FU1" s="285"/>
      <c r="FV1" s="285"/>
      <c r="FW1" s="285"/>
      <c r="FX1" s="285"/>
      <c r="FY1" s="285"/>
      <c r="FZ1" s="285"/>
      <c r="GA1" s="285"/>
      <c r="GB1" s="285"/>
      <c r="GC1" s="285"/>
      <c r="GD1" s="285"/>
      <c r="GE1" s="285"/>
      <c r="GF1" s="285"/>
      <c r="GG1" s="285"/>
      <c r="GH1" s="285"/>
      <c r="GI1" s="285"/>
      <c r="GJ1" s="285"/>
      <c r="GK1" s="285"/>
      <c r="GL1" s="285"/>
      <c r="GM1" s="285"/>
      <c r="GN1" s="285"/>
      <c r="GO1" s="285"/>
      <c r="GP1" s="285"/>
      <c r="GQ1" s="285"/>
      <c r="GR1" s="285"/>
      <c r="GS1" s="285"/>
      <c r="GT1" s="285"/>
      <c r="GU1" s="285"/>
      <c r="GV1" s="285"/>
      <c r="GW1" s="285"/>
      <c r="GX1" s="285"/>
      <c r="GY1" s="285"/>
      <c r="GZ1" s="285"/>
      <c r="HA1" s="285"/>
      <c r="HB1" s="285"/>
      <c r="HC1" s="285"/>
      <c r="HD1" s="285"/>
      <c r="HE1" s="285"/>
      <c r="HF1" s="285"/>
      <c r="HG1" s="285"/>
      <c r="HH1" s="285"/>
      <c r="HI1" s="285"/>
      <c r="HJ1" s="285"/>
      <c r="HK1" s="285"/>
      <c r="HL1" s="285"/>
      <c r="HM1" s="285"/>
      <c r="HN1" s="285"/>
      <c r="HO1" s="285"/>
      <c r="HP1" s="285"/>
    </row>
    <row r="2" spans="1:315" ht="30" hidden="1" customHeight="1">
      <c r="A2" s="82" t="s">
        <v>16</v>
      </c>
      <c r="B2" s="113" t="s">
        <v>201</v>
      </c>
      <c r="C2" s="113" t="s">
        <v>201</v>
      </c>
      <c r="D2" s="113" t="s">
        <v>201</v>
      </c>
      <c r="E2" s="113" t="s">
        <v>201</v>
      </c>
      <c r="F2" s="113" t="s">
        <v>201</v>
      </c>
      <c r="G2" s="113" t="s">
        <v>201</v>
      </c>
      <c r="H2" s="113" t="s">
        <v>201</v>
      </c>
      <c r="I2" s="113" t="s">
        <v>201</v>
      </c>
      <c r="J2" s="113" t="s">
        <v>201</v>
      </c>
      <c r="K2" s="113" t="s">
        <v>201</v>
      </c>
      <c r="L2" s="113" t="s">
        <v>201</v>
      </c>
      <c r="M2" s="113" t="s">
        <v>201</v>
      </c>
      <c r="N2" s="113" t="s">
        <v>201</v>
      </c>
      <c r="O2" s="113" t="s">
        <v>201</v>
      </c>
      <c r="P2" s="113" t="s">
        <v>201</v>
      </c>
      <c r="Q2" s="113" t="s">
        <v>201</v>
      </c>
      <c r="R2" s="113" t="s">
        <v>201</v>
      </c>
      <c r="S2" s="113" t="s">
        <v>201</v>
      </c>
      <c r="T2" s="113" t="s">
        <v>201</v>
      </c>
      <c r="U2" s="113" t="s">
        <v>201</v>
      </c>
      <c r="V2" s="113" t="s">
        <v>201</v>
      </c>
      <c r="W2" s="113" t="s">
        <v>201</v>
      </c>
      <c r="X2" s="113" t="s">
        <v>201</v>
      </c>
      <c r="Y2" s="113" t="s">
        <v>201</v>
      </c>
      <c r="Z2" s="113" t="s">
        <v>201</v>
      </c>
      <c r="AA2" s="113" t="s">
        <v>201</v>
      </c>
      <c r="AB2" s="82" t="s">
        <v>473</v>
      </c>
      <c r="AC2" s="82" t="s">
        <v>473</v>
      </c>
      <c r="AD2" s="113" t="s">
        <v>474</v>
      </c>
      <c r="AE2" s="113" t="s">
        <v>474</v>
      </c>
      <c r="AF2" s="113" t="s">
        <v>474</v>
      </c>
      <c r="AG2" s="113" t="s">
        <v>201</v>
      </c>
      <c r="AH2" s="113" t="s">
        <v>201</v>
      </c>
      <c r="AI2" s="113" t="s">
        <v>201</v>
      </c>
      <c r="AJ2" s="113" t="s">
        <v>201</v>
      </c>
      <c r="AK2" s="113" t="s">
        <v>201</v>
      </c>
      <c r="AL2" s="113" t="s">
        <v>201</v>
      </c>
      <c r="AM2" s="113" t="s">
        <v>201</v>
      </c>
      <c r="AN2" s="113" t="s">
        <v>201</v>
      </c>
      <c r="AO2" s="113" t="s">
        <v>201</v>
      </c>
      <c r="AP2" s="113" t="s">
        <v>201</v>
      </c>
      <c r="AQ2" s="113" t="s">
        <v>201</v>
      </c>
      <c r="AR2" s="113" t="s">
        <v>201</v>
      </c>
      <c r="AS2" s="113" t="s">
        <v>201</v>
      </c>
      <c r="AT2" s="113" t="s">
        <v>201</v>
      </c>
      <c r="AU2" s="113" t="s">
        <v>201</v>
      </c>
      <c r="AV2" s="113" t="s">
        <v>201</v>
      </c>
      <c r="AW2" s="113" t="s">
        <v>201</v>
      </c>
      <c r="AX2" s="113" t="s">
        <v>201</v>
      </c>
      <c r="AY2" s="113" t="s">
        <v>201</v>
      </c>
      <c r="AZ2" s="113" t="s">
        <v>201</v>
      </c>
      <c r="BA2" s="113" t="s">
        <v>201</v>
      </c>
      <c r="BB2" s="113" t="s">
        <v>201</v>
      </c>
      <c r="BC2" s="113" t="s">
        <v>201</v>
      </c>
      <c r="BD2" s="113" t="s">
        <v>201</v>
      </c>
      <c r="BE2" s="113" t="s">
        <v>201</v>
      </c>
      <c r="BF2" s="113" t="s">
        <v>201</v>
      </c>
      <c r="BG2" s="113" t="s">
        <v>201</v>
      </c>
      <c r="BH2" s="113" t="s">
        <v>201</v>
      </c>
      <c r="BI2" s="113" t="s">
        <v>201</v>
      </c>
      <c r="BJ2" s="113" t="s">
        <v>201</v>
      </c>
      <c r="BK2" s="96" t="s">
        <v>201</v>
      </c>
      <c r="BL2" s="96" t="s">
        <v>201</v>
      </c>
      <c r="BM2" s="96" t="s">
        <v>201</v>
      </c>
      <c r="BN2" s="113" t="s">
        <v>201</v>
      </c>
      <c r="BO2" s="171" t="s">
        <v>475</v>
      </c>
      <c r="BP2" s="113" t="s">
        <v>475</v>
      </c>
      <c r="BQ2" s="113" t="s">
        <v>475</v>
      </c>
      <c r="BR2" s="113" t="s">
        <v>475</v>
      </c>
      <c r="BS2" s="113" t="s">
        <v>475</v>
      </c>
      <c r="BT2" s="113" t="s">
        <v>475</v>
      </c>
      <c r="BU2" s="113" t="s">
        <v>475</v>
      </c>
      <c r="BV2" s="153" t="s">
        <v>475</v>
      </c>
      <c r="BW2" s="114" t="s">
        <v>475</v>
      </c>
      <c r="BX2" s="114" t="s">
        <v>475</v>
      </c>
      <c r="BY2" s="114" t="s">
        <v>475</v>
      </c>
      <c r="BZ2" s="114" t="s">
        <v>475</v>
      </c>
      <c r="CA2" s="114" t="s">
        <v>475</v>
      </c>
      <c r="CB2" s="114" t="s">
        <v>475</v>
      </c>
      <c r="CC2" s="114" t="s">
        <v>475</v>
      </c>
      <c r="CD2" s="114" t="s">
        <v>475</v>
      </c>
      <c r="CE2" s="114" t="s">
        <v>475</v>
      </c>
      <c r="CF2" s="114" t="s">
        <v>475</v>
      </c>
      <c r="CG2" s="114" t="s">
        <v>475</v>
      </c>
      <c r="CH2" s="114" t="s">
        <v>475</v>
      </c>
      <c r="CI2" s="114" t="s">
        <v>475</v>
      </c>
      <c r="CJ2" s="114" t="s">
        <v>475</v>
      </c>
      <c r="CK2" s="114" t="s">
        <v>475</v>
      </c>
      <c r="CL2" s="114" t="s">
        <v>475</v>
      </c>
      <c r="CM2" s="114" t="s">
        <v>475</v>
      </c>
      <c r="CN2" s="114" t="s">
        <v>475</v>
      </c>
      <c r="CO2" s="114" t="s">
        <v>475</v>
      </c>
      <c r="CP2" s="114" t="s">
        <v>475</v>
      </c>
      <c r="CQ2" s="114" t="s">
        <v>475</v>
      </c>
      <c r="CR2" s="114" t="s">
        <v>475</v>
      </c>
      <c r="CS2" s="114" t="s">
        <v>475</v>
      </c>
      <c r="CT2" s="114" t="s">
        <v>475</v>
      </c>
      <c r="CU2" s="114" t="s">
        <v>475</v>
      </c>
      <c r="CV2" s="114" t="s">
        <v>475</v>
      </c>
      <c r="CW2" s="114" t="s">
        <v>475</v>
      </c>
      <c r="CX2" s="114" t="s">
        <v>475</v>
      </c>
      <c r="CY2" s="114" t="s">
        <v>475</v>
      </c>
      <c r="CZ2" s="114" t="s">
        <v>475</v>
      </c>
      <c r="DA2" s="114" t="s">
        <v>475</v>
      </c>
      <c r="DB2" s="114" t="s">
        <v>475</v>
      </c>
      <c r="DC2" s="114" t="s">
        <v>475</v>
      </c>
      <c r="DD2" s="114" t="s">
        <v>475</v>
      </c>
      <c r="DE2" s="114" t="s">
        <v>475</v>
      </c>
      <c r="DF2" s="114" t="s">
        <v>475</v>
      </c>
      <c r="DG2" s="114" t="s">
        <v>475</v>
      </c>
      <c r="DH2" s="114" t="s">
        <v>475</v>
      </c>
      <c r="DI2" s="114" t="s">
        <v>475</v>
      </c>
      <c r="DJ2" s="114" t="s">
        <v>475</v>
      </c>
      <c r="DK2" s="114" t="s">
        <v>475</v>
      </c>
      <c r="DL2" s="114" t="s">
        <v>475</v>
      </c>
      <c r="DM2" s="114" t="s">
        <v>475</v>
      </c>
      <c r="DN2" s="114" t="s">
        <v>475</v>
      </c>
      <c r="DO2" s="114" t="s">
        <v>475</v>
      </c>
      <c r="DP2" s="114" t="s">
        <v>475</v>
      </c>
      <c r="DQ2" s="114" t="s">
        <v>475</v>
      </c>
      <c r="DR2" s="114" t="s">
        <v>475</v>
      </c>
      <c r="DS2" s="114" t="s">
        <v>475</v>
      </c>
      <c r="DT2" s="114" t="s">
        <v>475</v>
      </c>
      <c r="DU2" s="114" t="s">
        <v>475</v>
      </c>
      <c r="DV2" s="82" t="s">
        <v>476</v>
      </c>
      <c r="DW2" s="82" t="s">
        <v>476</v>
      </c>
      <c r="DX2" s="114" t="s">
        <v>477</v>
      </c>
      <c r="DY2" s="114" t="s">
        <v>475</v>
      </c>
      <c r="DZ2" s="114" t="s">
        <v>475</v>
      </c>
      <c r="EA2" s="113" t="s">
        <v>475</v>
      </c>
      <c r="EB2" s="113" t="s">
        <v>475</v>
      </c>
      <c r="EC2" s="113" t="s">
        <v>478</v>
      </c>
      <c r="ED2" s="113" t="s">
        <v>475</v>
      </c>
      <c r="EE2" s="113" t="s">
        <v>475</v>
      </c>
      <c r="EF2" s="113" t="s">
        <v>475</v>
      </c>
      <c r="EG2" s="113" t="s">
        <v>475</v>
      </c>
      <c r="EH2" s="113" t="s">
        <v>475</v>
      </c>
      <c r="EI2" s="113" t="s">
        <v>475</v>
      </c>
      <c r="EJ2" s="113" t="s">
        <v>475</v>
      </c>
      <c r="EK2" s="113" t="s">
        <v>475</v>
      </c>
      <c r="EL2" s="113" t="s">
        <v>475</v>
      </c>
      <c r="EM2" s="113" t="s">
        <v>475</v>
      </c>
      <c r="EN2" s="113" t="s">
        <v>475</v>
      </c>
      <c r="EO2" s="113" t="s">
        <v>475</v>
      </c>
      <c r="EP2" s="113" t="s">
        <v>475</v>
      </c>
      <c r="EQ2" s="113" t="s">
        <v>475</v>
      </c>
      <c r="ER2" s="113" t="s">
        <v>475</v>
      </c>
      <c r="ES2" s="113" t="s">
        <v>475</v>
      </c>
      <c r="ET2" s="113" t="s">
        <v>475</v>
      </c>
      <c r="EU2" s="113" t="s">
        <v>475</v>
      </c>
      <c r="EV2" s="113" t="s">
        <v>475</v>
      </c>
      <c r="EW2" s="113" t="s">
        <v>475</v>
      </c>
      <c r="EX2" s="113" t="s">
        <v>475</v>
      </c>
      <c r="EY2" s="113" t="s">
        <v>475</v>
      </c>
      <c r="EZ2" s="113" t="s">
        <v>475</v>
      </c>
      <c r="FA2" s="113" t="s">
        <v>475</v>
      </c>
      <c r="FB2" s="113" t="s">
        <v>475</v>
      </c>
      <c r="FC2" s="113" t="s">
        <v>475</v>
      </c>
      <c r="FD2" s="113" t="s">
        <v>475</v>
      </c>
      <c r="FE2" s="113" t="s">
        <v>475</v>
      </c>
      <c r="FF2" s="113" t="s">
        <v>475</v>
      </c>
      <c r="FG2" s="113" t="s">
        <v>475</v>
      </c>
      <c r="FH2" s="113" t="s">
        <v>475</v>
      </c>
      <c r="FI2" s="113" t="s">
        <v>475</v>
      </c>
      <c r="FJ2" s="113" t="s">
        <v>475</v>
      </c>
      <c r="FK2" s="113" t="s">
        <v>475</v>
      </c>
      <c r="FL2" s="113" t="s">
        <v>475</v>
      </c>
      <c r="FM2" s="113" t="s">
        <v>475</v>
      </c>
      <c r="FN2" s="113" t="s">
        <v>479</v>
      </c>
      <c r="FO2" s="113" t="s">
        <v>475</v>
      </c>
      <c r="FP2" s="113" t="s">
        <v>475</v>
      </c>
      <c r="FQ2" s="113" t="s">
        <v>475</v>
      </c>
      <c r="FR2" s="113" t="s">
        <v>475</v>
      </c>
      <c r="FS2" s="113" t="s">
        <v>475</v>
      </c>
      <c r="FT2" s="113" t="s">
        <v>475</v>
      </c>
      <c r="FU2" s="113" t="s">
        <v>475</v>
      </c>
      <c r="FV2" s="113" t="s">
        <v>475</v>
      </c>
      <c r="FW2" s="113" t="s">
        <v>475</v>
      </c>
      <c r="FX2" s="113" t="s">
        <v>475</v>
      </c>
      <c r="FY2" s="113" t="s">
        <v>475</v>
      </c>
      <c r="FZ2" s="113" t="s">
        <v>475</v>
      </c>
      <c r="GA2" s="113" t="s">
        <v>475</v>
      </c>
      <c r="GB2" s="113" t="s">
        <v>475</v>
      </c>
      <c r="GC2" s="113" t="s">
        <v>475</v>
      </c>
      <c r="GD2" s="113" t="s">
        <v>475</v>
      </c>
      <c r="GE2" s="113" t="s">
        <v>475</v>
      </c>
      <c r="GF2" s="113" t="s">
        <v>475</v>
      </c>
      <c r="GG2" s="113" t="s">
        <v>475</v>
      </c>
      <c r="GH2" s="113" t="s">
        <v>475</v>
      </c>
      <c r="GI2" s="113" t="s">
        <v>475</v>
      </c>
      <c r="GJ2" s="113" t="s">
        <v>475</v>
      </c>
      <c r="GK2" s="113" t="s">
        <v>475</v>
      </c>
      <c r="GL2" s="113" t="s">
        <v>475</v>
      </c>
      <c r="GM2" s="113" t="s">
        <v>475</v>
      </c>
      <c r="GN2" s="113" t="s">
        <v>475</v>
      </c>
      <c r="GO2" s="113" t="s">
        <v>475</v>
      </c>
      <c r="GP2" s="113" t="s">
        <v>475</v>
      </c>
      <c r="GQ2" s="113" t="s">
        <v>475</v>
      </c>
      <c r="GR2" s="113" t="s">
        <v>475</v>
      </c>
      <c r="GS2" s="113" t="s">
        <v>475</v>
      </c>
      <c r="GT2" s="113" t="s">
        <v>475</v>
      </c>
      <c r="GU2" s="113" t="s">
        <v>475</v>
      </c>
      <c r="GV2" s="113" t="s">
        <v>475</v>
      </c>
      <c r="GW2" s="113" t="s">
        <v>475</v>
      </c>
      <c r="GX2" s="113" t="s">
        <v>475</v>
      </c>
      <c r="GY2" s="113" t="s">
        <v>475</v>
      </c>
      <c r="GZ2" s="113" t="s">
        <v>475</v>
      </c>
      <c r="HA2" s="113" t="s">
        <v>475</v>
      </c>
      <c r="HB2" s="113" t="s">
        <v>475</v>
      </c>
      <c r="HC2" s="113" t="s">
        <v>475</v>
      </c>
      <c r="HD2" s="113" t="s">
        <v>475</v>
      </c>
      <c r="HE2" s="113" t="s">
        <v>475</v>
      </c>
      <c r="HF2" s="113" t="s">
        <v>475</v>
      </c>
      <c r="HG2" s="113" t="s">
        <v>475</v>
      </c>
      <c r="HH2" s="113" t="s">
        <v>475</v>
      </c>
      <c r="HI2" s="113" t="s">
        <v>475</v>
      </c>
      <c r="HJ2" s="113" t="s">
        <v>475</v>
      </c>
      <c r="HK2" s="113" t="s">
        <v>475</v>
      </c>
      <c r="HL2" s="113" t="s">
        <v>475</v>
      </c>
      <c r="HM2" s="113" t="s">
        <v>475</v>
      </c>
      <c r="HN2" s="113" t="s">
        <v>475</v>
      </c>
      <c r="HO2" s="113" t="s">
        <v>475</v>
      </c>
      <c r="HP2" s="113" t="s">
        <v>475</v>
      </c>
    </row>
    <row r="3" spans="1:315" ht="30"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82" t="s">
        <v>190</v>
      </c>
      <c r="AC3" s="82" t="s">
        <v>35</v>
      </c>
      <c r="AD3" s="96" t="s">
        <v>480</v>
      </c>
      <c r="AE3" s="96" t="s">
        <v>481</v>
      </c>
      <c r="AF3" s="96" t="s">
        <v>481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21</v>
      </c>
      <c r="BE3" s="96" t="s">
        <v>21</v>
      </c>
      <c r="BF3" s="96" t="s">
        <v>21</v>
      </c>
      <c r="BG3" s="82" t="s">
        <v>482</v>
      </c>
      <c r="BH3" s="82" t="s">
        <v>482</v>
      </c>
      <c r="BI3" s="82" t="s">
        <v>483</v>
      </c>
      <c r="BJ3" s="82" t="s">
        <v>483</v>
      </c>
      <c r="BK3" s="96" t="s">
        <v>484</v>
      </c>
      <c r="BL3" s="96" t="s">
        <v>484</v>
      </c>
      <c r="BM3" s="96" t="s">
        <v>485</v>
      </c>
      <c r="BN3" s="108" t="s">
        <v>485</v>
      </c>
      <c r="BO3" s="171" t="s">
        <v>486</v>
      </c>
      <c r="BP3" s="113" t="s">
        <v>487</v>
      </c>
      <c r="BQ3" s="96" t="s">
        <v>487</v>
      </c>
      <c r="BR3" s="113" t="s">
        <v>488</v>
      </c>
      <c r="BS3" s="113" t="s">
        <v>488</v>
      </c>
      <c r="BT3" s="96" t="s">
        <v>488</v>
      </c>
      <c r="BU3" s="96" t="s">
        <v>488</v>
      </c>
      <c r="BV3" s="153" t="s">
        <v>20</v>
      </c>
      <c r="BW3" s="154" t="s">
        <v>20</v>
      </c>
      <c r="BX3" s="154" t="s">
        <v>20</v>
      </c>
      <c r="BY3" s="154" t="s">
        <v>20</v>
      </c>
      <c r="BZ3" s="154" t="s">
        <v>20</v>
      </c>
      <c r="CA3" s="154" t="s">
        <v>20</v>
      </c>
      <c r="CB3" s="154" t="s">
        <v>20</v>
      </c>
      <c r="CC3" s="154" t="s">
        <v>20</v>
      </c>
      <c r="CD3" s="154" t="s">
        <v>20</v>
      </c>
      <c r="CE3" s="154" t="s">
        <v>20</v>
      </c>
      <c r="CF3" s="154" t="s">
        <v>20</v>
      </c>
      <c r="CG3" s="154" t="s">
        <v>20</v>
      </c>
      <c r="CH3" s="154" t="s">
        <v>20</v>
      </c>
      <c r="CI3" s="154" t="s">
        <v>20</v>
      </c>
      <c r="CJ3" s="154" t="s">
        <v>20</v>
      </c>
      <c r="CK3" s="154" t="s">
        <v>20</v>
      </c>
      <c r="CL3" s="154" t="s">
        <v>20</v>
      </c>
      <c r="CM3" s="154" t="s">
        <v>20</v>
      </c>
      <c r="CN3" s="154" t="s">
        <v>20</v>
      </c>
      <c r="CO3" s="154" t="s">
        <v>20</v>
      </c>
      <c r="CP3" s="154" t="s">
        <v>20</v>
      </c>
      <c r="CQ3" s="154" t="s">
        <v>20</v>
      </c>
      <c r="CR3" s="154" t="s">
        <v>20</v>
      </c>
      <c r="CS3" s="154" t="s">
        <v>20</v>
      </c>
      <c r="CT3" s="154" t="s">
        <v>20</v>
      </c>
      <c r="CU3" s="154" t="s">
        <v>20</v>
      </c>
      <c r="CV3" s="154" t="s">
        <v>489</v>
      </c>
      <c r="CW3" s="154" t="s">
        <v>21</v>
      </c>
      <c r="CX3" s="154" t="s">
        <v>21</v>
      </c>
      <c r="CY3" s="154" t="s">
        <v>21</v>
      </c>
      <c r="CZ3" s="154" t="s">
        <v>21</v>
      </c>
      <c r="DA3" s="154" t="s">
        <v>21</v>
      </c>
      <c r="DB3" s="154" t="s">
        <v>21</v>
      </c>
      <c r="DC3" s="154" t="s">
        <v>21</v>
      </c>
      <c r="DD3" s="154" t="s">
        <v>21</v>
      </c>
      <c r="DE3" s="154" t="s">
        <v>21</v>
      </c>
      <c r="DF3" s="154" t="s">
        <v>21</v>
      </c>
      <c r="DG3" s="154" t="s">
        <v>21</v>
      </c>
      <c r="DH3" s="154" t="s">
        <v>21</v>
      </c>
      <c r="DI3" s="154" t="s">
        <v>21</v>
      </c>
      <c r="DJ3" s="154" t="s">
        <v>21</v>
      </c>
      <c r="DK3" s="154" t="s">
        <v>21</v>
      </c>
      <c r="DL3" s="154" t="s">
        <v>21</v>
      </c>
      <c r="DM3" s="154" t="s">
        <v>21</v>
      </c>
      <c r="DN3" s="154" t="s">
        <v>21</v>
      </c>
      <c r="DO3" s="154" t="s">
        <v>21</v>
      </c>
      <c r="DP3" s="154" t="s">
        <v>21</v>
      </c>
      <c r="DQ3" s="154" t="s">
        <v>21</v>
      </c>
      <c r="DR3" s="154" t="s">
        <v>21</v>
      </c>
      <c r="DS3" s="154" t="s">
        <v>21</v>
      </c>
      <c r="DT3" s="154" t="s">
        <v>21</v>
      </c>
      <c r="DU3" s="154" t="s">
        <v>21</v>
      </c>
      <c r="DV3" s="82" t="s">
        <v>190</v>
      </c>
      <c r="DW3" s="82" t="s">
        <v>35</v>
      </c>
      <c r="DX3" s="154" t="s">
        <v>192</v>
      </c>
      <c r="DY3" s="154" t="s">
        <v>490</v>
      </c>
      <c r="DZ3" s="154" t="s">
        <v>490</v>
      </c>
      <c r="EA3" s="96" t="s">
        <v>491</v>
      </c>
      <c r="EB3" s="96" t="s">
        <v>492</v>
      </c>
      <c r="EC3" s="96" t="s">
        <v>35</v>
      </c>
      <c r="ED3" s="96" t="s">
        <v>493</v>
      </c>
      <c r="EE3" s="82" t="s">
        <v>493</v>
      </c>
      <c r="EF3" s="96" t="s">
        <v>494</v>
      </c>
      <c r="EG3" s="96" t="s">
        <v>494</v>
      </c>
      <c r="EH3" s="96" t="s">
        <v>495</v>
      </c>
      <c r="EI3" s="96" t="s">
        <v>495</v>
      </c>
      <c r="EJ3" s="96" t="s">
        <v>496</v>
      </c>
      <c r="EK3" s="96" t="s">
        <v>496</v>
      </c>
      <c r="EL3" s="96" t="s">
        <v>497</v>
      </c>
      <c r="EM3" s="96" t="s">
        <v>497</v>
      </c>
      <c r="EN3" s="96" t="s">
        <v>498</v>
      </c>
      <c r="EO3" s="96" t="s">
        <v>498</v>
      </c>
      <c r="EP3" s="96" t="s">
        <v>498</v>
      </c>
      <c r="EQ3" s="96" t="s">
        <v>498</v>
      </c>
      <c r="ER3" s="96" t="s">
        <v>498</v>
      </c>
      <c r="ES3" s="96" t="s">
        <v>498</v>
      </c>
      <c r="ET3" s="96" t="s">
        <v>498</v>
      </c>
      <c r="EU3" s="96" t="s">
        <v>498</v>
      </c>
      <c r="EV3" s="96" t="s">
        <v>498</v>
      </c>
      <c r="EW3" s="96" t="s">
        <v>498</v>
      </c>
      <c r="EX3" s="96" t="s">
        <v>498</v>
      </c>
      <c r="EY3" s="96" t="s">
        <v>498</v>
      </c>
      <c r="EZ3" s="96" t="s">
        <v>498</v>
      </c>
      <c r="FA3" s="96" t="s">
        <v>498</v>
      </c>
      <c r="FB3" s="96" t="s">
        <v>498</v>
      </c>
      <c r="FC3" s="96" t="s">
        <v>498</v>
      </c>
      <c r="FD3" s="96" t="s">
        <v>498</v>
      </c>
      <c r="FE3" s="96" t="s">
        <v>498</v>
      </c>
      <c r="FF3" s="96" t="s">
        <v>498</v>
      </c>
      <c r="FG3" s="96" t="s">
        <v>498</v>
      </c>
      <c r="FH3" s="96" t="s">
        <v>498</v>
      </c>
      <c r="FI3" s="96" t="s">
        <v>498</v>
      </c>
      <c r="FJ3" s="96" t="s">
        <v>498</v>
      </c>
      <c r="FK3" s="96" t="s">
        <v>498</v>
      </c>
      <c r="FL3" s="96" t="s">
        <v>498</v>
      </c>
      <c r="FM3" s="96" t="s">
        <v>498</v>
      </c>
      <c r="FN3" s="96" t="s">
        <v>192</v>
      </c>
      <c r="FO3" s="96" t="s">
        <v>499</v>
      </c>
      <c r="FP3" s="96" t="s">
        <v>499</v>
      </c>
      <c r="FQ3" s="96" t="s">
        <v>499</v>
      </c>
      <c r="FR3" s="96" t="s">
        <v>499</v>
      </c>
      <c r="FS3" s="96" t="s">
        <v>499</v>
      </c>
      <c r="FT3" s="96" t="s">
        <v>499</v>
      </c>
      <c r="FU3" s="96" t="s">
        <v>499</v>
      </c>
      <c r="FV3" s="96" t="s">
        <v>499</v>
      </c>
      <c r="FW3" s="96" t="s">
        <v>499</v>
      </c>
      <c r="FX3" s="96" t="s">
        <v>499</v>
      </c>
      <c r="FY3" s="96" t="s">
        <v>499</v>
      </c>
      <c r="FZ3" s="96" t="s">
        <v>499</v>
      </c>
      <c r="GA3" s="96" t="s">
        <v>499</v>
      </c>
      <c r="GB3" s="96" t="s">
        <v>499</v>
      </c>
      <c r="GC3" s="96" t="s">
        <v>499</v>
      </c>
      <c r="GD3" s="96" t="s">
        <v>499</v>
      </c>
      <c r="GE3" s="96" t="s">
        <v>499</v>
      </c>
      <c r="GF3" s="96" t="s">
        <v>499</v>
      </c>
      <c r="GG3" s="96" t="s">
        <v>499</v>
      </c>
      <c r="GH3" s="96" t="s">
        <v>499</v>
      </c>
      <c r="GI3" s="96" t="s">
        <v>499</v>
      </c>
      <c r="GJ3" s="96" t="s">
        <v>499</v>
      </c>
      <c r="GK3" s="96" t="s">
        <v>499</v>
      </c>
      <c r="GL3" s="96" t="s">
        <v>499</v>
      </c>
      <c r="GM3" s="96" t="s">
        <v>499</v>
      </c>
      <c r="GN3" s="96" t="s">
        <v>499</v>
      </c>
      <c r="GO3" s="96" t="s">
        <v>499</v>
      </c>
      <c r="GP3" s="96" t="s">
        <v>499</v>
      </c>
      <c r="GQ3" s="96" t="s">
        <v>499</v>
      </c>
      <c r="GR3" s="96" t="s">
        <v>499</v>
      </c>
      <c r="GS3" s="96" t="s">
        <v>499</v>
      </c>
      <c r="GT3" s="96" t="s">
        <v>499</v>
      </c>
      <c r="GU3" s="96" t="s">
        <v>499</v>
      </c>
      <c r="GV3" s="96" t="s">
        <v>499</v>
      </c>
      <c r="GW3" s="96" t="s">
        <v>499</v>
      </c>
      <c r="GX3" s="96" t="s">
        <v>499</v>
      </c>
      <c r="GY3" s="96" t="s">
        <v>499</v>
      </c>
      <c r="GZ3" s="96" t="s">
        <v>499</v>
      </c>
      <c r="HA3" s="96" t="s">
        <v>499</v>
      </c>
      <c r="HB3" s="96" t="s">
        <v>499</v>
      </c>
      <c r="HC3" s="96" t="s">
        <v>499</v>
      </c>
      <c r="HD3" s="96" t="s">
        <v>499</v>
      </c>
      <c r="HE3" s="96" t="s">
        <v>499</v>
      </c>
      <c r="HF3" s="96" t="s">
        <v>499</v>
      </c>
      <c r="HG3" s="96" t="s">
        <v>499</v>
      </c>
      <c r="HH3" s="96" t="s">
        <v>499</v>
      </c>
      <c r="HI3" s="96" t="s">
        <v>499</v>
      </c>
      <c r="HJ3" s="96" t="s">
        <v>499</v>
      </c>
      <c r="HK3" s="96" t="s">
        <v>499</v>
      </c>
      <c r="HL3" s="96" t="s">
        <v>499</v>
      </c>
      <c r="HM3" s="96" t="s">
        <v>499</v>
      </c>
      <c r="HN3" s="96" t="s">
        <v>499</v>
      </c>
      <c r="HO3" s="96" t="s">
        <v>499</v>
      </c>
      <c r="HP3" s="96" t="s">
        <v>499</v>
      </c>
    </row>
    <row r="4" spans="1:315" s="114" customFormat="1" ht="30" hidden="1" customHeight="1">
      <c r="A4" s="82" t="s">
        <v>29</v>
      </c>
      <c r="B4" s="96" t="s">
        <v>30</v>
      </c>
      <c r="C4" s="96" t="s">
        <v>30</v>
      </c>
      <c r="D4" s="96" t="s">
        <v>30</v>
      </c>
      <c r="E4" s="96" t="s">
        <v>30</v>
      </c>
      <c r="F4" s="96" t="s">
        <v>30</v>
      </c>
      <c r="G4" s="96" t="s">
        <v>30</v>
      </c>
      <c r="H4" s="96" t="s">
        <v>30</v>
      </c>
      <c r="I4" s="96" t="s">
        <v>30</v>
      </c>
      <c r="J4" s="96" t="s">
        <v>30</v>
      </c>
      <c r="K4" s="96" t="s">
        <v>30</v>
      </c>
      <c r="L4" s="96" t="s">
        <v>30</v>
      </c>
      <c r="M4" s="96" t="s">
        <v>30</v>
      </c>
      <c r="N4" s="96" t="s">
        <v>30</v>
      </c>
      <c r="O4" s="96" t="s">
        <v>30</v>
      </c>
      <c r="P4" s="96" t="s">
        <v>30</v>
      </c>
      <c r="Q4" s="96" t="s">
        <v>30</v>
      </c>
      <c r="R4" s="96" t="s">
        <v>30</v>
      </c>
      <c r="S4" s="96" t="s">
        <v>30</v>
      </c>
      <c r="T4" s="96" t="s">
        <v>30</v>
      </c>
      <c r="U4" s="96" t="s">
        <v>30</v>
      </c>
      <c r="V4" s="96" t="s">
        <v>30</v>
      </c>
      <c r="W4" s="96" t="s">
        <v>30</v>
      </c>
      <c r="X4" s="96" t="s">
        <v>30</v>
      </c>
      <c r="Y4" s="96" t="s">
        <v>30</v>
      </c>
      <c r="Z4" s="96" t="s">
        <v>30</v>
      </c>
      <c r="AA4" s="96" t="s">
        <v>30</v>
      </c>
      <c r="AB4" s="82" t="s">
        <v>33</v>
      </c>
      <c r="AC4" s="82" t="s">
        <v>33</v>
      </c>
      <c r="AD4" s="82" t="s">
        <v>33</v>
      </c>
      <c r="AE4" s="96" t="s">
        <v>199</v>
      </c>
      <c r="AF4" s="96" t="s">
        <v>198</v>
      </c>
      <c r="AG4" s="96" t="s">
        <v>30</v>
      </c>
      <c r="AH4" s="96" t="s">
        <v>30</v>
      </c>
      <c r="AI4" s="96" t="s">
        <v>30</v>
      </c>
      <c r="AJ4" s="96" t="s">
        <v>30</v>
      </c>
      <c r="AK4" s="96" t="s">
        <v>30</v>
      </c>
      <c r="AL4" s="96" t="s">
        <v>30</v>
      </c>
      <c r="AM4" s="96" t="s">
        <v>30</v>
      </c>
      <c r="AN4" s="96" t="s">
        <v>30</v>
      </c>
      <c r="AO4" s="96" t="s">
        <v>30</v>
      </c>
      <c r="AP4" s="96" t="s">
        <v>30</v>
      </c>
      <c r="AQ4" s="96" t="s">
        <v>30</v>
      </c>
      <c r="AR4" s="96" t="s">
        <v>30</v>
      </c>
      <c r="AS4" s="96" t="s">
        <v>30</v>
      </c>
      <c r="AT4" s="96" t="s">
        <v>30</v>
      </c>
      <c r="AU4" s="96" t="s">
        <v>30</v>
      </c>
      <c r="AV4" s="96" t="s">
        <v>30</v>
      </c>
      <c r="AW4" s="96" t="s">
        <v>30</v>
      </c>
      <c r="AX4" s="96" t="s">
        <v>30</v>
      </c>
      <c r="AY4" s="96" t="s">
        <v>30</v>
      </c>
      <c r="AZ4" s="96" t="s">
        <v>30</v>
      </c>
      <c r="BA4" s="96" t="s">
        <v>30</v>
      </c>
      <c r="BB4" s="96" t="s">
        <v>30</v>
      </c>
      <c r="BC4" s="96" t="s">
        <v>30</v>
      </c>
      <c r="BD4" s="96" t="s">
        <v>30</v>
      </c>
      <c r="BE4" s="96" t="s">
        <v>30</v>
      </c>
      <c r="BF4" s="96" t="s">
        <v>30</v>
      </c>
      <c r="BG4" s="82" t="s">
        <v>31</v>
      </c>
      <c r="BH4" s="82" t="s">
        <v>32</v>
      </c>
      <c r="BI4" s="82" t="s">
        <v>199</v>
      </c>
      <c r="BJ4" s="82" t="s">
        <v>32</v>
      </c>
      <c r="BK4" s="96" t="s">
        <v>199</v>
      </c>
      <c r="BL4" s="96" t="s">
        <v>32</v>
      </c>
      <c r="BM4" s="96" t="s">
        <v>199</v>
      </c>
      <c r="BN4" s="108" t="s">
        <v>32</v>
      </c>
      <c r="BO4" s="172" t="s">
        <v>33</v>
      </c>
      <c r="BP4" s="108" t="s">
        <v>31</v>
      </c>
      <c r="BQ4" s="82" t="s">
        <v>198</v>
      </c>
      <c r="BR4" s="113" t="s">
        <v>500</v>
      </c>
      <c r="BS4" s="113" t="s">
        <v>500</v>
      </c>
      <c r="BT4" s="82" t="s">
        <v>31</v>
      </c>
      <c r="BU4" s="82" t="s">
        <v>198</v>
      </c>
      <c r="BV4" s="155" t="s">
        <v>33</v>
      </c>
      <c r="BW4" s="156" t="s">
        <v>33</v>
      </c>
      <c r="BX4" s="156" t="s">
        <v>33</v>
      </c>
      <c r="BY4" s="156" t="s">
        <v>33</v>
      </c>
      <c r="BZ4" s="156" t="s">
        <v>33</v>
      </c>
      <c r="CA4" s="156" t="s">
        <v>33</v>
      </c>
      <c r="CB4" s="156" t="s">
        <v>33</v>
      </c>
      <c r="CC4" s="156" t="s">
        <v>33</v>
      </c>
      <c r="CD4" s="156" t="s">
        <v>33</v>
      </c>
      <c r="CE4" s="156" t="s">
        <v>33</v>
      </c>
      <c r="CF4" s="156" t="s">
        <v>33</v>
      </c>
      <c r="CG4" s="156" t="s">
        <v>33</v>
      </c>
      <c r="CH4" s="156" t="s">
        <v>33</v>
      </c>
      <c r="CI4" s="156" t="s">
        <v>33</v>
      </c>
      <c r="CJ4" s="156" t="s">
        <v>33</v>
      </c>
      <c r="CK4" s="156" t="s">
        <v>33</v>
      </c>
      <c r="CL4" s="156" t="s">
        <v>33</v>
      </c>
      <c r="CM4" s="156" t="s">
        <v>33</v>
      </c>
      <c r="CN4" s="156" t="s">
        <v>33</v>
      </c>
      <c r="CO4" s="156" t="s">
        <v>33</v>
      </c>
      <c r="CP4" s="156" t="s">
        <v>33</v>
      </c>
      <c r="CQ4" s="156" t="s">
        <v>33</v>
      </c>
      <c r="CR4" s="156" t="s">
        <v>33</v>
      </c>
      <c r="CS4" s="156" t="s">
        <v>33</v>
      </c>
      <c r="CT4" s="156" t="s">
        <v>33</v>
      </c>
      <c r="CU4" s="156" t="s">
        <v>33</v>
      </c>
      <c r="CV4" s="156" t="s">
        <v>33</v>
      </c>
      <c r="CW4" s="156" t="s">
        <v>33</v>
      </c>
      <c r="CX4" s="156" t="s">
        <v>33</v>
      </c>
      <c r="CY4" s="156" t="s">
        <v>33</v>
      </c>
      <c r="CZ4" s="156" t="s">
        <v>33</v>
      </c>
      <c r="DA4" s="156" t="s">
        <v>33</v>
      </c>
      <c r="DB4" s="156" t="s">
        <v>33</v>
      </c>
      <c r="DC4" s="156" t="s">
        <v>33</v>
      </c>
      <c r="DD4" s="156" t="s">
        <v>33</v>
      </c>
      <c r="DE4" s="156" t="s">
        <v>33</v>
      </c>
      <c r="DF4" s="156" t="s">
        <v>33</v>
      </c>
      <c r="DG4" s="156" t="s">
        <v>33</v>
      </c>
      <c r="DH4" s="156" t="s">
        <v>33</v>
      </c>
      <c r="DI4" s="156" t="s">
        <v>33</v>
      </c>
      <c r="DJ4" s="156" t="s">
        <v>33</v>
      </c>
      <c r="DK4" s="156" t="s">
        <v>33</v>
      </c>
      <c r="DL4" s="156" t="s">
        <v>33</v>
      </c>
      <c r="DM4" s="156" t="s">
        <v>33</v>
      </c>
      <c r="DN4" s="156" t="s">
        <v>33</v>
      </c>
      <c r="DO4" s="156" t="s">
        <v>33</v>
      </c>
      <c r="DP4" s="156" t="s">
        <v>33</v>
      </c>
      <c r="DQ4" s="156" t="s">
        <v>33</v>
      </c>
      <c r="DR4" s="156" t="s">
        <v>33</v>
      </c>
      <c r="DS4" s="156" t="s">
        <v>33</v>
      </c>
      <c r="DT4" s="156" t="s">
        <v>33</v>
      </c>
      <c r="DU4" s="156" t="s">
        <v>33</v>
      </c>
      <c r="DV4" s="82" t="s">
        <v>33</v>
      </c>
      <c r="DW4" s="82" t="s">
        <v>33</v>
      </c>
      <c r="DX4" s="156" t="s">
        <v>33</v>
      </c>
      <c r="DY4" s="156" t="s">
        <v>199</v>
      </c>
      <c r="DZ4" s="156" t="s">
        <v>198</v>
      </c>
      <c r="EA4" s="82" t="s">
        <v>33</v>
      </c>
      <c r="EB4" s="82" t="s">
        <v>33</v>
      </c>
      <c r="EC4" s="82" t="s">
        <v>33</v>
      </c>
      <c r="ED4" s="82" t="s">
        <v>501</v>
      </c>
      <c r="EE4" s="82" t="s">
        <v>198</v>
      </c>
      <c r="EF4" s="82" t="s">
        <v>199</v>
      </c>
      <c r="EG4" s="82" t="s">
        <v>198</v>
      </c>
      <c r="EH4" s="82" t="s">
        <v>199</v>
      </c>
      <c r="EI4" s="82" t="s">
        <v>198</v>
      </c>
      <c r="EJ4" s="82" t="s">
        <v>31</v>
      </c>
      <c r="EK4" s="82" t="s">
        <v>198</v>
      </c>
      <c r="EL4" s="82" t="s">
        <v>199</v>
      </c>
      <c r="EM4" s="82" t="s">
        <v>198</v>
      </c>
      <c r="EN4" s="82" t="s">
        <v>33</v>
      </c>
      <c r="EO4" s="82" t="s">
        <v>33</v>
      </c>
      <c r="EP4" s="82" t="s">
        <v>33</v>
      </c>
      <c r="EQ4" s="82" t="s">
        <v>33</v>
      </c>
      <c r="ER4" s="82" t="s">
        <v>33</v>
      </c>
      <c r="ES4" s="82" t="s">
        <v>33</v>
      </c>
      <c r="ET4" s="82" t="s">
        <v>33</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82" t="s">
        <v>33</v>
      </c>
      <c r="FP4" s="82" t="s">
        <v>33</v>
      </c>
      <c r="FQ4" s="82" t="s">
        <v>33</v>
      </c>
      <c r="FR4" s="82" t="s">
        <v>33</v>
      </c>
      <c r="FS4" s="82" t="s">
        <v>33</v>
      </c>
      <c r="FT4" s="82" t="s">
        <v>33</v>
      </c>
      <c r="FU4" s="82" t="s">
        <v>33</v>
      </c>
      <c r="FV4" s="82" t="s">
        <v>33</v>
      </c>
      <c r="FW4" s="82" t="s">
        <v>33</v>
      </c>
      <c r="FX4" s="82" t="s">
        <v>33</v>
      </c>
      <c r="FY4" s="82" t="s">
        <v>33</v>
      </c>
      <c r="FZ4" s="82" t="s">
        <v>33</v>
      </c>
      <c r="GA4" s="82" t="s">
        <v>33</v>
      </c>
      <c r="GB4" s="82" t="s">
        <v>33</v>
      </c>
      <c r="GC4" s="82" t="s">
        <v>33</v>
      </c>
      <c r="GD4" s="82" t="s">
        <v>33</v>
      </c>
      <c r="GE4" s="82" t="s">
        <v>33</v>
      </c>
      <c r="GF4" s="82" t="s">
        <v>33</v>
      </c>
      <c r="GG4" s="82" t="s">
        <v>33</v>
      </c>
      <c r="GH4" s="82" t="s">
        <v>33</v>
      </c>
      <c r="GI4" s="82" t="s">
        <v>33</v>
      </c>
      <c r="GJ4" s="82" t="s">
        <v>33</v>
      </c>
      <c r="GK4" s="82" t="s">
        <v>33</v>
      </c>
      <c r="GL4" s="82" t="s">
        <v>33</v>
      </c>
      <c r="GM4" s="82" t="s">
        <v>33</v>
      </c>
      <c r="GN4" s="82" t="s">
        <v>33</v>
      </c>
      <c r="GO4" s="82" t="s">
        <v>33</v>
      </c>
      <c r="GP4" s="82" t="s">
        <v>33</v>
      </c>
      <c r="GQ4" s="82" t="s">
        <v>33</v>
      </c>
      <c r="GR4" s="82" t="s">
        <v>33</v>
      </c>
      <c r="GS4" s="82" t="s">
        <v>33</v>
      </c>
      <c r="GT4" s="82" t="s">
        <v>33</v>
      </c>
      <c r="GU4" s="82" t="s">
        <v>33</v>
      </c>
      <c r="GV4" s="82" t="s">
        <v>33</v>
      </c>
      <c r="GW4" s="82" t="s">
        <v>33</v>
      </c>
      <c r="GX4" s="82" t="s">
        <v>33</v>
      </c>
      <c r="GY4" s="82" t="s">
        <v>33</v>
      </c>
      <c r="GZ4" s="82" t="s">
        <v>33</v>
      </c>
      <c r="HA4" s="82" t="s">
        <v>33</v>
      </c>
      <c r="HB4" s="82" t="s">
        <v>33</v>
      </c>
      <c r="HC4" s="82" t="s">
        <v>33</v>
      </c>
      <c r="HD4" s="82" t="s">
        <v>33</v>
      </c>
      <c r="HE4" s="82" t="s">
        <v>33</v>
      </c>
      <c r="HF4" s="82" t="s">
        <v>33</v>
      </c>
      <c r="HG4" s="82" t="s">
        <v>33</v>
      </c>
      <c r="HH4" s="82" t="s">
        <v>33</v>
      </c>
      <c r="HI4" s="82" t="s">
        <v>33</v>
      </c>
      <c r="HJ4" s="82" t="s">
        <v>33</v>
      </c>
      <c r="HK4" s="82" t="s">
        <v>33</v>
      </c>
      <c r="HL4" s="82" t="s">
        <v>33</v>
      </c>
      <c r="HM4" s="82" t="s">
        <v>33</v>
      </c>
      <c r="HN4" s="82" t="s">
        <v>33</v>
      </c>
      <c r="HO4" s="82" t="s">
        <v>33</v>
      </c>
      <c r="HP4" s="82" t="s">
        <v>33</v>
      </c>
    </row>
    <row r="5" spans="1:315" ht="30" hidden="1" customHeight="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E5" s="81" t="s">
        <v>38</v>
      </c>
      <c r="AF5" s="150" t="s">
        <v>38</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35</v>
      </c>
      <c r="BE5" s="81" t="s">
        <v>35</v>
      </c>
      <c r="BF5" s="81" t="s">
        <v>35</v>
      </c>
      <c r="BG5" s="81" t="s">
        <v>502</v>
      </c>
      <c r="BH5" s="81" t="s">
        <v>502</v>
      </c>
      <c r="BI5" s="81" t="s">
        <v>202</v>
      </c>
      <c r="BJ5" s="81" t="s">
        <v>202</v>
      </c>
      <c r="BK5" s="81" t="s">
        <v>203</v>
      </c>
      <c r="BL5" s="81" t="s">
        <v>203</v>
      </c>
      <c r="BM5" s="81" t="s">
        <v>201</v>
      </c>
      <c r="BN5" s="111" t="s">
        <v>201</v>
      </c>
      <c r="BO5" s="171"/>
      <c r="BP5" s="111"/>
      <c r="BQ5" s="81" t="s">
        <v>36</v>
      </c>
      <c r="BR5" s="113"/>
      <c r="BS5" s="113" t="s">
        <v>36</v>
      </c>
      <c r="BU5" s="81" t="s">
        <v>36</v>
      </c>
      <c r="BV5" s="157" t="s">
        <v>35</v>
      </c>
      <c r="BW5" s="117" t="s">
        <v>35</v>
      </c>
      <c r="BX5" s="117" t="s">
        <v>35</v>
      </c>
      <c r="BY5" s="117" t="s">
        <v>35</v>
      </c>
      <c r="BZ5" s="117" t="s">
        <v>35</v>
      </c>
      <c r="CA5" s="117" t="s">
        <v>35</v>
      </c>
      <c r="CB5" s="117" t="s">
        <v>35</v>
      </c>
      <c r="CC5" s="117" t="s">
        <v>35</v>
      </c>
      <c r="CD5" s="117" t="s">
        <v>35</v>
      </c>
      <c r="CE5" s="117" t="s">
        <v>35</v>
      </c>
      <c r="CF5" s="117" t="s">
        <v>35</v>
      </c>
      <c r="CG5" s="117" t="s">
        <v>35</v>
      </c>
      <c r="CH5" s="117" t="s">
        <v>35</v>
      </c>
      <c r="CI5" s="117" t="s">
        <v>35</v>
      </c>
      <c r="CJ5" s="117" t="s">
        <v>35</v>
      </c>
      <c r="CK5" s="117" t="s">
        <v>35</v>
      </c>
      <c r="CL5" s="117" t="s">
        <v>35</v>
      </c>
      <c r="CM5" s="117" t="s">
        <v>35</v>
      </c>
      <c r="CN5" s="117" t="s">
        <v>35</v>
      </c>
      <c r="CO5" s="117" t="s">
        <v>35</v>
      </c>
      <c r="CP5" s="117" t="s">
        <v>35</v>
      </c>
      <c r="CQ5" s="117" t="s">
        <v>35</v>
      </c>
      <c r="CR5" s="117" t="s">
        <v>35</v>
      </c>
      <c r="CS5" s="117" t="s">
        <v>35</v>
      </c>
      <c r="CT5" s="117" t="s">
        <v>35</v>
      </c>
      <c r="CU5" s="117" t="s">
        <v>35</v>
      </c>
      <c r="CV5" s="154" t="s">
        <v>35</v>
      </c>
      <c r="CW5" s="154" t="s">
        <v>35</v>
      </c>
      <c r="CX5" s="154" t="s">
        <v>35</v>
      </c>
      <c r="CY5" s="154" t="s">
        <v>35</v>
      </c>
      <c r="CZ5" s="154" t="s">
        <v>35</v>
      </c>
      <c r="DA5" s="154" t="s">
        <v>35</v>
      </c>
      <c r="DB5" s="154" t="s">
        <v>35</v>
      </c>
      <c r="DC5" s="154" t="s">
        <v>35</v>
      </c>
      <c r="DD5" s="154" t="s">
        <v>35</v>
      </c>
      <c r="DE5" s="154" t="s">
        <v>35</v>
      </c>
      <c r="DF5" s="154" t="s">
        <v>35</v>
      </c>
      <c r="DG5" s="154" t="s">
        <v>35</v>
      </c>
      <c r="DH5" s="154" t="s">
        <v>35</v>
      </c>
      <c r="DI5" s="154" t="s">
        <v>35</v>
      </c>
      <c r="DJ5" s="154" t="s">
        <v>35</v>
      </c>
      <c r="DK5" s="154" t="s">
        <v>35</v>
      </c>
      <c r="DL5" s="154" t="s">
        <v>35</v>
      </c>
      <c r="DM5" s="154" t="s">
        <v>35</v>
      </c>
      <c r="DN5" s="154" t="s">
        <v>35</v>
      </c>
      <c r="DO5" s="154" t="s">
        <v>35</v>
      </c>
      <c r="DP5" s="154" t="s">
        <v>35</v>
      </c>
      <c r="DQ5" s="154" t="s">
        <v>35</v>
      </c>
      <c r="DR5" s="154" t="s">
        <v>35</v>
      </c>
      <c r="DS5" s="154" t="s">
        <v>35</v>
      </c>
      <c r="DT5" s="154" t="s">
        <v>35</v>
      </c>
      <c r="DU5" s="154" t="s">
        <v>35</v>
      </c>
      <c r="DV5" s="81"/>
      <c r="DX5" s="117"/>
      <c r="DY5" s="117" t="s">
        <v>503</v>
      </c>
      <c r="DZ5" s="117" t="s">
        <v>503</v>
      </c>
      <c r="EE5" s="96" t="s">
        <v>36</v>
      </c>
      <c r="EG5" s="96" t="s">
        <v>36</v>
      </c>
      <c r="EI5" s="96" t="s">
        <v>36</v>
      </c>
      <c r="EK5" s="96" t="s">
        <v>36</v>
      </c>
      <c r="EM5" s="96" t="s">
        <v>36</v>
      </c>
      <c r="FO5" s="81" t="s">
        <v>504</v>
      </c>
      <c r="FP5" s="81" t="s">
        <v>35</v>
      </c>
      <c r="FQ5" s="81" t="s">
        <v>35</v>
      </c>
      <c r="FR5" s="81" t="s">
        <v>35</v>
      </c>
      <c r="FS5" s="81" t="s">
        <v>35</v>
      </c>
      <c r="FT5" s="81" t="s">
        <v>35</v>
      </c>
      <c r="FU5" s="81" t="s">
        <v>35</v>
      </c>
      <c r="FV5" s="81" t="s">
        <v>35</v>
      </c>
      <c r="FW5" s="81" t="s">
        <v>35</v>
      </c>
      <c r="FX5" s="81" t="s">
        <v>35</v>
      </c>
      <c r="FY5" s="81" t="s">
        <v>35</v>
      </c>
      <c r="FZ5" s="81" t="s">
        <v>35</v>
      </c>
      <c r="GA5" s="81" t="s">
        <v>35</v>
      </c>
      <c r="GB5" s="81" t="s">
        <v>35</v>
      </c>
      <c r="GC5" s="81" t="s">
        <v>35</v>
      </c>
      <c r="GD5" s="81" t="s">
        <v>35</v>
      </c>
      <c r="GE5" s="81" t="s">
        <v>35</v>
      </c>
      <c r="GF5" s="81" t="s">
        <v>35</v>
      </c>
      <c r="GG5" s="81" t="s">
        <v>35</v>
      </c>
      <c r="GH5" s="81" t="s">
        <v>35</v>
      </c>
      <c r="GI5" s="81" t="s">
        <v>35</v>
      </c>
      <c r="GJ5" s="81" t="s">
        <v>35</v>
      </c>
      <c r="GK5" s="81" t="s">
        <v>35</v>
      </c>
      <c r="GL5" s="81" t="s">
        <v>35</v>
      </c>
      <c r="GM5" s="81" t="s">
        <v>35</v>
      </c>
      <c r="GN5" s="81" t="s">
        <v>35</v>
      </c>
      <c r="GO5" s="81" t="s">
        <v>35</v>
      </c>
      <c r="GP5" s="81" t="s">
        <v>504</v>
      </c>
      <c r="GQ5" s="81" t="s">
        <v>35</v>
      </c>
      <c r="GR5" s="81" t="s">
        <v>35</v>
      </c>
      <c r="GS5" s="81" t="s">
        <v>35</v>
      </c>
      <c r="GT5" s="81" t="s">
        <v>35</v>
      </c>
      <c r="GU5" s="81" t="s">
        <v>35</v>
      </c>
      <c r="GV5" s="81" t="s">
        <v>35</v>
      </c>
      <c r="GW5" s="81" t="s">
        <v>35</v>
      </c>
      <c r="GX5" s="81" t="s">
        <v>35</v>
      </c>
      <c r="GY5" s="81" t="s">
        <v>35</v>
      </c>
      <c r="GZ5" s="81" t="s">
        <v>35</v>
      </c>
      <c r="HA5" s="81" t="s">
        <v>35</v>
      </c>
      <c r="HB5" s="81" t="s">
        <v>35</v>
      </c>
      <c r="HC5" s="81" t="s">
        <v>35</v>
      </c>
      <c r="HD5" s="81" t="s">
        <v>35</v>
      </c>
      <c r="HE5" s="81" t="s">
        <v>35</v>
      </c>
      <c r="HF5" s="81" t="s">
        <v>35</v>
      </c>
      <c r="HG5" s="81" t="s">
        <v>35</v>
      </c>
      <c r="HH5" s="81" t="s">
        <v>35</v>
      </c>
      <c r="HI5" s="81" t="s">
        <v>35</v>
      </c>
      <c r="HJ5" s="81" t="s">
        <v>35</v>
      </c>
      <c r="HK5" s="81" t="s">
        <v>35</v>
      </c>
      <c r="HL5" s="81" t="s">
        <v>35</v>
      </c>
      <c r="HM5" s="81" t="s">
        <v>35</v>
      </c>
      <c r="HN5" s="81" t="s">
        <v>35</v>
      </c>
      <c r="HO5" s="81" t="s">
        <v>35</v>
      </c>
      <c r="HP5" s="81" t="s">
        <v>35</v>
      </c>
    </row>
    <row r="6" spans="1:315" ht="15" hidden="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c r="BN6" s="113"/>
      <c r="BO6" s="171"/>
      <c r="BP6" s="113"/>
      <c r="BQ6" s="96"/>
      <c r="BR6" s="96"/>
      <c r="BS6" s="96"/>
      <c r="BT6" s="96"/>
      <c r="BU6" s="96"/>
      <c r="BV6" s="153"/>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81"/>
      <c r="DX6" s="154"/>
      <c r="DY6" s="154"/>
      <c r="DZ6" s="154"/>
      <c r="EA6" s="96"/>
      <c r="EB6" s="96"/>
      <c r="EC6" s="96"/>
      <c r="ED6" s="96"/>
      <c r="EE6" s="96"/>
      <c r="EF6" s="96"/>
      <c r="EG6" s="96"/>
      <c r="EH6" s="96"/>
      <c r="EI6" s="96"/>
      <c r="EJ6" s="96"/>
      <c r="EK6" s="96"/>
      <c r="EL6" s="96"/>
      <c r="EM6" s="96"/>
      <c r="EN6" s="96"/>
      <c r="EO6" s="96"/>
      <c r="EP6" s="96"/>
      <c r="EQ6" s="96"/>
      <c r="ER6" s="96"/>
      <c r="ES6" s="96"/>
      <c r="ET6" s="96"/>
      <c r="EU6" s="96"/>
      <c r="EV6" s="96"/>
      <c r="EW6" s="96"/>
      <c r="EX6" s="96"/>
      <c r="EY6" s="96"/>
      <c r="EZ6" s="96"/>
      <c r="FA6" s="96"/>
      <c r="FB6" s="96"/>
      <c r="FC6" s="96"/>
      <c r="FD6" s="96"/>
      <c r="FE6" s="96"/>
      <c r="FF6" s="96"/>
      <c r="FG6" s="96"/>
      <c r="FH6" s="96"/>
      <c r="FI6" s="96"/>
      <c r="FJ6" s="96"/>
      <c r="FK6" s="96"/>
      <c r="FL6" s="96"/>
      <c r="FM6" s="96"/>
      <c r="FN6" s="96"/>
      <c r="FO6" s="96">
        <v>1</v>
      </c>
      <c r="FP6" s="96">
        <v>1</v>
      </c>
      <c r="FQ6" s="96">
        <v>1</v>
      </c>
      <c r="FR6" s="96">
        <v>1</v>
      </c>
      <c r="FS6" s="96">
        <v>1</v>
      </c>
      <c r="FT6" s="96">
        <v>1</v>
      </c>
      <c r="FU6" s="96">
        <v>1</v>
      </c>
      <c r="FV6" s="96">
        <v>1</v>
      </c>
      <c r="FW6" s="96">
        <v>1</v>
      </c>
      <c r="FX6" s="96">
        <v>1</v>
      </c>
      <c r="FY6" s="96">
        <v>1</v>
      </c>
      <c r="FZ6" s="96">
        <v>1</v>
      </c>
      <c r="GA6" s="96">
        <v>1</v>
      </c>
      <c r="GB6" s="96">
        <v>1</v>
      </c>
      <c r="GC6" s="96">
        <v>1</v>
      </c>
      <c r="GD6" s="96">
        <v>1</v>
      </c>
      <c r="GE6" s="96">
        <v>1</v>
      </c>
      <c r="GF6" s="96">
        <v>1</v>
      </c>
      <c r="GG6" s="96">
        <v>1</v>
      </c>
      <c r="GH6" s="96">
        <v>1</v>
      </c>
      <c r="GI6" s="96">
        <v>1</v>
      </c>
      <c r="GJ6" s="96">
        <v>1</v>
      </c>
      <c r="GK6" s="96">
        <v>1</v>
      </c>
      <c r="GL6" s="96">
        <v>1</v>
      </c>
      <c r="GM6" s="96">
        <v>1</v>
      </c>
      <c r="GN6" s="96">
        <v>1</v>
      </c>
      <c r="GO6" s="96">
        <v>1</v>
      </c>
      <c r="GP6" s="96">
        <v>2</v>
      </c>
      <c r="GQ6" s="96">
        <v>2</v>
      </c>
      <c r="GR6" s="96">
        <v>2</v>
      </c>
      <c r="GS6" s="96">
        <v>2</v>
      </c>
      <c r="GT6" s="96">
        <v>2</v>
      </c>
      <c r="GU6" s="96">
        <v>2</v>
      </c>
      <c r="GV6" s="96">
        <v>2</v>
      </c>
      <c r="GW6" s="96">
        <v>2</v>
      </c>
      <c r="GX6" s="96">
        <v>2</v>
      </c>
      <c r="GY6" s="96">
        <v>2</v>
      </c>
      <c r="GZ6" s="96">
        <v>2</v>
      </c>
      <c r="HA6" s="96">
        <v>2</v>
      </c>
      <c r="HB6" s="96">
        <v>2</v>
      </c>
      <c r="HC6" s="96">
        <v>2</v>
      </c>
      <c r="HD6" s="96">
        <v>2</v>
      </c>
      <c r="HE6" s="96">
        <v>2</v>
      </c>
      <c r="HF6" s="96">
        <v>2</v>
      </c>
      <c r="HG6" s="96">
        <v>2</v>
      </c>
      <c r="HH6" s="96">
        <v>2</v>
      </c>
      <c r="HI6" s="96">
        <v>2</v>
      </c>
      <c r="HJ6" s="96">
        <v>2</v>
      </c>
      <c r="HK6" s="96">
        <v>2</v>
      </c>
      <c r="HL6" s="96">
        <v>2</v>
      </c>
      <c r="HM6" s="96">
        <v>2</v>
      </c>
      <c r="HN6" s="96">
        <v>2</v>
      </c>
      <c r="HO6" s="96">
        <v>2</v>
      </c>
      <c r="HP6" s="96">
        <v>2</v>
      </c>
    </row>
    <row r="7" spans="1:315" ht="15" hidden="1">
      <c r="A7" s="82" t="s">
        <v>42</v>
      </c>
      <c r="B7" s="81"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G7" s="81" t="s">
        <v>11</v>
      </c>
      <c r="AH7" s="82" t="s">
        <v>43</v>
      </c>
      <c r="AI7" s="82" t="s">
        <v>44</v>
      </c>
      <c r="AJ7" s="82" t="s">
        <v>45</v>
      </c>
      <c r="AK7" s="82" t="s">
        <v>46</v>
      </c>
      <c r="AL7" s="82" t="s">
        <v>47</v>
      </c>
      <c r="AM7" s="82" t="s">
        <v>48</v>
      </c>
      <c r="AN7" s="82" t="s">
        <v>49</v>
      </c>
      <c r="AO7" s="82" t="s">
        <v>50</v>
      </c>
      <c r="AP7" s="82" t="s">
        <v>51</v>
      </c>
      <c r="AQ7" s="82" t="s">
        <v>52</v>
      </c>
      <c r="AR7" s="82" t="s">
        <v>53</v>
      </c>
      <c r="AS7" s="82" t="s">
        <v>54</v>
      </c>
      <c r="AT7" s="82" t="s">
        <v>55</v>
      </c>
      <c r="AU7" s="82" t="s">
        <v>56</v>
      </c>
      <c r="AV7" s="82" t="s">
        <v>57</v>
      </c>
      <c r="AW7" s="82" t="s">
        <v>58</v>
      </c>
      <c r="AX7" s="82" t="s">
        <v>59</v>
      </c>
      <c r="AY7" s="82" t="s">
        <v>60</v>
      </c>
      <c r="AZ7" s="82" t="s">
        <v>61</v>
      </c>
      <c r="BA7" s="82" t="s">
        <v>62</v>
      </c>
      <c r="BB7" s="82" t="s">
        <v>63</v>
      </c>
      <c r="BC7" s="82" t="s">
        <v>64</v>
      </c>
      <c r="BD7" s="82" t="s">
        <v>65</v>
      </c>
      <c r="BE7" s="82" t="s">
        <v>66</v>
      </c>
      <c r="BF7" s="82" t="s">
        <v>67</v>
      </c>
      <c r="BO7" s="171"/>
      <c r="BP7" s="111"/>
      <c r="BV7" s="157" t="s">
        <v>11</v>
      </c>
      <c r="BW7" s="82" t="s">
        <v>43</v>
      </c>
      <c r="BX7" s="82" t="s">
        <v>44</v>
      </c>
      <c r="BY7" s="82" t="s">
        <v>45</v>
      </c>
      <c r="BZ7" s="82" t="s">
        <v>46</v>
      </c>
      <c r="CA7" s="82" t="s">
        <v>47</v>
      </c>
      <c r="CB7" s="82" t="s">
        <v>48</v>
      </c>
      <c r="CC7" s="82" t="s">
        <v>49</v>
      </c>
      <c r="CD7" s="82" t="s">
        <v>50</v>
      </c>
      <c r="CE7" s="82" t="s">
        <v>51</v>
      </c>
      <c r="CF7" s="82" t="s">
        <v>52</v>
      </c>
      <c r="CG7" s="82" t="s">
        <v>53</v>
      </c>
      <c r="CH7" s="82" t="s">
        <v>54</v>
      </c>
      <c r="CI7" s="82" t="s">
        <v>55</v>
      </c>
      <c r="CJ7" s="82" t="s">
        <v>56</v>
      </c>
      <c r="CK7" s="82" t="s">
        <v>57</v>
      </c>
      <c r="CL7" s="82" t="s">
        <v>58</v>
      </c>
      <c r="CM7" s="82" t="s">
        <v>59</v>
      </c>
      <c r="CN7" s="82" t="s">
        <v>60</v>
      </c>
      <c r="CO7" s="82" t="s">
        <v>61</v>
      </c>
      <c r="CP7" s="82" t="s">
        <v>62</v>
      </c>
      <c r="CQ7" s="82" t="s">
        <v>63</v>
      </c>
      <c r="CR7" s="82" t="s">
        <v>64</v>
      </c>
      <c r="CS7" s="82" t="s">
        <v>65</v>
      </c>
      <c r="CT7" s="82" t="s">
        <v>66</v>
      </c>
      <c r="CU7" s="82" t="s">
        <v>67</v>
      </c>
      <c r="CV7" s="154" t="s">
        <v>11</v>
      </c>
      <c r="CW7" s="82" t="s">
        <v>43</v>
      </c>
      <c r="CX7" s="82" t="s">
        <v>44</v>
      </c>
      <c r="CY7" s="82" t="s">
        <v>45</v>
      </c>
      <c r="CZ7" s="82" t="s">
        <v>46</v>
      </c>
      <c r="DA7" s="82" t="s">
        <v>47</v>
      </c>
      <c r="DB7" s="82" t="s">
        <v>48</v>
      </c>
      <c r="DC7" s="82" t="s">
        <v>49</v>
      </c>
      <c r="DD7" s="82" t="s">
        <v>50</v>
      </c>
      <c r="DE7" s="82" t="s">
        <v>51</v>
      </c>
      <c r="DF7" s="82" t="s">
        <v>52</v>
      </c>
      <c r="DG7" s="82" t="s">
        <v>53</v>
      </c>
      <c r="DH7" s="82" t="s">
        <v>54</v>
      </c>
      <c r="DI7" s="82" t="s">
        <v>55</v>
      </c>
      <c r="DJ7" s="82" t="s">
        <v>56</v>
      </c>
      <c r="DK7" s="82" t="s">
        <v>57</v>
      </c>
      <c r="DL7" s="82" t="s">
        <v>58</v>
      </c>
      <c r="DM7" s="82" t="s">
        <v>59</v>
      </c>
      <c r="DN7" s="82" t="s">
        <v>60</v>
      </c>
      <c r="DO7" s="82" t="s">
        <v>61</v>
      </c>
      <c r="DP7" s="82" t="s">
        <v>62</v>
      </c>
      <c r="DQ7" s="82" t="s">
        <v>63</v>
      </c>
      <c r="DR7" s="82" t="s">
        <v>64</v>
      </c>
      <c r="DS7" s="82" t="s">
        <v>65</v>
      </c>
      <c r="DT7" s="82" t="s">
        <v>66</v>
      </c>
      <c r="DU7" s="82" t="s">
        <v>67</v>
      </c>
      <c r="DV7" s="81"/>
      <c r="DX7" s="91"/>
      <c r="DY7" s="91"/>
      <c r="DZ7" s="91"/>
      <c r="EN7" s="81" t="s">
        <v>11</v>
      </c>
      <c r="EO7" s="82" t="s">
        <v>43</v>
      </c>
      <c r="EP7" s="82" t="s">
        <v>44</v>
      </c>
      <c r="EQ7" s="82" t="s">
        <v>45</v>
      </c>
      <c r="ER7" s="82" t="s">
        <v>46</v>
      </c>
      <c r="ES7" s="82" t="s">
        <v>47</v>
      </c>
      <c r="ET7" s="82" t="s">
        <v>48</v>
      </c>
      <c r="EU7" s="82" t="s">
        <v>49</v>
      </c>
      <c r="EV7" s="82" t="s">
        <v>50</v>
      </c>
      <c r="EW7" s="82" t="s">
        <v>51</v>
      </c>
      <c r="EX7" s="82" t="s">
        <v>52</v>
      </c>
      <c r="EY7" s="82" t="s">
        <v>53</v>
      </c>
      <c r="EZ7" s="82" t="s">
        <v>54</v>
      </c>
      <c r="FA7" s="82" t="s">
        <v>55</v>
      </c>
      <c r="FB7" s="82" t="s">
        <v>56</v>
      </c>
      <c r="FC7" s="82" t="s">
        <v>57</v>
      </c>
      <c r="FD7" s="82" t="s">
        <v>58</v>
      </c>
      <c r="FE7" s="82" t="s">
        <v>59</v>
      </c>
      <c r="FF7" s="82" t="s">
        <v>60</v>
      </c>
      <c r="FG7" s="82" t="s">
        <v>61</v>
      </c>
      <c r="FH7" s="82" t="s">
        <v>62</v>
      </c>
      <c r="FI7" s="82" t="s">
        <v>63</v>
      </c>
      <c r="FJ7" s="82" t="s">
        <v>64</v>
      </c>
      <c r="FK7" s="82" t="s">
        <v>65</v>
      </c>
      <c r="FL7" s="82" t="s">
        <v>66</v>
      </c>
      <c r="FM7" s="82" t="s">
        <v>67</v>
      </c>
      <c r="FP7" s="81" t="s">
        <v>11</v>
      </c>
      <c r="FQ7" s="82" t="s">
        <v>43</v>
      </c>
      <c r="FR7" s="82" t="s">
        <v>44</v>
      </c>
      <c r="FS7" s="82" t="s">
        <v>45</v>
      </c>
      <c r="FT7" s="82" t="s">
        <v>46</v>
      </c>
      <c r="FU7" s="82" t="s">
        <v>47</v>
      </c>
      <c r="FV7" s="82" t="s">
        <v>48</v>
      </c>
      <c r="FW7" s="82" t="s">
        <v>49</v>
      </c>
      <c r="FX7" s="82" t="s">
        <v>50</v>
      </c>
      <c r="FY7" s="82" t="s">
        <v>51</v>
      </c>
      <c r="FZ7" s="82" t="s">
        <v>52</v>
      </c>
      <c r="GA7" s="82" t="s">
        <v>53</v>
      </c>
      <c r="GB7" s="82" t="s">
        <v>54</v>
      </c>
      <c r="GC7" s="82" t="s">
        <v>55</v>
      </c>
      <c r="GD7" s="82" t="s">
        <v>56</v>
      </c>
      <c r="GE7" s="82" t="s">
        <v>57</v>
      </c>
      <c r="GF7" s="82" t="s">
        <v>58</v>
      </c>
      <c r="GG7" s="82" t="s">
        <v>59</v>
      </c>
      <c r="GH7" s="82" t="s">
        <v>60</v>
      </c>
      <c r="GI7" s="82" t="s">
        <v>61</v>
      </c>
      <c r="GJ7" s="82" t="s">
        <v>62</v>
      </c>
      <c r="GK7" s="82" t="s">
        <v>63</v>
      </c>
      <c r="GL7" s="82" t="s">
        <v>64</v>
      </c>
      <c r="GM7" s="82" t="s">
        <v>65</v>
      </c>
      <c r="GN7" s="82" t="s">
        <v>66</v>
      </c>
      <c r="GO7" s="82" t="s">
        <v>67</v>
      </c>
      <c r="GP7" s="82"/>
      <c r="GQ7" s="81" t="s">
        <v>11</v>
      </c>
      <c r="GR7" s="82" t="s">
        <v>43</v>
      </c>
      <c r="GS7" s="82" t="s">
        <v>44</v>
      </c>
      <c r="GT7" s="82" t="s">
        <v>45</v>
      </c>
      <c r="GU7" s="82" t="s">
        <v>46</v>
      </c>
      <c r="GV7" s="82" t="s">
        <v>47</v>
      </c>
      <c r="GW7" s="82" t="s">
        <v>48</v>
      </c>
      <c r="GX7" s="82" t="s">
        <v>49</v>
      </c>
      <c r="GY7" s="82" t="s">
        <v>50</v>
      </c>
      <c r="GZ7" s="82" t="s">
        <v>51</v>
      </c>
      <c r="HA7" s="82" t="s">
        <v>52</v>
      </c>
      <c r="HB7" s="82" t="s">
        <v>53</v>
      </c>
      <c r="HC7" s="82" t="s">
        <v>54</v>
      </c>
      <c r="HD7" s="82" t="s">
        <v>55</v>
      </c>
      <c r="HE7" s="82" t="s">
        <v>56</v>
      </c>
      <c r="HF7" s="82" t="s">
        <v>57</v>
      </c>
      <c r="HG7" s="82" t="s">
        <v>58</v>
      </c>
      <c r="HH7" s="82" t="s">
        <v>59</v>
      </c>
      <c r="HI7" s="82" t="s">
        <v>60</v>
      </c>
      <c r="HJ7" s="82" t="s">
        <v>61</v>
      </c>
      <c r="HK7" s="82" t="s">
        <v>62</v>
      </c>
      <c r="HL7" s="82" t="s">
        <v>63</v>
      </c>
      <c r="HM7" s="82" t="s">
        <v>64</v>
      </c>
      <c r="HN7" s="82" t="s">
        <v>65</v>
      </c>
      <c r="HO7" s="82" t="s">
        <v>66</v>
      </c>
      <c r="HP7" s="82" t="s">
        <v>67</v>
      </c>
    </row>
    <row r="8" spans="1:315" s="71" customFormat="1" ht="29.1" customHeight="1">
      <c r="A8" s="6" t="s">
        <v>68</v>
      </c>
      <c r="B8" s="247" t="s">
        <v>69</v>
      </c>
      <c r="C8" s="22" t="str">
        <f>CONCATENATE(B8,".",C7)</f>
        <v>Title.bg</v>
      </c>
      <c r="D8" s="22" t="str">
        <f>CONCATENATE(B8,".",D7)</f>
        <v>Title.cs</v>
      </c>
      <c r="E8" s="22" t="str">
        <f>CONCATENATE(B8,".",E7)</f>
        <v>Title.da</v>
      </c>
      <c r="F8" s="22" t="str">
        <f>CONCATENATE(B8,".",F7)</f>
        <v>Title.de</v>
      </c>
      <c r="G8" s="22" t="str">
        <f>CONCATENATE(B8,".",G7)</f>
        <v>Title.el</v>
      </c>
      <c r="H8" s="22" t="str">
        <f>CONCATENATE(B8,".",H7)</f>
        <v>Title.es</v>
      </c>
      <c r="I8" s="22" t="str">
        <f>CONCATENATE(B8,".",I7)</f>
        <v>Title.et</v>
      </c>
      <c r="J8" s="22" t="str">
        <f>CONCATENATE(B8,".",J7)</f>
        <v>Title.fi</v>
      </c>
      <c r="K8" s="22" t="str">
        <f>CONCATENATE(B8,".",K7)</f>
        <v>Title.fr</v>
      </c>
      <c r="L8" s="22" t="str">
        <f>CONCATENATE(B8,".",L7)</f>
        <v>Title.ga</v>
      </c>
      <c r="M8" s="22" t="str">
        <f>CONCATENATE(B8,".",M7)</f>
        <v>Title.hr</v>
      </c>
      <c r="N8" s="22" t="str">
        <f>CONCATENATE(B8,".",N7)</f>
        <v>Title.hu</v>
      </c>
      <c r="O8" s="22" t="str">
        <f>CONCATENATE(B8,".",O7)</f>
        <v>Title.is</v>
      </c>
      <c r="P8" s="22" t="str">
        <f>CONCATENATE(B8,".",P7)</f>
        <v>Title.it</v>
      </c>
      <c r="Q8" s="22" t="str">
        <f>CONCATENATE(B8,".",Q7)</f>
        <v>Title.lt</v>
      </c>
      <c r="R8" s="22" t="str">
        <f>CONCATENATE(B8,".",R7)</f>
        <v>Title.lv</v>
      </c>
      <c r="S8" s="22" t="str">
        <f>CONCATENATE(B8,".",S7)</f>
        <v>Title.mt</v>
      </c>
      <c r="T8" s="22" t="str">
        <f>CONCATENATE(B8,".",T7)</f>
        <v>Title.nl</v>
      </c>
      <c r="U8" s="22" t="str">
        <f>CONCATENATE(B8,".",U7)</f>
        <v>Title.no</v>
      </c>
      <c r="V8" s="22" t="str">
        <f>CONCATENATE(B8,".",V7)</f>
        <v>Title.pl</v>
      </c>
      <c r="W8" s="22" t="str">
        <f>CONCATENATE(B8,".",W7)</f>
        <v>Title.pt</v>
      </c>
      <c r="X8" s="22" t="str">
        <f>CONCATENATE(B8,".",X7)</f>
        <v>Title.ro</v>
      </c>
      <c r="Y8" s="22" t="str">
        <f>CONCATENATE(B8,".",Y7)</f>
        <v>Title.sk</v>
      </c>
      <c r="Z8" s="22" t="str">
        <f>CONCATENATE(B8,".",Z7)</f>
        <v>Title.sl</v>
      </c>
      <c r="AA8" s="22" t="str">
        <f>CONCATENATE(B8,".",AA7)</f>
        <v>Title.sv</v>
      </c>
      <c r="AB8" s="22" t="s">
        <v>505</v>
      </c>
      <c r="AC8" s="22" t="s">
        <v>506</v>
      </c>
      <c r="AD8" s="22" t="s">
        <v>507</v>
      </c>
      <c r="AE8" s="22" t="s">
        <v>508</v>
      </c>
      <c r="AF8" s="22"/>
      <c r="AG8" s="22" t="s">
        <v>70</v>
      </c>
      <c r="AH8" s="22" t="str">
        <f>CONCATENATE(AG8,".",AH7)</f>
        <v>Description.bg</v>
      </c>
      <c r="AI8" s="22" t="str">
        <f>CONCATENATE(AG8,".",AI7)</f>
        <v>Description.cs</v>
      </c>
      <c r="AJ8" s="22" t="str">
        <f>CONCATENATE(AG8,".",AJ7)</f>
        <v>Description.da</v>
      </c>
      <c r="AK8" s="22" t="str">
        <f>CONCATENATE(AG8,".",AK7)</f>
        <v>Description.de</v>
      </c>
      <c r="AL8" s="22" t="str">
        <f>CONCATENATE(AG8,".",AL7)</f>
        <v>Description.el</v>
      </c>
      <c r="AM8" s="22" t="str">
        <f>CONCATENATE(AG8,".",AM7)</f>
        <v>Description.es</v>
      </c>
      <c r="AN8" s="22" t="str">
        <f>CONCATENATE(AG8,".",AN7)</f>
        <v>Description.et</v>
      </c>
      <c r="AO8" s="22" t="str">
        <f>CONCATENATE(AG8,".",AO7)</f>
        <v>Description.fi</v>
      </c>
      <c r="AP8" s="22" t="str">
        <f>CONCATENATE(AG8,".",AP7)</f>
        <v>Description.fr</v>
      </c>
      <c r="AQ8" s="22" t="str">
        <f>CONCATENATE(AG8,".",AQ7)</f>
        <v>Description.ga</v>
      </c>
      <c r="AR8" s="22" t="str">
        <f>CONCATENATE(AG8,".",AR7)</f>
        <v>Description.hr</v>
      </c>
      <c r="AS8" s="22" t="str">
        <f>CONCATENATE(AG8,".",AS7)</f>
        <v>Description.hu</v>
      </c>
      <c r="AT8" s="22" t="str">
        <f>CONCATENATE(AG8,".",AT7)</f>
        <v>Description.is</v>
      </c>
      <c r="AU8" s="22" t="str">
        <f>CONCATENATE(AG8,".",AU7)</f>
        <v>Description.it</v>
      </c>
      <c r="AV8" s="22" t="str">
        <f>CONCATENATE(AG8,".",AV7)</f>
        <v>Description.lt</v>
      </c>
      <c r="AW8" s="22" t="str">
        <f>CONCATENATE(AG8,".",AW7)</f>
        <v>Description.lv</v>
      </c>
      <c r="AX8" s="22" t="str">
        <f>CONCATENATE(AG8,".",AX7)</f>
        <v>Description.mt</v>
      </c>
      <c r="AY8" s="22" t="str">
        <f>CONCATENATE(AG8,".",AY7)</f>
        <v>Description.nl</v>
      </c>
      <c r="AZ8" s="22" t="str">
        <f>CONCATENATE(AG8,".",AZ7)</f>
        <v>Description.no</v>
      </c>
      <c r="BA8" s="22" t="str">
        <f>CONCATENATE(AG8,".",BA7)</f>
        <v>Description.pl</v>
      </c>
      <c r="BB8" s="22" t="str">
        <f>CONCATENATE(AG8,".",BB7)</f>
        <v>Description.pt</v>
      </c>
      <c r="BC8" s="22" t="str">
        <f>CONCATENATE(AG8,".",BC7)</f>
        <v>Description.ro</v>
      </c>
      <c r="BD8" s="22" t="str">
        <f>CONCATENATE(AG8,".",BD7)</f>
        <v>Description.sk</v>
      </c>
      <c r="BE8" s="22" t="str">
        <f>CONCATENATE(AG8,".",BE7)</f>
        <v>Description.sl</v>
      </c>
      <c r="BF8" s="22" t="str">
        <f>CONCATENATE(AG8,".",BF7)</f>
        <v>Description.sv</v>
      </c>
      <c r="BG8" s="22" t="s">
        <v>509</v>
      </c>
      <c r="BH8" s="22"/>
      <c r="BI8" s="22" t="s">
        <v>510</v>
      </c>
      <c r="BJ8" s="22"/>
      <c r="BK8" s="20" t="s">
        <v>511</v>
      </c>
      <c r="BL8" s="20"/>
      <c r="BM8" s="19" t="s">
        <v>512</v>
      </c>
      <c r="BN8" s="200"/>
      <c r="BO8" s="198" t="s">
        <v>513</v>
      </c>
      <c r="BP8" s="5" t="s">
        <v>514</v>
      </c>
      <c r="BQ8" s="5"/>
      <c r="BR8" s="5" t="s">
        <v>515</v>
      </c>
      <c r="BS8" s="5"/>
      <c r="BT8" s="5" t="s">
        <v>516</v>
      </c>
      <c r="BU8" s="5"/>
      <c r="BV8" s="199" t="s">
        <v>517</v>
      </c>
      <c r="BW8" s="22" t="str">
        <f>CONCATENATE(BV8,".",BW7)</f>
        <v>Specification Title.bg</v>
      </c>
      <c r="BX8" s="22" t="str">
        <f>CONCATENATE(BV8,".",BX7)</f>
        <v>Specification Title.cs</v>
      </c>
      <c r="BY8" s="22" t="str">
        <f>CONCATENATE(BV8,".",BY7)</f>
        <v>Specification Title.da</v>
      </c>
      <c r="BZ8" s="22" t="str">
        <f>CONCATENATE(BV8,".",BZ7)</f>
        <v>Specification Title.de</v>
      </c>
      <c r="CA8" s="22" t="str">
        <f>CONCATENATE(BV8,".",CA7)</f>
        <v>Specification Title.el</v>
      </c>
      <c r="CB8" s="22" t="str">
        <f>CONCATENATE(BV8,".",CB7)</f>
        <v>Specification Title.es</v>
      </c>
      <c r="CC8" s="22" t="str">
        <f>CONCATENATE(BV8,".",CC7)</f>
        <v>Specification Title.et</v>
      </c>
      <c r="CD8" s="22" t="str">
        <f>CONCATENATE(BV8,".",CD7)</f>
        <v>Specification Title.fi</v>
      </c>
      <c r="CE8" s="22" t="str">
        <f>CONCATENATE(BV8,".",CE7)</f>
        <v>Specification Title.fr</v>
      </c>
      <c r="CF8" s="22" t="str">
        <f>CONCATENATE(BV8,".",CF7)</f>
        <v>Specification Title.ga</v>
      </c>
      <c r="CG8" s="22" t="str">
        <f>CONCATENATE(BV8,".",CG7)</f>
        <v>Specification Title.hr</v>
      </c>
      <c r="CH8" s="22" t="str">
        <f>CONCATENATE(BV8,".",CH7)</f>
        <v>Specification Title.hu</v>
      </c>
      <c r="CI8" s="22" t="str">
        <f>CONCATENATE(BV8,".",CI7)</f>
        <v>Specification Title.is</v>
      </c>
      <c r="CJ8" s="22" t="str">
        <f>CONCATENATE(BV8,".",CJ7)</f>
        <v>Specification Title.it</v>
      </c>
      <c r="CK8" s="22" t="str">
        <f>CONCATENATE(BV8,".",CK7)</f>
        <v>Specification Title.lt</v>
      </c>
      <c r="CL8" s="22" t="str">
        <f>CONCATENATE(BV8,".",CL7)</f>
        <v>Specification Title.lv</v>
      </c>
      <c r="CM8" s="22" t="str">
        <f>CONCATENATE(BV8,".",CM7)</f>
        <v>Specification Title.mt</v>
      </c>
      <c r="CN8" s="22" t="str">
        <f>CONCATENATE(BV8,".",CN7)</f>
        <v>Specification Title.nl</v>
      </c>
      <c r="CO8" s="22" t="str">
        <f>CONCATENATE(BV8,".",CO7)</f>
        <v>Specification Title.no</v>
      </c>
      <c r="CP8" s="22" t="str">
        <f>CONCATENATE(BV8,".",CP7)</f>
        <v>Specification Title.pl</v>
      </c>
      <c r="CQ8" s="22" t="str">
        <f>CONCATENATE(BV8,".",CQ7)</f>
        <v>Specification Title.pt</v>
      </c>
      <c r="CR8" s="22" t="str">
        <f>CONCATENATE(BV8,".",CR7)</f>
        <v>Specification Title.ro</v>
      </c>
      <c r="CS8" s="22" t="str">
        <f>CONCATENATE(BV8,".",CS7)</f>
        <v>Specification Title.sk</v>
      </c>
      <c r="CT8" s="22" t="str">
        <f>CONCATENATE(BV8,".",CT7)</f>
        <v>Specification Title.sl</v>
      </c>
      <c r="CU8" s="22" t="str">
        <f>CONCATENATE(BV8,".",CU7)</f>
        <v>Specification Title.sv</v>
      </c>
      <c r="CV8" s="20" t="s">
        <v>518</v>
      </c>
      <c r="CW8" s="20" t="str">
        <f>CONCATENATE(CV8,".",CW7)</f>
        <v>Specification Description.bg</v>
      </c>
      <c r="CX8" s="20" t="str">
        <f>CONCATENATE(CV8,".",CX7)</f>
        <v>Specification Description.cs</v>
      </c>
      <c r="CY8" s="20" t="str">
        <f>CONCATENATE(CV8,".",CY7)</f>
        <v>Specification Description.da</v>
      </c>
      <c r="CZ8" s="20" t="str">
        <f>CONCATENATE(CV8,".",CZ7)</f>
        <v>Specification Description.de</v>
      </c>
      <c r="DA8" s="20" t="str">
        <f>CONCATENATE(CV8,".",DA7)</f>
        <v>Specification Description.el</v>
      </c>
      <c r="DB8" s="20" t="str">
        <f>CONCATENATE(CV8,".",DB7)</f>
        <v>Specification Description.es</v>
      </c>
      <c r="DC8" s="20" t="str">
        <f>CONCATENATE(CV8,".",DC7)</f>
        <v>Specification Description.et</v>
      </c>
      <c r="DD8" s="20" t="str">
        <f>CONCATENATE(CV8,".",DD7)</f>
        <v>Specification Description.fi</v>
      </c>
      <c r="DE8" s="20" t="str">
        <f>CONCATENATE(CV8,".",DE7)</f>
        <v>Specification Description.fr</v>
      </c>
      <c r="DF8" s="20" t="str">
        <f>CONCATENATE(CV8,".",DF7)</f>
        <v>Specification Description.ga</v>
      </c>
      <c r="DG8" s="20" t="str">
        <f>CONCATENATE(CV8,".",DG7)</f>
        <v>Specification Description.hr</v>
      </c>
      <c r="DH8" s="20" t="str">
        <f>CONCATENATE(CV8,".",DH7)</f>
        <v>Specification Description.hu</v>
      </c>
      <c r="DI8" s="20" t="str">
        <f>CONCATENATE(CV8,".",DI7)</f>
        <v>Specification Description.is</v>
      </c>
      <c r="DJ8" s="20" t="str">
        <f>CONCATENATE(CV8,".",DJ7)</f>
        <v>Specification Description.it</v>
      </c>
      <c r="DK8" s="20" t="str">
        <f>CONCATENATE(CV8,".",DK7)</f>
        <v>Specification Description.lt</v>
      </c>
      <c r="DL8" s="20" t="str">
        <f>CONCATENATE(CV8,".",DL7)</f>
        <v>Specification Description.lv</v>
      </c>
      <c r="DM8" s="20" t="str">
        <f>CONCATENATE(CV8,".",DM7)</f>
        <v>Specification Description.mt</v>
      </c>
      <c r="DN8" s="20" t="str">
        <f>CONCATENATE(CV8,".",DN7)</f>
        <v>Specification Description.nl</v>
      </c>
      <c r="DO8" s="20" t="str">
        <f>CONCATENATE(CV8,".",DO7)</f>
        <v>Specification Description.no</v>
      </c>
      <c r="DP8" s="20" t="str">
        <f>CONCATENATE(CV8,".",DP7)</f>
        <v>Specification Description.pl</v>
      </c>
      <c r="DQ8" s="20" t="str">
        <f>CONCATENATE(CV8,".",DQ7)</f>
        <v>Specification Description.pt</v>
      </c>
      <c r="DR8" s="20" t="str">
        <f>CONCATENATE(CV8,".",DR7)</f>
        <v>Specification Description.ro</v>
      </c>
      <c r="DS8" s="20" t="str">
        <f>CONCATENATE(CV8,".",DS7)</f>
        <v>Specification Description.sk</v>
      </c>
      <c r="DT8" s="20" t="str">
        <f>CONCATENATE(CV8,".",DT7)</f>
        <v>Specification Description.sl</v>
      </c>
      <c r="DU8" s="20" t="str">
        <f>CONCATENATE(CV8,".",DU7)</f>
        <v>Specification Description.sv</v>
      </c>
      <c r="DV8" s="22" t="s">
        <v>519</v>
      </c>
      <c r="DW8" s="22" t="s">
        <v>520</v>
      </c>
      <c r="DX8" s="22" t="s">
        <v>521</v>
      </c>
      <c r="DY8" s="22" t="s">
        <v>522</v>
      </c>
      <c r="DZ8" s="22"/>
      <c r="EA8" s="22" t="s">
        <v>523</v>
      </c>
      <c r="EB8" s="22" t="s">
        <v>524</v>
      </c>
      <c r="EC8" s="22" t="s">
        <v>525</v>
      </c>
      <c r="ED8" s="22" t="s">
        <v>526</v>
      </c>
      <c r="EE8" s="22" t="s">
        <v>526</v>
      </c>
      <c r="EF8" s="6" t="s">
        <v>527</v>
      </c>
      <c r="EG8" s="22"/>
      <c r="EH8" s="6" t="s">
        <v>528</v>
      </c>
      <c r="EI8" s="6"/>
      <c r="EJ8" s="6" t="s">
        <v>529</v>
      </c>
      <c r="EK8" s="6"/>
      <c r="EL8" s="6" t="s">
        <v>530</v>
      </c>
      <c r="EM8" s="6"/>
      <c r="EN8" s="6" t="s">
        <v>531</v>
      </c>
      <c r="EO8" s="6" t="str">
        <f>CONCATENATE(EN8,".",EO7)</f>
        <v>Entry Requirements.bg</v>
      </c>
      <c r="EP8" s="6" t="str">
        <f>CONCATENATE(EN8,".",EP7)</f>
        <v>Entry Requirements.cs</v>
      </c>
      <c r="EQ8" s="6" t="str">
        <f>CONCATENATE(EN8,".",EQ7)</f>
        <v>Entry Requirements.da</v>
      </c>
      <c r="ER8" s="6" t="str">
        <f>CONCATENATE(EN8,".",ER7)</f>
        <v>Entry Requirements.de</v>
      </c>
      <c r="ES8" s="6" t="str">
        <f>CONCATENATE(EN8,".",ES7)</f>
        <v>Entry Requirements.el</v>
      </c>
      <c r="ET8" s="6" t="str">
        <f>CONCATENATE(EN8,".",ET7)</f>
        <v>Entry Requirements.es</v>
      </c>
      <c r="EU8" s="6" t="str">
        <f>CONCATENATE(EN8,".",EU7)</f>
        <v>Entry Requirements.et</v>
      </c>
      <c r="EV8" s="6" t="str">
        <f>CONCATENATE(EN8,".",EV7)</f>
        <v>Entry Requirements.fi</v>
      </c>
      <c r="EW8" s="6" t="str">
        <f>CONCATENATE(EN8,".",EW7)</f>
        <v>Entry Requirements.fr</v>
      </c>
      <c r="EX8" s="6" t="str">
        <f>CONCATENATE(EN8,".",EX7)</f>
        <v>Entry Requirements.ga</v>
      </c>
      <c r="EY8" s="6" t="str">
        <f>CONCATENATE(EN8,".",EY7)</f>
        <v>Entry Requirements.hr</v>
      </c>
      <c r="EZ8" s="6" t="str">
        <f>CONCATENATE(EN8,".",EZ7)</f>
        <v>Entry Requirements.hu</v>
      </c>
      <c r="FA8" s="6" t="str">
        <f>CONCATENATE(EN8,".",FA7)</f>
        <v>Entry Requirements.is</v>
      </c>
      <c r="FB8" s="6" t="str">
        <f>CONCATENATE(EN8,".",FB7)</f>
        <v>Entry Requirements.it</v>
      </c>
      <c r="FC8" s="6" t="str">
        <f>CONCATENATE(EN8,".",FC7)</f>
        <v>Entry Requirements.lt</v>
      </c>
      <c r="FD8" s="6" t="str">
        <f>CONCATENATE(EN8,".",FD7)</f>
        <v>Entry Requirements.lv</v>
      </c>
      <c r="FE8" s="6" t="str">
        <f>CONCATENATE(EN8,".",FE7)</f>
        <v>Entry Requirements.mt</v>
      </c>
      <c r="FF8" s="6" t="str">
        <f>CONCATENATE(EN8,".",FF7)</f>
        <v>Entry Requirements.nl</v>
      </c>
      <c r="FG8" s="6" t="str">
        <f>CONCATENATE(EN8,".",FG7)</f>
        <v>Entry Requirements.no</v>
      </c>
      <c r="FH8" s="6" t="str">
        <f>CONCATENATE(EN8,".",FH7)</f>
        <v>Entry Requirements.pl</v>
      </c>
      <c r="FI8" s="6" t="str">
        <f>CONCATENATE(EN8,".",FI7)</f>
        <v>Entry Requirements.pt</v>
      </c>
      <c r="FJ8" s="6" t="str">
        <f>CONCATENATE(EN8,".",FJ7)</f>
        <v>Entry Requirements.ro</v>
      </c>
      <c r="FK8" s="6" t="str">
        <f>CONCATENATE(EN8,".",FK7)</f>
        <v>Entry Requirements.sk</v>
      </c>
      <c r="FL8" s="6" t="str">
        <f>CONCATENATE(EN8,".",FL7)</f>
        <v>Entry Requirements.sl</v>
      </c>
      <c r="FM8" s="6" t="str">
        <f>CONCATENATE(EN8,".",FM7)</f>
        <v>Entry Requirements.sv</v>
      </c>
      <c r="FN8" s="6" t="s">
        <v>532</v>
      </c>
      <c r="FO8" s="6" t="s">
        <v>533</v>
      </c>
      <c r="FP8" s="6" t="s">
        <v>534</v>
      </c>
      <c r="FQ8" s="6" t="str">
        <f>CONCATENATE(FP8,".",FQ7)</f>
        <v>More Information Content.bg</v>
      </c>
      <c r="FR8" s="6" t="str">
        <f>CONCATENATE(FP8,".",FR7)</f>
        <v>More Information Content.cs</v>
      </c>
      <c r="FS8" s="6" t="str">
        <f>CONCATENATE(FP8,".",FS7)</f>
        <v>More Information Content.da</v>
      </c>
      <c r="FT8" s="6" t="str">
        <f>CONCATENATE(FP8,".",FT7)</f>
        <v>More Information Content.de</v>
      </c>
      <c r="FU8" s="6" t="str">
        <f>CONCATENATE(FP8,".",FU7)</f>
        <v>More Information Content.el</v>
      </c>
      <c r="FV8" s="6" t="str">
        <f>CONCATENATE(FP8,".",FV7)</f>
        <v>More Information Content.es</v>
      </c>
      <c r="FW8" s="6" t="str">
        <f>CONCATENATE(FP8,".",FW7)</f>
        <v>More Information Content.et</v>
      </c>
      <c r="FX8" s="6" t="str">
        <f>CONCATENATE(FP8,".",FX7)</f>
        <v>More Information Content.fi</v>
      </c>
      <c r="FY8" s="6" t="str">
        <f>CONCATENATE(FP8,".",FY7)</f>
        <v>More Information Content.fr</v>
      </c>
      <c r="FZ8" s="6" t="str">
        <f>CONCATENATE(FP8,".",FZ7)</f>
        <v>More Information Content.ga</v>
      </c>
      <c r="GA8" s="6" t="str">
        <f>CONCATENATE(FP8,".",GA7)</f>
        <v>More Information Content.hr</v>
      </c>
      <c r="GB8" s="6" t="str">
        <f>CONCATENATE(FP8,".",GB7)</f>
        <v>More Information Content.hu</v>
      </c>
      <c r="GC8" s="6" t="str">
        <f>CONCATENATE(FP8,".",GC7)</f>
        <v>More Information Content.is</v>
      </c>
      <c r="GD8" s="6" t="str">
        <f>CONCATENATE(FP8,".",GD7)</f>
        <v>More Information Content.it</v>
      </c>
      <c r="GE8" s="6" t="str">
        <f>CONCATENATE(FP8,".",GE7)</f>
        <v>More Information Content.lt</v>
      </c>
      <c r="GF8" s="6" t="str">
        <f>CONCATENATE(FP8,".",GF7)</f>
        <v>More Information Content.lv</v>
      </c>
      <c r="GG8" s="6" t="str">
        <f>CONCATENATE(FP8,".",GG7)</f>
        <v>More Information Content.mt</v>
      </c>
      <c r="GH8" s="6" t="str">
        <f>CONCATENATE(FP8,".",GH7)</f>
        <v>More Information Content.nl</v>
      </c>
      <c r="GI8" s="6" t="str">
        <f>CONCATENATE(FP8,".",GI7)</f>
        <v>More Information Content.no</v>
      </c>
      <c r="GJ8" s="6" t="str">
        <f>CONCATENATE(FP8,".",GJ7)</f>
        <v>More Information Content.pl</v>
      </c>
      <c r="GK8" s="6" t="str">
        <f>CONCATENATE(FP8,".",GK7)</f>
        <v>More Information Content.pt</v>
      </c>
      <c r="GL8" s="6" t="str">
        <f>CONCATENATE(FP8,".",GL7)</f>
        <v>More Information Content.ro</v>
      </c>
      <c r="GM8" s="6" t="str">
        <f>CONCATENATE(FP8,".",GM7)</f>
        <v>More Information Content.sk</v>
      </c>
      <c r="GN8" s="6" t="str">
        <f>CONCATENATE(FP8,".",GN7)</f>
        <v>More Information Content.sl</v>
      </c>
      <c r="GO8" s="6" t="str">
        <f>CONCATENATE(FP8,".",GO7)</f>
        <v>More Information Content.sv</v>
      </c>
      <c r="GP8" s="6" t="s">
        <v>535</v>
      </c>
      <c r="GQ8" s="6" t="s">
        <v>536</v>
      </c>
      <c r="GR8" s="6" t="str">
        <f>CONCATENATE(GQ8,".",GR7)</f>
        <v>Additional Field Content.bg</v>
      </c>
      <c r="GS8" s="6" t="str">
        <f>CONCATENATE(GQ8,".",GS7)</f>
        <v>Additional Field Content.cs</v>
      </c>
      <c r="GT8" s="6" t="str">
        <f>CONCATENATE(GQ8,".",GT7)</f>
        <v>Additional Field Content.da</v>
      </c>
      <c r="GU8" s="6" t="str">
        <f>CONCATENATE(GQ8,".",GU7)</f>
        <v>Additional Field Content.de</v>
      </c>
      <c r="GV8" s="6" t="str">
        <f>CONCATENATE(GQ8,".",GV7)</f>
        <v>Additional Field Content.el</v>
      </c>
      <c r="GW8" s="6" t="str">
        <f>CONCATENATE(GQ8,".",GW7)</f>
        <v>Additional Field Content.es</v>
      </c>
      <c r="GX8" s="6" t="str">
        <f>CONCATENATE(GQ8,".",GX7)</f>
        <v>Additional Field Content.et</v>
      </c>
      <c r="GY8" s="6" t="str">
        <f>CONCATENATE(GQ8,".",GY7)</f>
        <v>Additional Field Content.fi</v>
      </c>
      <c r="GZ8" s="6" t="str">
        <f>CONCATENATE(GQ8,".",GZ7)</f>
        <v>Additional Field Content.fr</v>
      </c>
      <c r="HA8" s="6" t="str">
        <f>CONCATENATE(GQ8,".",HA7)</f>
        <v>Additional Field Content.ga</v>
      </c>
      <c r="HB8" s="6" t="str">
        <f>CONCATENATE(GQ8,".",HB7)</f>
        <v>Additional Field Content.hr</v>
      </c>
      <c r="HC8" s="6" t="str">
        <f>CONCATENATE(GQ8,".",HC7)</f>
        <v>Additional Field Content.hu</v>
      </c>
      <c r="HD8" s="6" t="str">
        <f>CONCATENATE(GQ8,".",HD7)</f>
        <v>Additional Field Content.is</v>
      </c>
      <c r="HE8" s="6" t="str">
        <f>CONCATENATE(GQ8,".",HE7)</f>
        <v>Additional Field Content.it</v>
      </c>
      <c r="HF8" s="6" t="str">
        <f>CONCATENATE(GQ8,".",HF7)</f>
        <v>Additional Field Content.lt</v>
      </c>
      <c r="HG8" s="6" t="str">
        <f>CONCATENATE(GQ8,".",HG7)</f>
        <v>Additional Field Content.lv</v>
      </c>
      <c r="HH8" s="6" t="str">
        <f>CONCATENATE(GQ8,".",HH7)</f>
        <v>Additional Field Content.mt</v>
      </c>
      <c r="HI8" s="6" t="str">
        <f>CONCATENATE(GQ8,".",HI7)</f>
        <v>Additional Field Content.nl</v>
      </c>
      <c r="HJ8" s="6" t="str">
        <f>CONCATENATE(GQ8,".",HJ7)</f>
        <v>Additional Field Content.no</v>
      </c>
      <c r="HK8" s="6" t="str">
        <f>CONCATENATE(GQ8,".",HK7)</f>
        <v>Additional Field Content.pl</v>
      </c>
      <c r="HL8" s="6" t="str">
        <f>CONCATENATE(GQ8,".",HL7)</f>
        <v>Additional Field Content.pt</v>
      </c>
      <c r="HM8" s="6" t="str">
        <f>CONCATENATE(GQ8,".",HM7)</f>
        <v>Additional Field Content.ro</v>
      </c>
      <c r="HN8" s="6" t="str">
        <f>CONCATENATE(GQ8,".",HN7)</f>
        <v>Additional Field Content.sk</v>
      </c>
      <c r="HO8" s="6" t="str">
        <f>CONCATENATE(GQ8,".",HO7)</f>
        <v>Additional Field Content.sl</v>
      </c>
      <c r="HP8" s="6" t="str">
        <f>CONCATENATE(GQ8,".",HP7)</f>
        <v>Additional Field Content.sv</v>
      </c>
      <c r="HQ8" s="72"/>
      <c r="HR8" s="72"/>
      <c r="HS8" s="72"/>
      <c r="HT8" s="72"/>
      <c r="HU8" s="72"/>
      <c r="HV8" s="72"/>
      <c r="HW8" s="72"/>
      <c r="HX8" s="72"/>
      <c r="HY8" s="72"/>
      <c r="HZ8" s="72"/>
      <c r="IA8" s="72"/>
      <c r="IB8" s="72"/>
      <c r="IC8" s="72"/>
      <c r="ID8" s="72"/>
      <c r="IE8" s="72"/>
      <c r="IF8" s="72"/>
      <c r="IG8" s="72"/>
      <c r="IH8" s="72"/>
      <c r="II8" s="72"/>
      <c r="IJ8" s="72"/>
      <c r="IK8" s="72"/>
      <c r="IL8" s="72"/>
      <c r="IM8" s="72"/>
      <c r="IN8" s="72"/>
      <c r="IO8" s="127"/>
      <c r="IP8" s="127"/>
      <c r="IQ8" s="127"/>
      <c r="IR8" s="127"/>
      <c r="IS8" s="127"/>
      <c r="IT8" s="127"/>
      <c r="IU8" s="127"/>
      <c r="IV8" s="127"/>
      <c r="IW8" s="127"/>
      <c r="IX8" s="127"/>
      <c r="IY8" s="127"/>
      <c r="IZ8" s="127"/>
      <c r="JA8" s="127"/>
      <c r="JB8" s="127"/>
      <c r="JC8" s="127"/>
      <c r="JD8" s="127"/>
      <c r="JE8" s="127"/>
      <c r="JF8" s="127"/>
      <c r="JG8" s="127"/>
      <c r="JH8" s="127"/>
      <c r="JI8" s="127"/>
      <c r="JJ8" s="127"/>
      <c r="JK8" s="127"/>
      <c r="JL8" s="127"/>
      <c r="JM8" s="127"/>
      <c r="JN8" s="127"/>
      <c r="JO8" s="72"/>
      <c r="JP8" s="127"/>
      <c r="JQ8" s="127"/>
      <c r="JR8" s="127"/>
      <c r="JS8" s="127"/>
      <c r="JT8" s="72"/>
      <c r="JU8" s="127"/>
      <c r="JV8" s="72"/>
      <c r="JW8" s="127"/>
      <c r="KX8" s="72"/>
      <c r="KY8" s="127"/>
      <c r="KZ8" s="72"/>
      <c r="LA8" s="127"/>
      <c r="LB8" s="72"/>
      <c r="LC8" s="127"/>
    </row>
    <row r="9" spans="1:315" s="129" customFormat="1" ht="84.95" customHeight="1">
      <c r="A9" s="6" t="s">
        <v>70</v>
      </c>
      <c r="B9" s="7" t="s">
        <v>537</v>
      </c>
      <c r="C9" s="7"/>
      <c r="D9" s="7"/>
      <c r="E9" s="7"/>
      <c r="F9" s="7"/>
      <c r="G9" s="7"/>
      <c r="H9" s="7"/>
      <c r="I9" s="7"/>
      <c r="J9" s="7"/>
      <c r="K9" s="7"/>
      <c r="L9" s="7"/>
      <c r="M9" s="7"/>
      <c r="N9" s="7"/>
      <c r="O9" s="7"/>
      <c r="P9" s="7"/>
      <c r="Q9" s="7"/>
      <c r="R9" s="7"/>
      <c r="S9" s="7"/>
      <c r="T9" s="7"/>
      <c r="U9" s="7"/>
      <c r="V9" s="7"/>
      <c r="W9" s="7"/>
      <c r="X9" s="7"/>
      <c r="Y9" s="7"/>
      <c r="Z9" s="7"/>
      <c r="AA9" s="7"/>
      <c r="AB9" s="7"/>
      <c r="AC9" s="7"/>
      <c r="AD9" s="7" t="s">
        <v>538</v>
      </c>
      <c r="AE9" s="7" t="s">
        <v>539</v>
      </c>
      <c r="AF9" s="7"/>
      <c r="AG9" s="7" t="s">
        <v>540</v>
      </c>
      <c r="AH9" s="7"/>
      <c r="AI9" s="7"/>
      <c r="AJ9" s="7"/>
      <c r="AK9" s="7"/>
      <c r="AL9" s="7"/>
      <c r="AM9" s="7"/>
      <c r="AN9" s="7"/>
      <c r="AO9" s="7"/>
      <c r="AP9" s="7"/>
      <c r="AQ9" s="7"/>
      <c r="AR9" s="7"/>
      <c r="AS9" s="7"/>
      <c r="AT9" s="7"/>
      <c r="AU9" s="7"/>
      <c r="AV9" s="7"/>
      <c r="AW9" s="7"/>
      <c r="AX9" s="7"/>
      <c r="AY9" s="7"/>
      <c r="AZ9" s="7"/>
      <c r="BA9" s="7"/>
      <c r="BB9" s="7"/>
      <c r="BC9" s="7"/>
      <c r="BD9" s="7"/>
      <c r="BE9" s="7"/>
      <c r="BF9" s="7"/>
      <c r="BG9" s="26" t="s">
        <v>541</v>
      </c>
      <c r="BH9" s="26"/>
      <c r="BI9" s="26" t="s">
        <v>542</v>
      </c>
      <c r="BJ9" s="7"/>
      <c r="BK9" s="26" t="s">
        <v>543</v>
      </c>
      <c r="BL9" s="26"/>
      <c r="BM9" s="26" t="s">
        <v>544</v>
      </c>
      <c r="BN9" s="64"/>
      <c r="BO9" s="173" t="s">
        <v>545</v>
      </c>
      <c r="BP9" s="169" t="s">
        <v>546</v>
      </c>
      <c r="BQ9" s="77"/>
      <c r="BR9" s="77" t="s">
        <v>547</v>
      </c>
      <c r="BS9" s="77"/>
      <c r="BT9" s="77" t="s">
        <v>548</v>
      </c>
      <c r="BU9" s="77"/>
      <c r="BV9" s="66"/>
      <c r="BW9" s="7"/>
      <c r="BX9" s="7"/>
      <c r="BY9" s="7"/>
      <c r="BZ9" s="7"/>
      <c r="CA9" s="7"/>
      <c r="CB9" s="7"/>
      <c r="CC9" s="7"/>
      <c r="CD9" s="7"/>
      <c r="CE9" s="7"/>
      <c r="CF9" s="7"/>
      <c r="CG9" s="7"/>
      <c r="CH9" s="7"/>
      <c r="CI9" s="7"/>
      <c r="CJ9" s="7"/>
      <c r="CK9" s="7"/>
      <c r="CL9" s="7"/>
      <c r="CM9" s="7"/>
      <c r="CN9" s="7"/>
      <c r="CO9" s="7"/>
      <c r="CP9" s="7"/>
      <c r="CQ9" s="7"/>
      <c r="CR9" s="7"/>
      <c r="CS9" s="7"/>
      <c r="CT9" s="7"/>
      <c r="CU9" s="7"/>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7"/>
      <c r="DW9" s="7"/>
      <c r="DX9" s="7" t="s">
        <v>549</v>
      </c>
      <c r="DY9" s="7" t="s">
        <v>550</v>
      </c>
      <c r="DZ9" s="7"/>
      <c r="EA9" s="7" t="s">
        <v>551</v>
      </c>
      <c r="EB9" s="7" t="s">
        <v>552</v>
      </c>
      <c r="EC9" s="7"/>
      <c r="ED9" s="7" t="s">
        <v>553</v>
      </c>
      <c r="EE9" s="7" t="s">
        <v>553</v>
      </c>
      <c r="EF9" s="7"/>
      <c r="EG9" s="7"/>
      <c r="EH9" s="77"/>
      <c r="EI9" s="77"/>
      <c r="EJ9" s="77"/>
      <c r="EK9" s="77"/>
      <c r="EL9" s="77"/>
      <c r="EM9" s="77"/>
      <c r="EN9" s="77" t="s">
        <v>554</v>
      </c>
      <c r="EO9" s="77"/>
      <c r="EP9" s="77"/>
      <c r="EQ9" s="77"/>
      <c r="ER9" s="77"/>
      <c r="ES9" s="77"/>
      <c r="ET9" s="77"/>
      <c r="EU9" s="77"/>
      <c r="EV9" s="77"/>
      <c r="EW9" s="77"/>
      <c r="EX9" s="77"/>
      <c r="EY9" s="77"/>
      <c r="EZ9" s="77"/>
      <c r="FA9" s="77"/>
      <c r="FB9" s="77"/>
      <c r="FC9" s="77"/>
      <c r="FD9" s="77"/>
      <c r="FE9" s="77"/>
      <c r="FF9" s="77"/>
      <c r="FG9" s="77"/>
      <c r="FH9" s="77"/>
      <c r="FI9" s="77"/>
      <c r="FJ9" s="77"/>
      <c r="FK9" s="77"/>
      <c r="FL9" s="77"/>
      <c r="FM9" s="77"/>
      <c r="FN9" s="77" t="s">
        <v>555</v>
      </c>
      <c r="FO9" s="77"/>
      <c r="FP9" s="77" t="s">
        <v>540</v>
      </c>
      <c r="FQ9" s="77"/>
      <c r="FR9" s="77"/>
      <c r="FS9" s="77"/>
      <c r="FT9" s="77"/>
      <c r="FU9" s="77"/>
      <c r="FV9" s="77"/>
      <c r="FW9" s="77"/>
      <c r="FX9" s="77"/>
      <c r="FY9" s="77"/>
      <c r="FZ9" s="77"/>
      <c r="GA9" s="77"/>
      <c r="GB9" s="77"/>
      <c r="GC9" s="77"/>
      <c r="GD9" s="77"/>
      <c r="GE9" s="77"/>
      <c r="GF9" s="77"/>
      <c r="GG9" s="77"/>
      <c r="GH9" s="77"/>
      <c r="GI9" s="77"/>
      <c r="GJ9" s="77"/>
      <c r="GK9" s="77"/>
      <c r="GL9" s="77"/>
      <c r="GM9" s="77"/>
      <c r="GN9" s="77"/>
      <c r="GO9" s="77"/>
      <c r="GP9" s="77"/>
      <c r="GQ9" s="77"/>
      <c r="GR9" s="63"/>
      <c r="GS9" s="63"/>
      <c r="GT9" s="63"/>
      <c r="GU9" s="63"/>
      <c r="GV9" s="63"/>
      <c r="GW9" s="63"/>
      <c r="GX9" s="63"/>
      <c r="GY9" s="63"/>
      <c r="GZ9" s="63"/>
      <c r="HA9" s="63"/>
      <c r="HB9" s="63"/>
      <c r="HC9" s="63"/>
      <c r="HD9" s="63"/>
      <c r="HE9" s="63"/>
      <c r="HF9" s="63"/>
      <c r="HG9" s="63"/>
      <c r="HH9" s="63"/>
      <c r="HI9" s="63"/>
      <c r="HJ9" s="63"/>
      <c r="HK9" s="63"/>
      <c r="HL9" s="63"/>
      <c r="HM9" s="63"/>
      <c r="HN9" s="63"/>
      <c r="HO9" s="63"/>
      <c r="HP9" s="63"/>
      <c r="HQ9" s="74"/>
      <c r="HR9" s="74"/>
      <c r="HS9" s="74"/>
      <c r="HT9" s="74"/>
      <c r="HU9" s="74"/>
      <c r="HV9" s="74"/>
      <c r="HW9" s="74"/>
      <c r="HX9" s="74"/>
      <c r="HY9" s="74"/>
      <c r="HZ9" s="74"/>
      <c r="IA9" s="74"/>
      <c r="IB9" s="74"/>
      <c r="IC9" s="74"/>
      <c r="ID9" s="74"/>
      <c r="IE9" s="74"/>
      <c r="IF9" s="74"/>
      <c r="IG9" s="74"/>
      <c r="IH9" s="74"/>
      <c r="II9" s="74"/>
      <c r="IJ9" s="74"/>
      <c r="IK9" s="74"/>
      <c r="IL9" s="74"/>
      <c r="IM9" s="74"/>
      <c r="IN9" s="74"/>
      <c r="IO9" s="127"/>
      <c r="IP9" s="127"/>
      <c r="IQ9" s="127"/>
      <c r="IR9" s="127"/>
      <c r="IS9" s="127"/>
      <c r="IT9" s="127"/>
      <c r="IU9" s="127"/>
      <c r="IV9" s="127"/>
      <c r="IW9" s="127"/>
      <c r="IX9" s="127"/>
      <c r="IY9" s="127"/>
      <c r="IZ9" s="127"/>
      <c r="JA9" s="127"/>
      <c r="JB9" s="127"/>
      <c r="JC9" s="127"/>
      <c r="JD9" s="127"/>
      <c r="JE9" s="127"/>
      <c r="JF9" s="127"/>
      <c r="JG9" s="127"/>
      <c r="JH9" s="127"/>
      <c r="JI9" s="127"/>
      <c r="JJ9" s="127"/>
      <c r="JK9" s="127"/>
      <c r="JL9" s="127"/>
      <c r="JM9" s="127"/>
      <c r="JN9" s="127"/>
      <c r="JO9" s="74"/>
      <c r="JP9" s="127"/>
      <c r="JQ9" s="127"/>
      <c r="JR9" s="127"/>
      <c r="JS9" s="127"/>
      <c r="JT9" s="74"/>
      <c r="JU9" s="127"/>
      <c r="JV9" s="74"/>
      <c r="JW9" s="127"/>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4"/>
      <c r="KY9" s="127"/>
      <c r="KZ9" s="74"/>
      <c r="LA9" s="127"/>
      <c r="LB9" s="74"/>
      <c r="LC9" s="127"/>
    </row>
    <row r="10" spans="1:315" ht="15.75" thickBot="1">
      <c r="A10" s="159" t="s">
        <v>42</v>
      </c>
      <c r="B10" s="86"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c r="AE10" s="86"/>
      <c r="AF10" s="86"/>
      <c r="AG10" s="86" t="s">
        <v>12</v>
      </c>
      <c r="AH10" s="86" t="s">
        <v>84</v>
      </c>
      <c r="AI10" s="86" t="s">
        <v>85</v>
      </c>
      <c r="AJ10" s="86" t="s">
        <v>86</v>
      </c>
      <c r="AK10" s="86" t="s">
        <v>87</v>
      </c>
      <c r="AL10" s="86" t="s">
        <v>88</v>
      </c>
      <c r="AM10" s="86" t="s">
        <v>89</v>
      </c>
      <c r="AN10" s="86" t="s">
        <v>90</v>
      </c>
      <c r="AO10" s="86" t="s">
        <v>91</v>
      </c>
      <c r="AP10" s="86" t="s">
        <v>92</v>
      </c>
      <c r="AQ10" s="86" t="s">
        <v>93</v>
      </c>
      <c r="AR10" s="86" t="s">
        <v>94</v>
      </c>
      <c r="AS10" s="86" t="s">
        <v>95</v>
      </c>
      <c r="AT10" s="86" t="s">
        <v>96</v>
      </c>
      <c r="AU10" s="86" t="s">
        <v>97</v>
      </c>
      <c r="AV10" s="86" t="s">
        <v>98</v>
      </c>
      <c r="AW10" s="86" t="s">
        <v>99</v>
      </c>
      <c r="AX10" s="86" t="s">
        <v>100</v>
      </c>
      <c r="AY10" s="86" t="s">
        <v>14</v>
      </c>
      <c r="AZ10" s="86" t="s">
        <v>101</v>
      </c>
      <c r="BA10" s="86" t="s">
        <v>102</v>
      </c>
      <c r="BB10" s="86" t="s">
        <v>103</v>
      </c>
      <c r="BC10" s="86" t="s">
        <v>104</v>
      </c>
      <c r="BD10" s="86" t="s">
        <v>105</v>
      </c>
      <c r="BE10" s="86" t="s">
        <v>106</v>
      </c>
      <c r="BF10" s="86" t="s">
        <v>107</v>
      </c>
      <c r="BG10" s="86"/>
      <c r="BH10" s="86"/>
      <c r="BI10" s="86"/>
      <c r="BJ10" s="86"/>
      <c r="BK10" s="86"/>
      <c r="BL10" s="86"/>
      <c r="BM10" s="86"/>
      <c r="BN10" s="86"/>
      <c r="BO10" s="174"/>
      <c r="BP10" s="86"/>
      <c r="BQ10" s="86"/>
      <c r="BR10" s="86"/>
      <c r="BS10" s="86"/>
      <c r="BT10" s="86"/>
      <c r="BU10" s="86"/>
      <c r="BV10" s="160" t="s">
        <v>12</v>
      </c>
      <c r="BW10" s="86" t="s">
        <v>84</v>
      </c>
      <c r="BX10" s="86" t="s">
        <v>85</v>
      </c>
      <c r="BY10" s="86" t="s">
        <v>86</v>
      </c>
      <c r="BZ10" s="86" t="s">
        <v>87</v>
      </c>
      <c r="CA10" s="86" t="s">
        <v>88</v>
      </c>
      <c r="CB10" s="86" t="s">
        <v>89</v>
      </c>
      <c r="CC10" s="86" t="s">
        <v>90</v>
      </c>
      <c r="CD10" s="86" t="s">
        <v>91</v>
      </c>
      <c r="CE10" s="86" t="s">
        <v>92</v>
      </c>
      <c r="CF10" s="86" t="s">
        <v>93</v>
      </c>
      <c r="CG10" s="86" t="s">
        <v>94</v>
      </c>
      <c r="CH10" s="86" t="s">
        <v>95</v>
      </c>
      <c r="CI10" s="86" t="s">
        <v>96</v>
      </c>
      <c r="CJ10" s="86" t="s">
        <v>97</v>
      </c>
      <c r="CK10" s="86" t="s">
        <v>98</v>
      </c>
      <c r="CL10" s="86" t="s">
        <v>99</v>
      </c>
      <c r="CM10" s="86" t="s">
        <v>100</v>
      </c>
      <c r="CN10" s="86" t="s">
        <v>14</v>
      </c>
      <c r="CO10" s="86" t="s">
        <v>101</v>
      </c>
      <c r="CP10" s="86" t="s">
        <v>102</v>
      </c>
      <c r="CQ10" s="86" t="s">
        <v>103</v>
      </c>
      <c r="CR10" s="86" t="s">
        <v>104</v>
      </c>
      <c r="CS10" s="86" t="s">
        <v>105</v>
      </c>
      <c r="CT10" s="86" t="s">
        <v>106</v>
      </c>
      <c r="CU10" s="86" t="s">
        <v>107</v>
      </c>
      <c r="CV10" s="86" t="s">
        <v>12</v>
      </c>
      <c r="CW10" s="86" t="s">
        <v>84</v>
      </c>
      <c r="CX10" s="86" t="s">
        <v>85</v>
      </c>
      <c r="CY10" s="86" t="s">
        <v>86</v>
      </c>
      <c r="CZ10" s="86" t="s">
        <v>87</v>
      </c>
      <c r="DA10" s="86" t="s">
        <v>88</v>
      </c>
      <c r="DB10" s="86" t="s">
        <v>89</v>
      </c>
      <c r="DC10" s="86" t="s">
        <v>90</v>
      </c>
      <c r="DD10" s="86" t="s">
        <v>91</v>
      </c>
      <c r="DE10" s="86" t="s">
        <v>92</v>
      </c>
      <c r="DF10" s="86" t="s">
        <v>93</v>
      </c>
      <c r="DG10" s="86" t="s">
        <v>94</v>
      </c>
      <c r="DH10" s="86" t="s">
        <v>95</v>
      </c>
      <c r="DI10" s="86" t="s">
        <v>96</v>
      </c>
      <c r="DJ10" s="86" t="s">
        <v>97</v>
      </c>
      <c r="DK10" s="86" t="s">
        <v>98</v>
      </c>
      <c r="DL10" s="86" t="s">
        <v>99</v>
      </c>
      <c r="DM10" s="86" t="s">
        <v>100</v>
      </c>
      <c r="DN10" s="86" t="s">
        <v>14</v>
      </c>
      <c r="DO10" s="86" t="s">
        <v>101</v>
      </c>
      <c r="DP10" s="86" t="s">
        <v>102</v>
      </c>
      <c r="DQ10" s="86" t="s">
        <v>103</v>
      </c>
      <c r="DR10" s="86" t="s">
        <v>104</v>
      </c>
      <c r="DS10" s="86" t="s">
        <v>105</v>
      </c>
      <c r="DT10" s="86" t="s">
        <v>106</v>
      </c>
      <c r="DU10" s="86" t="s">
        <v>107</v>
      </c>
      <c r="DV10" s="86"/>
      <c r="DW10" s="86"/>
      <c r="DX10" s="86"/>
      <c r="DY10" s="86"/>
      <c r="DZ10" s="86"/>
      <c r="EA10" s="86"/>
      <c r="EB10" s="86"/>
      <c r="EC10" s="86"/>
      <c r="ED10" s="86"/>
      <c r="EE10" s="86"/>
      <c r="EF10" s="86"/>
      <c r="EG10" s="86"/>
      <c r="EH10" s="86"/>
      <c r="EI10" s="86"/>
      <c r="EJ10" s="86"/>
      <c r="EK10" s="86"/>
      <c r="EL10" s="86"/>
      <c r="EM10" s="86"/>
      <c r="EN10" s="86" t="s">
        <v>12</v>
      </c>
      <c r="EO10" s="86" t="s">
        <v>84</v>
      </c>
      <c r="EP10" s="86" t="s">
        <v>85</v>
      </c>
      <c r="EQ10" s="86" t="s">
        <v>86</v>
      </c>
      <c r="ER10" s="86" t="s">
        <v>87</v>
      </c>
      <c r="ES10" s="86" t="s">
        <v>88</v>
      </c>
      <c r="ET10" s="86" t="s">
        <v>89</v>
      </c>
      <c r="EU10" s="86" t="s">
        <v>90</v>
      </c>
      <c r="EV10" s="86" t="s">
        <v>91</v>
      </c>
      <c r="EW10" s="86" t="s">
        <v>92</v>
      </c>
      <c r="EX10" s="86" t="s">
        <v>93</v>
      </c>
      <c r="EY10" s="86" t="s">
        <v>94</v>
      </c>
      <c r="EZ10" s="86" t="s">
        <v>95</v>
      </c>
      <c r="FA10" s="86" t="s">
        <v>96</v>
      </c>
      <c r="FB10" s="86" t="s">
        <v>97</v>
      </c>
      <c r="FC10" s="86" t="s">
        <v>98</v>
      </c>
      <c r="FD10" s="86" t="s">
        <v>99</v>
      </c>
      <c r="FE10" s="86" t="s">
        <v>100</v>
      </c>
      <c r="FF10" s="86" t="s">
        <v>14</v>
      </c>
      <c r="FG10" s="86" t="s">
        <v>101</v>
      </c>
      <c r="FH10" s="86" t="s">
        <v>102</v>
      </c>
      <c r="FI10" s="86" t="s">
        <v>103</v>
      </c>
      <c r="FJ10" s="86" t="s">
        <v>104</v>
      </c>
      <c r="FK10" s="86" t="s">
        <v>105</v>
      </c>
      <c r="FL10" s="86" t="s">
        <v>106</v>
      </c>
      <c r="FM10" s="86" t="s">
        <v>107</v>
      </c>
      <c r="FN10" s="86" t="s">
        <v>12</v>
      </c>
      <c r="FO10" s="86"/>
      <c r="FP10" s="86" t="s">
        <v>12</v>
      </c>
      <c r="FQ10" s="86" t="s">
        <v>84</v>
      </c>
      <c r="FR10" s="86" t="s">
        <v>85</v>
      </c>
      <c r="FS10" s="86" t="s">
        <v>86</v>
      </c>
      <c r="FT10" s="86" t="s">
        <v>87</v>
      </c>
      <c r="FU10" s="86" t="s">
        <v>88</v>
      </c>
      <c r="FV10" s="86" t="s">
        <v>89</v>
      </c>
      <c r="FW10" s="86" t="s">
        <v>90</v>
      </c>
      <c r="FX10" s="86" t="s">
        <v>91</v>
      </c>
      <c r="FY10" s="86" t="s">
        <v>92</v>
      </c>
      <c r="FZ10" s="86" t="s">
        <v>93</v>
      </c>
      <c r="GA10" s="86" t="s">
        <v>94</v>
      </c>
      <c r="GB10" s="86" t="s">
        <v>95</v>
      </c>
      <c r="GC10" s="86" t="s">
        <v>96</v>
      </c>
      <c r="GD10" s="86" t="s">
        <v>97</v>
      </c>
      <c r="GE10" s="86" t="s">
        <v>98</v>
      </c>
      <c r="GF10" s="86" t="s">
        <v>99</v>
      </c>
      <c r="GG10" s="86" t="s">
        <v>100</v>
      </c>
      <c r="GH10" s="86" t="s">
        <v>14</v>
      </c>
      <c r="GI10" s="86" t="s">
        <v>101</v>
      </c>
      <c r="GJ10" s="86" t="s">
        <v>102</v>
      </c>
      <c r="GK10" s="86" t="s">
        <v>103</v>
      </c>
      <c r="GL10" s="86" t="s">
        <v>104</v>
      </c>
      <c r="GM10" s="86" t="s">
        <v>105</v>
      </c>
      <c r="GN10" s="86" t="s">
        <v>106</v>
      </c>
      <c r="GO10" s="86" t="s">
        <v>107</v>
      </c>
      <c r="GP10" s="86" t="s">
        <v>12</v>
      </c>
      <c r="GQ10" s="86"/>
      <c r="GR10" s="86" t="s">
        <v>84</v>
      </c>
      <c r="GS10" s="86" t="s">
        <v>85</v>
      </c>
      <c r="GT10" s="86" t="s">
        <v>86</v>
      </c>
      <c r="GU10" s="86" t="s">
        <v>87</v>
      </c>
      <c r="GV10" s="86" t="s">
        <v>88</v>
      </c>
      <c r="GW10" s="86" t="s">
        <v>89</v>
      </c>
      <c r="GX10" s="86" t="s">
        <v>90</v>
      </c>
      <c r="GY10" s="86" t="s">
        <v>91</v>
      </c>
      <c r="GZ10" s="86" t="s">
        <v>92</v>
      </c>
      <c r="HA10" s="86" t="s">
        <v>93</v>
      </c>
      <c r="HB10" s="86" t="s">
        <v>94</v>
      </c>
      <c r="HC10" s="86" t="s">
        <v>95</v>
      </c>
      <c r="HD10" s="86" t="s">
        <v>96</v>
      </c>
      <c r="HE10" s="86" t="s">
        <v>97</v>
      </c>
      <c r="HF10" s="86" t="s">
        <v>98</v>
      </c>
      <c r="HG10" s="86" t="s">
        <v>99</v>
      </c>
      <c r="HH10" s="86" t="s">
        <v>100</v>
      </c>
      <c r="HI10" s="86" t="s">
        <v>14</v>
      </c>
      <c r="HJ10" s="86" t="s">
        <v>101</v>
      </c>
      <c r="HK10" s="86" t="s">
        <v>102</v>
      </c>
      <c r="HL10" s="86" t="s">
        <v>103</v>
      </c>
      <c r="HM10" s="86" t="s">
        <v>104</v>
      </c>
      <c r="HN10" s="86" t="s">
        <v>105</v>
      </c>
      <c r="HO10" s="86" t="s">
        <v>106</v>
      </c>
      <c r="HP10" s="86" t="s">
        <v>107</v>
      </c>
      <c r="HQ10" s="130"/>
      <c r="HR10" s="130"/>
      <c r="HS10" s="130"/>
      <c r="HT10" s="130"/>
      <c r="HU10" s="130"/>
      <c r="HV10" s="130"/>
      <c r="HW10" s="130"/>
      <c r="HX10" s="130"/>
      <c r="HY10" s="130"/>
      <c r="HZ10" s="130"/>
      <c r="IA10" s="130"/>
      <c r="IB10" s="130"/>
      <c r="IC10" s="130"/>
      <c r="ID10" s="130"/>
      <c r="IE10" s="130"/>
      <c r="IF10" s="130"/>
      <c r="IG10" s="130"/>
      <c r="IH10" s="130"/>
      <c r="II10" s="130"/>
      <c r="IJ10" s="130"/>
      <c r="IK10" s="130"/>
      <c r="IL10" s="130"/>
      <c r="IM10" s="130"/>
      <c r="IN10" s="130"/>
      <c r="IO10" s="158"/>
      <c r="IP10" s="158"/>
      <c r="IQ10" s="158"/>
      <c r="IR10" s="158"/>
      <c r="IS10" s="158"/>
      <c r="IT10" s="158"/>
      <c r="IU10" s="158"/>
      <c r="IV10" s="158"/>
      <c r="IW10" s="158"/>
      <c r="IX10" s="158"/>
      <c r="IY10" s="158"/>
      <c r="IZ10" s="158"/>
      <c r="JA10" s="158"/>
      <c r="JB10" s="158"/>
      <c r="JC10" s="158"/>
      <c r="JD10" s="158"/>
      <c r="JE10" s="158"/>
      <c r="JF10" s="158"/>
      <c r="JG10" s="158"/>
      <c r="JH10" s="158"/>
      <c r="JI10" s="158"/>
      <c r="JJ10" s="158"/>
      <c r="JK10" s="158"/>
      <c r="JL10" s="158"/>
      <c r="JM10" s="158"/>
      <c r="JN10" s="158"/>
      <c r="JO10" s="130"/>
      <c r="JP10" s="158"/>
      <c r="JQ10" s="158"/>
      <c r="JR10" s="158"/>
      <c r="JS10" s="158"/>
      <c r="JT10" s="130"/>
      <c r="JU10" s="158"/>
      <c r="JV10" s="130"/>
      <c r="JW10" s="158"/>
      <c r="JX10" s="114"/>
      <c r="JY10" s="114"/>
      <c r="JZ10" s="114"/>
      <c r="KA10" s="114"/>
      <c r="KB10" s="114"/>
      <c r="KC10" s="114"/>
      <c r="KD10" s="114"/>
      <c r="KE10" s="114"/>
      <c r="KF10" s="114"/>
      <c r="KG10" s="114"/>
      <c r="KH10" s="114"/>
      <c r="KI10" s="114"/>
      <c r="KJ10" s="114"/>
      <c r="KK10" s="114"/>
      <c r="KL10" s="114"/>
      <c r="KM10" s="114"/>
      <c r="KN10" s="114"/>
      <c r="KO10" s="114"/>
      <c r="KP10" s="114"/>
      <c r="KQ10" s="114"/>
      <c r="KR10" s="114"/>
      <c r="KS10" s="114"/>
      <c r="KT10" s="114"/>
      <c r="KU10" s="114"/>
      <c r="KV10" s="114"/>
      <c r="KW10" s="114"/>
      <c r="KX10" s="130"/>
      <c r="KY10" s="158"/>
      <c r="KZ10" s="130"/>
      <c r="LA10" s="158"/>
      <c r="LB10" s="130"/>
      <c r="LC10" s="158"/>
    </row>
    <row r="11" spans="1:315" s="210"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3" t="s">
        <v>5376</v>
      </c>
      <c r="AC11" s="206"/>
      <c r="AD11" s="184">
        <v>44022</v>
      </c>
      <c r="AE11" s="183" t="s">
        <v>5368</v>
      </c>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14"/>
      <c r="BP11" s="259"/>
      <c r="BQ11" s="206"/>
      <c r="BR11" s="185"/>
      <c r="BS11" s="206"/>
      <c r="BT11" s="185"/>
      <c r="BU11" s="206"/>
      <c r="BV11" s="215"/>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206"/>
      <c r="DT11" s="206"/>
      <c r="DU11" s="206"/>
      <c r="DV11" s="183"/>
      <c r="DW11" s="206"/>
      <c r="DX11" s="206"/>
      <c r="DY11" s="206"/>
      <c r="DZ11" s="206"/>
      <c r="EA11" s="206"/>
      <c r="EB11" s="206"/>
      <c r="EC11" s="206"/>
      <c r="ED11" s="185"/>
      <c r="EE11" s="206"/>
      <c r="EF11" s="185"/>
      <c r="EG11" s="206"/>
      <c r="EH11" s="185"/>
      <c r="EI11" s="206"/>
      <c r="EJ11" s="185"/>
      <c r="EK11" s="206"/>
      <c r="EL11" s="185"/>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185"/>
      <c r="FP11" s="185"/>
      <c r="FQ11" s="187"/>
      <c r="FR11" s="187"/>
      <c r="FS11" s="187"/>
      <c r="FT11" s="187"/>
      <c r="FU11" s="187"/>
      <c r="FV11" s="187"/>
      <c r="FW11" s="187"/>
      <c r="FX11" s="187"/>
      <c r="FY11" s="187"/>
      <c r="FZ11" s="187"/>
      <c r="GA11" s="187"/>
      <c r="GB11" s="187"/>
      <c r="GC11" s="187"/>
      <c r="GD11" s="187"/>
      <c r="GE11" s="187"/>
      <c r="GF11" s="187"/>
      <c r="GG11" s="187"/>
      <c r="GH11" s="187"/>
      <c r="GI11" s="187"/>
      <c r="GJ11" s="187"/>
      <c r="GK11" s="187"/>
      <c r="GL11" s="187"/>
      <c r="GM11" s="187"/>
      <c r="GN11" s="187"/>
      <c r="GO11" s="187"/>
      <c r="GP11" s="187"/>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2"/>
      <c r="JD11" s="122"/>
      <c r="JE11" s="122"/>
      <c r="JF11" s="122"/>
      <c r="JG11" s="122"/>
      <c r="JH11" s="122"/>
      <c r="JI11" s="122"/>
      <c r="JJ11" s="122"/>
      <c r="JK11" s="122"/>
      <c r="JL11" s="122"/>
      <c r="JM11" s="122"/>
      <c r="JN11" s="122"/>
      <c r="JO11" s="122"/>
      <c r="JR11" s="122"/>
      <c r="JS11" s="122"/>
      <c r="JT11" s="122"/>
      <c r="JU11" s="122"/>
      <c r="JV11" s="122"/>
      <c r="JW11" s="122"/>
      <c r="JX11" s="122"/>
      <c r="KX11" s="123"/>
      <c r="KY11" s="122"/>
      <c r="KZ11" s="123"/>
      <c r="LA11" s="123"/>
      <c r="LB11" s="123"/>
      <c r="LC11" s="123"/>
    </row>
    <row r="12" spans="1:315" ht="29.1" hidden="1" customHeight="1">
      <c r="A12" s="99"/>
      <c r="B12" s="111" t="s">
        <v>556</v>
      </c>
      <c r="C12" s="111" t="s">
        <v>557</v>
      </c>
      <c r="D12" s="111" t="s">
        <v>558</v>
      </c>
      <c r="E12" s="111" t="s">
        <v>559</v>
      </c>
      <c r="F12" s="111" t="s">
        <v>560</v>
      </c>
      <c r="G12" s="111" t="s">
        <v>561</v>
      </c>
      <c r="H12" s="111" t="s">
        <v>562</v>
      </c>
      <c r="I12" s="111" t="s">
        <v>563</v>
      </c>
      <c r="J12" s="111" t="s">
        <v>564</v>
      </c>
      <c r="K12" s="111" t="s">
        <v>565</v>
      </c>
      <c r="L12" s="111" t="s">
        <v>566</v>
      </c>
      <c r="M12" s="111" t="s">
        <v>567</v>
      </c>
      <c r="N12" s="111" t="s">
        <v>568</v>
      </c>
      <c r="O12" s="111" t="s">
        <v>569</v>
      </c>
      <c r="P12" s="111" t="s">
        <v>570</v>
      </c>
      <c r="Q12" s="111" t="s">
        <v>571</v>
      </c>
      <c r="R12" s="111" t="s">
        <v>572</v>
      </c>
      <c r="S12" s="111" t="s">
        <v>573</v>
      </c>
      <c r="T12" s="111" t="s">
        <v>574</v>
      </c>
      <c r="U12" s="111" t="s">
        <v>575</v>
      </c>
      <c r="V12" s="111" t="s">
        <v>576</v>
      </c>
      <c r="W12" s="111" t="s">
        <v>577</v>
      </c>
      <c r="X12" s="111" t="s">
        <v>578</v>
      </c>
      <c r="Y12" s="111" t="s">
        <v>579</v>
      </c>
      <c r="Z12" s="111" t="s">
        <v>580</v>
      </c>
      <c r="AA12" s="111" t="s">
        <v>581</v>
      </c>
      <c r="AB12" s="111" t="s">
        <v>582</v>
      </c>
      <c r="AC12" s="111" t="s">
        <v>583</v>
      </c>
      <c r="AD12" s="111" t="s">
        <v>584</v>
      </c>
      <c r="AE12" s="111" t="s">
        <v>585</v>
      </c>
      <c r="AF12" s="111" t="s">
        <v>586</v>
      </c>
      <c r="AG12" s="111" t="s">
        <v>587</v>
      </c>
      <c r="AH12" s="111" t="s">
        <v>588</v>
      </c>
      <c r="AI12" s="111" t="s">
        <v>589</v>
      </c>
      <c r="AJ12" s="111" t="s">
        <v>590</v>
      </c>
      <c r="AK12" s="111" t="s">
        <v>591</v>
      </c>
      <c r="AL12" s="111" t="s">
        <v>592</v>
      </c>
      <c r="AM12" s="111" t="s">
        <v>593</v>
      </c>
      <c r="AN12" s="111" t="s">
        <v>594</v>
      </c>
      <c r="AO12" s="111" t="s">
        <v>595</v>
      </c>
      <c r="AP12" s="111" t="s">
        <v>596</v>
      </c>
      <c r="AQ12" s="111" t="s">
        <v>597</v>
      </c>
      <c r="AR12" s="111" t="s">
        <v>598</v>
      </c>
      <c r="AS12" s="111" t="s">
        <v>599</v>
      </c>
      <c r="AT12" s="111" t="s">
        <v>600</v>
      </c>
      <c r="AU12" s="111" t="s">
        <v>601</v>
      </c>
      <c r="AV12" s="111" t="s">
        <v>602</v>
      </c>
      <c r="AW12" s="111" t="s">
        <v>603</v>
      </c>
      <c r="AX12" s="111" t="s">
        <v>604</v>
      </c>
      <c r="AY12" s="111" t="s">
        <v>605</v>
      </c>
      <c r="AZ12" s="111" t="s">
        <v>606</v>
      </c>
      <c r="BA12" s="111" t="s">
        <v>607</v>
      </c>
      <c r="BB12" s="111" t="s">
        <v>608</v>
      </c>
      <c r="BC12" s="111" t="s">
        <v>609</v>
      </c>
      <c r="BD12" s="111" t="s">
        <v>610</v>
      </c>
      <c r="BE12" s="111" t="s">
        <v>611</v>
      </c>
      <c r="BF12" s="111" t="s">
        <v>612</v>
      </c>
      <c r="BG12" s="111" t="s">
        <v>613</v>
      </c>
      <c r="BH12" s="111" t="s">
        <v>614</v>
      </c>
      <c r="BI12" s="111" t="s">
        <v>615</v>
      </c>
      <c r="BJ12" s="111" t="s">
        <v>616</v>
      </c>
      <c r="BK12" s="111" t="s">
        <v>238</v>
      </c>
      <c r="BL12" s="111" t="s">
        <v>239</v>
      </c>
      <c r="BM12" s="111" t="s">
        <v>617</v>
      </c>
      <c r="BN12" s="111" t="s">
        <v>618</v>
      </c>
      <c r="BO12" s="175" t="s">
        <v>619</v>
      </c>
      <c r="BP12" s="260" t="s">
        <v>620</v>
      </c>
      <c r="BQ12" s="111" t="s">
        <v>621</v>
      </c>
      <c r="BR12" s="111" t="s">
        <v>622</v>
      </c>
      <c r="BS12" s="111" t="s">
        <v>623</v>
      </c>
      <c r="BT12" s="111" t="s">
        <v>624</v>
      </c>
      <c r="BU12" s="111" t="s">
        <v>625</v>
      </c>
      <c r="BV12" s="163" t="s">
        <v>626</v>
      </c>
      <c r="BW12" s="120" t="s">
        <v>627</v>
      </c>
      <c r="BX12" s="120" t="s">
        <v>628</v>
      </c>
      <c r="BY12" s="120" t="s">
        <v>629</v>
      </c>
      <c r="BZ12" s="120" t="s">
        <v>630</v>
      </c>
      <c r="CA12" s="120" t="s">
        <v>631</v>
      </c>
      <c r="CB12" s="120" t="s">
        <v>632</v>
      </c>
      <c r="CC12" s="120" t="s">
        <v>633</v>
      </c>
      <c r="CD12" s="120" t="s">
        <v>634</v>
      </c>
      <c r="CE12" s="120" t="s">
        <v>635</v>
      </c>
      <c r="CF12" s="120" t="s">
        <v>636</v>
      </c>
      <c r="CG12" s="120" t="s">
        <v>637</v>
      </c>
      <c r="CH12" s="120" t="s">
        <v>638</v>
      </c>
      <c r="CI12" s="120" t="s">
        <v>639</v>
      </c>
      <c r="CJ12" s="120" t="s">
        <v>640</v>
      </c>
      <c r="CK12" s="120" t="s">
        <v>641</v>
      </c>
      <c r="CL12" s="120" t="s">
        <v>642</v>
      </c>
      <c r="CM12" s="120" t="s">
        <v>643</v>
      </c>
      <c r="CN12" s="120" t="s">
        <v>644</v>
      </c>
      <c r="CO12" s="120" t="s">
        <v>645</v>
      </c>
      <c r="CP12" s="120" t="s">
        <v>646</v>
      </c>
      <c r="CQ12" s="120" t="s">
        <v>647</v>
      </c>
      <c r="CR12" s="120" t="s">
        <v>648</v>
      </c>
      <c r="CS12" s="120" t="s">
        <v>649</v>
      </c>
      <c r="CT12" s="120" t="s">
        <v>650</v>
      </c>
      <c r="CU12" s="120" t="s">
        <v>651</v>
      </c>
      <c r="CV12" s="120" t="s">
        <v>652</v>
      </c>
      <c r="CW12" s="120" t="s">
        <v>653</v>
      </c>
      <c r="CX12" s="120" t="s">
        <v>654</v>
      </c>
      <c r="CY12" s="120" t="s">
        <v>655</v>
      </c>
      <c r="CZ12" s="120" t="s">
        <v>656</v>
      </c>
      <c r="DA12" s="120" t="s">
        <v>657</v>
      </c>
      <c r="DB12" s="120" t="s">
        <v>658</v>
      </c>
      <c r="DC12" s="120" t="s">
        <v>659</v>
      </c>
      <c r="DD12" s="120" t="s">
        <v>660</v>
      </c>
      <c r="DE12" s="120" t="s">
        <v>661</v>
      </c>
      <c r="DF12" s="120" t="s">
        <v>662</v>
      </c>
      <c r="DG12" s="120" t="s">
        <v>663</v>
      </c>
      <c r="DH12" s="120" t="s">
        <v>664</v>
      </c>
      <c r="DI12" s="120" t="s">
        <v>665</v>
      </c>
      <c r="DJ12" s="120" t="s">
        <v>666</v>
      </c>
      <c r="DK12" s="120" t="s">
        <v>667</v>
      </c>
      <c r="DL12" s="120" t="s">
        <v>668</v>
      </c>
      <c r="DM12" s="120" t="s">
        <v>669</v>
      </c>
      <c r="DN12" s="120" t="s">
        <v>670</v>
      </c>
      <c r="DO12" s="120" t="s">
        <v>671</v>
      </c>
      <c r="DP12" s="120" t="s">
        <v>672</v>
      </c>
      <c r="DQ12" s="120" t="s">
        <v>673</v>
      </c>
      <c r="DR12" s="120" t="s">
        <v>674</v>
      </c>
      <c r="DS12" s="120" t="s">
        <v>675</v>
      </c>
      <c r="DT12" s="120" t="s">
        <v>676</v>
      </c>
      <c r="DU12" s="120" t="s">
        <v>677</v>
      </c>
      <c r="DV12" s="111" t="s">
        <v>678</v>
      </c>
      <c r="DW12" s="111" t="s">
        <v>679</v>
      </c>
      <c r="DX12" s="111" t="s">
        <v>680</v>
      </c>
      <c r="DY12" s="111" t="s">
        <v>681</v>
      </c>
      <c r="DZ12" s="111" t="s">
        <v>682</v>
      </c>
      <c r="EA12" s="111" t="s">
        <v>683</v>
      </c>
      <c r="EB12" s="111" t="s">
        <v>684</v>
      </c>
      <c r="EC12" s="111" t="s">
        <v>685</v>
      </c>
      <c r="ED12" s="111" t="s">
        <v>686</v>
      </c>
      <c r="EE12" s="111" t="s">
        <v>687</v>
      </c>
      <c r="EF12" s="111" t="s">
        <v>688</v>
      </c>
      <c r="EG12" s="111" t="s">
        <v>689</v>
      </c>
      <c r="EH12" s="111" t="s">
        <v>690</v>
      </c>
      <c r="EI12" s="111" t="s">
        <v>691</v>
      </c>
      <c r="EJ12" s="111" t="s">
        <v>692</v>
      </c>
      <c r="EK12" s="111" t="s">
        <v>693</v>
      </c>
      <c r="EL12" s="111" t="s">
        <v>694</v>
      </c>
      <c r="EM12" s="111" t="s">
        <v>695</v>
      </c>
      <c r="EN12" s="111" t="s">
        <v>696</v>
      </c>
      <c r="EO12" s="111" t="s">
        <v>697</v>
      </c>
      <c r="EP12" s="111" t="s">
        <v>698</v>
      </c>
      <c r="EQ12" s="111" t="s">
        <v>699</v>
      </c>
      <c r="ER12" s="111" t="s">
        <v>700</v>
      </c>
      <c r="ES12" s="111" t="s">
        <v>701</v>
      </c>
      <c r="ET12" s="111" t="s">
        <v>702</v>
      </c>
      <c r="EU12" s="111" t="s">
        <v>703</v>
      </c>
      <c r="EV12" s="111" t="s">
        <v>704</v>
      </c>
      <c r="EW12" s="111" t="s">
        <v>705</v>
      </c>
      <c r="EX12" s="111" t="s">
        <v>706</v>
      </c>
      <c r="EY12" s="111" t="s">
        <v>707</v>
      </c>
      <c r="EZ12" s="111" t="s">
        <v>708</v>
      </c>
      <c r="FA12" s="111" t="s">
        <v>709</v>
      </c>
      <c r="FB12" s="111" t="s">
        <v>710</v>
      </c>
      <c r="FC12" s="111" t="s">
        <v>711</v>
      </c>
      <c r="FD12" s="111" t="s">
        <v>712</v>
      </c>
      <c r="FE12" s="111" t="s">
        <v>713</v>
      </c>
      <c r="FF12" s="111" t="s">
        <v>714</v>
      </c>
      <c r="FG12" s="111" t="s">
        <v>715</v>
      </c>
      <c r="FH12" s="111" t="s">
        <v>716</v>
      </c>
      <c r="FI12" s="111" t="s">
        <v>717</v>
      </c>
      <c r="FJ12" s="111" t="s">
        <v>718</v>
      </c>
      <c r="FK12" s="111" t="s">
        <v>719</v>
      </c>
      <c r="FL12" s="111" t="s">
        <v>720</v>
      </c>
      <c r="FM12" s="111" t="s">
        <v>721</v>
      </c>
      <c r="FN12" s="111" t="s">
        <v>722</v>
      </c>
      <c r="FO12" s="120" t="s">
        <v>723</v>
      </c>
      <c r="FP12" s="120" t="s">
        <v>724</v>
      </c>
      <c r="FQ12" s="120" t="s">
        <v>725</v>
      </c>
      <c r="FR12" s="120" t="s">
        <v>726</v>
      </c>
      <c r="FS12" s="120" t="s">
        <v>727</v>
      </c>
      <c r="FT12" s="120" t="s">
        <v>728</v>
      </c>
      <c r="FU12" s="120" t="s">
        <v>729</v>
      </c>
      <c r="FV12" s="120" t="s">
        <v>730</v>
      </c>
      <c r="FW12" s="120" t="s">
        <v>731</v>
      </c>
      <c r="FX12" s="120" t="s">
        <v>732</v>
      </c>
      <c r="FY12" s="120" t="s">
        <v>733</v>
      </c>
      <c r="FZ12" s="120" t="s">
        <v>734</v>
      </c>
      <c r="GA12" s="120" t="s">
        <v>735</v>
      </c>
      <c r="GB12" s="120" t="s">
        <v>736</v>
      </c>
      <c r="GC12" s="120" t="s">
        <v>737</v>
      </c>
      <c r="GD12" s="120" t="s">
        <v>738</v>
      </c>
      <c r="GE12" s="120" t="s">
        <v>739</v>
      </c>
      <c r="GF12" s="120" t="s">
        <v>740</v>
      </c>
      <c r="GG12" s="120" t="s">
        <v>741</v>
      </c>
      <c r="GH12" s="120" t="s">
        <v>742</v>
      </c>
      <c r="GI12" s="120" t="s">
        <v>743</v>
      </c>
      <c r="GJ12" s="120" t="s">
        <v>744</v>
      </c>
      <c r="GK12" s="120" t="s">
        <v>745</v>
      </c>
      <c r="GL12" s="120" t="s">
        <v>746</v>
      </c>
      <c r="GM12" s="120" t="s">
        <v>747</v>
      </c>
      <c r="GN12" s="120" t="s">
        <v>748</v>
      </c>
      <c r="GO12" s="120" t="s">
        <v>749</v>
      </c>
      <c r="GP12" s="120" t="s">
        <v>750</v>
      </c>
      <c r="GQ12" s="120" t="s">
        <v>751</v>
      </c>
      <c r="GR12" s="120" t="s">
        <v>752</v>
      </c>
      <c r="GS12" s="120" t="s">
        <v>753</v>
      </c>
      <c r="GT12" s="120" t="s">
        <v>754</v>
      </c>
      <c r="GU12" s="120" t="s">
        <v>755</v>
      </c>
      <c r="GV12" s="120" t="s">
        <v>756</v>
      </c>
      <c r="GW12" s="120" t="s">
        <v>757</v>
      </c>
      <c r="GX12" s="120" t="s">
        <v>758</v>
      </c>
      <c r="GY12" s="120" t="s">
        <v>759</v>
      </c>
      <c r="GZ12" s="120" t="s">
        <v>760</v>
      </c>
      <c r="HA12" s="120" t="s">
        <v>761</v>
      </c>
      <c r="HB12" s="120" t="s">
        <v>762</v>
      </c>
      <c r="HC12" s="120" t="s">
        <v>763</v>
      </c>
      <c r="HD12" s="120" t="s">
        <v>764</v>
      </c>
      <c r="HE12" s="120" t="s">
        <v>765</v>
      </c>
      <c r="HF12" s="120" t="s">
        <v>766</v>
      </c>
      <c r="HG12" s="120" t="s">
        <v>767</v>
      </c>
      <c r="HH12" s="120" t="s">
        <v>768</v>
      </c>
      <c r="HI12" s="120" t="s">
        <v>769</v>
      </c>
      <c r="HJ12" s="120" t="s">
        <v>770</v>
      </c>
      <c r="HK12" s="120" t="s">
        <v>771</v>
      </c>
      <c r="HL12" s="120" t="s">
        <v>772</v>
      </c>
      <c r="HM12" s="120" t="s">
        <v>773</v>
      </c>
      <c r="HN12" s="120" t="s">
        <v>774</v>
      </c>
      <c r="HO12" s="120" t="s">
        <v>775</v>
      </c>
      <c r="HP12" s="120" t="s">
        <v>776</v>
      </c>
    </row>
    <row r="13" spans="1:315" s="161" customFormat="1" ht="29.1" customHeight="1">
      <c r="A13" s="92"/>
      <c r="B13" s="248" t="s">
        <v>5377</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MUS-I-C-001</v>
      </c>
      <c r="AC13" s="89">
        <v>234324234</v>
      </c>
      <c r="AD13" s="90">
        <f>IF(ISBLANK(AD$11),"",AD$11)</f>
        <v>44022</v>
      </c>
      <c r="AE13" s="90" t="str">
        <f t="shared" ref="AE13" si="1">IF(ISBLANK(AE$11),"",AE$11)</f>
        <v>Awesome University for Music Lovers</v>
      </c>
      <c r="AF13" s="92" t="str" cm="1">
        <f t="array" ref="AF13">MultiMatch(Achievements[[#This Row],[LearningAchievement.wasAwardedBy.awardingBody.MultiReference.Organisation.]],OrganisationNames,0)</f>
        <v>13</v>
      </c>
      <c r="AG13" s="89" t="s">
        <v>5379</v>
      </c>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92" t="str">
        <f>IF(ISBLANK(Achievements[[#This Row],[LearningAchievement.wasDerivedFrom.Reference.Assessment.]]),"",(MATCH(Achievements[[#This Row],[LearningAchievement.wasDerivedFrom.Reference.Assessment.]],AssessmentNames,0)+12))</f>
        <v/>
      </c>
      <c r="BI13" s="89" t="s">
        <v>5381</v>
      </c>
      <c r="BJ13" s="92" t="str" cm="1">
        <f t="array" ref="BJ13">MultiMatch(Achievements[[#This Row],[LearningAchievement.wasInfluencedBy.MultiReference.LearningActivity.]],ActivityNames,0)</f>
        <v>13</v>
      </c>
      <c r="BK13" s="89"/>
      <c r="BL13" s="92" t="str" cm="1">
        <f t="array" ref="BL13">MultiMatch(Achievements[[#This Row],[Column2]],EntitlementNames,0)</f>
        <v/>
      </c>
      <c r="BM13" s="89" t="s">
        <v>5378</v>
      </c>
      <c r="BN13" s="148" t="str" cm="1">
        <f t="array" ref="BN13">MultiMatch(Achievements[[#This Row],[LearningAchievement.hasPart.MutiReference.LearningAchievement.]],AchievementNames,0)</f>
        <v>14</v>
      </c>
      <c r="BO13" s="194"/>
      <c r="BP13" s="261" t="str">
        <f>IF(ISBLANK(BP$11),"",BP$11)</f>
        <v/>
      </c>
      <c r="BQ13" s="92" t="str" cm="1">
        <f t="array" ref="BQ13">MultiMatch(Achievements[[#This Row],[LearningAchievement.specifiedBy.eqfLevel.Reference.]],Vocabularies[name],0)</f>
        <v/>
      </c>
      <c r="BR13" s="89" t="str">
        <f>IF(ISBLANK(BR$11),"",BR$11)</f>
        <v/>
      </c>
      <c r="BS13" s="92" t="str" cm="1">
        <f t="array" ref="BS13">MultiMatch(Achievements[[#This Row],[LearningAchievement.specifiedBy.nqfLevel.Reference.]],Vocabularies[name],0)</f>
        <v/>
      </c>
      <c r="BT13" s="89" t="str">
        <f>IF(ISBLANK(BT$11),"",BT$11)</f>
        <v/>
      </c>
      <c r="BU13" s="89" t="str" cm="1">
        <f t="array" ref="BU13">MultiMatch(Achievements[[#This Row],[LearningAchievement.specifiedBy.nqfLevel'#1.content.NestedProperty.]],Vocabularies[name],0)</f>
        <v/>
      </c>
      <c r="BV13" s="164" t="str">
        <f>IF(ISBLANK(Achievements[[#This Row],[LearningAchievement.title.Property.content.en]]),"",Achievements[[#This Row],[LearningAchievement.title.Property.content.en]])</f>
        <v>Guitar Hero Diploma</v>
      </c>
      <c r="BW13" s="120" t="str">
        <f>IF(ISBLANK(Achievements[[#This Row],[LearningAchievement.title.Property.content.bg]]),"",Achievements[[#This Row],[LearningAchievement.title.Property.content.bg]])</f>
        <v/>
      </c>
      <c r="BX13" s="120" t="str">
        <f>IF(ISBLANK(Achievements[[#This Row],[LearningAchievement.title.Property.content.bg]]),"",Achievements[[#This Row],[LearningAchievement.title.Property.content.bg]])</f>
        <v/>
      </c>
      <c r="BY13" s="120" t="str">
        <f>IF(ISBLANK(Achievements[[#This Row],[LearningAchievement.title.Property.content.cs]]),"",Achievements[[#This Row],[LearningAchievement.title.Property.content.cs]])</f>
        <v/>
      </c>
      <c r="BZ13" s="120" t="str">
        <f>IF(ISBLANK(Achievements[[#This Row],[LearningAchievement.title.Property.content.cs]]),"",Achievements[[#This Row],[LearningAchievement.title.Property.content.cs]])</f>
        <v/>
      </c>
      <c r="CA13" s="120" t="str">
        <f>IF(ISBLANK(Achievements[[#This Row],[LearningAchievement.title.Property.content.da]]),"",Achievements[[#This Row],[LearningAchievement.title.Property.content.da]])</f>
        <v/>
      </c>
      <c r="CB13" s="120" t="str">
        <f>IF(ISBLANK(Achievements[[#This Row],[LearningAchievement.title.Property.content.da]]),"",Achievements[[#This Row],[LearningAchievement.title.Property.content.da]])</f>
        <v/>
      </c>
      <c r="CC13" s="120" t="str">
        <f>IF(ISBLANK(Achievements[[#This Row],[LearningAchievement.title.Property.content.de]]),"",Achievements[[#This Row],[LearningAchievement.title.Property.content.de]])</f>
        <v/>
      </c>
      <c r="CD13" s="120" t="str">
        <f>IF(ISBLANK(Achievements[[#This Row],[LearningAchievement.title.Property.content.de]]),"",Achievements[[#This Row],[LearningAchievement.title.Property.content.de]])</f>
        <v/>
      </c>
      <c r="CE13" s="120" t="str">
        <f>IF(ISBLANK(Achievements[[#This Row],[LearningAchievement.title.Property.content.el]]),"",Achievements[[#This Row],[LearningAchievement.title.Property.content.el]])</f>
        <v/>
      </c>
      <c r="CF13" s="120" t="str">
        <f>IF(ISBLANK(Achievements[[#This Row],[LearningAchievement.title.Property.content.el]]),"",Achievements[[#This Row],[LearningAchievement.title.Property.content.el]])</f>
        <v/>
      </c>
      <c r="CG13" s="120" t="str">
        <f>IF(ISBLANK(Achievements[[#This Row],[LearningAchievement.title.Property.content.es]]),"",Achievements[[#This Row],[LearningAchievement.title.Property.content.es]])</f>
        <v/>
      </c>
      <c r="CH13" s="120" t="str">
        <f>IF(ISBLANK(Achievements[[#This Row],[LearningAchievement.title.Property.content.es]]),"",Achievements[[#This Row],[LearningAchievement.title.Property.content.es]])</f>
        <v/>
      </c>
      <c r="CI13" s="120" t="str">
        <f>IF(ISBLANK(Achievements[[#This Row],[LearningAchievement.title.Property.content.et]]),"",Achievements[[#This Row],[LearningAchievement.title.Property.content.et]])</f>
        <v/>
      </c>
      <c r="CJ13" s="120" t="str">
        <f>IF(ISBLANK(Achievements[[#This Row],[LearningAchievement.title.Property.content.et]]),"",Achievements[[#This Row],[LearningAchievement.title.Property.content.et]])</f>
        <v/>
      </c>
      <c r="CK13" s="120" t="str">
        <f>IF(ISBLANK(Achievements[[#This Row],[LearningAchievement.title.Property.content.fi]]),"",Achievements[[#This Row],[LearningAchievement.title.Property.content.fi]])</f>
        <v/>
      </c>
      <c r="CL13" s="120" t="str">
        <f>IF(ISBLANK(Achievements[[#This Row],[LearningAchievement.title.Property.content.fi]]),"",Achievements[[#This Row],[LearningAchievement.title.Property.content.fi]])</f>
        <v/>
      </c>
      <c r="CM13" s="120" t="str">
        <f>IF(ISBLANK(Achievements[[#This Row],[LearningAchievement.title.Property.content.fr]]),"",Achievements[[#This Row],[LearningAchievement.title.Property.content.fr]])</f>
        <v/>
      </c>
      <c r="CN13" s="120" t="str">
        <f>IF(ISBLANK(Achievements[[#This Row],[LearningAchievement.title.Property.content.fr]]),"",Achievements[[#This Row],[LearningAchievement.title.Property.content.fr]])</f>
        <v/>
      </c>
      <c r="CO13" s="120" t="str">
        <f>IF(ISBLANK(Achievements[[#This Row],[LearningAchievement.title.Property.content.ga]]),"",Achievements[[#This Row],[LearningAchievement.title.Property.content.ga]])</f>
        <v/>
      </c>
      <c r="CP13" s="120" t="str">
        <f>IF(ISBLANK(Achievements[[#This Row],[LearningAchievement.title.Property.content.ga]]),"",Achievements[[#This Row],[LearningAchievement.title.Property.content.ga]])</f>
        <v/>
      </c>
      <c r="CQ13" s="120" t="str">
        <f>IF(ISBLANK(Achievements[[#This Row],[LearningAchievement.title.Property.content.hr]]),"",Achievements[[#This Row],[LearningAchievement.title.Property.content.hr]])</f>
        <v/>
      </c>
      <c r="CR13" s="120" t="str">
        <f>IF(ISBLANK(Achievements[[#This Row],[LearningAchievement.title.Property.content.hr]]),"",Achievements[[#This Row],[LearningAchievement.title.Property.content.hr]])</f>
        <v/>
      </c>
      <c r="CS13" s="120" t="str">
        <f>IF(ISBLANK(Achievements[[#This Row],[LearningAchievement.title.Property.content.hu]]),"",Achievements[[#This Row],[LearningAchievement.title.Property.content.hu]])</f>
        <v/>
      </c>
      <c r="CT13" s="120" t="str">
        <f>IF(ISBLANK(Achievements[[#This Row],[LearningAchievement.title.Property.content.hu]]),"",Achievements[[#This Row],[LearningAchievement.title.Property.content.hu]])</f>
        <v/>
      </c>
      <c r="CU13" s="120" t="str">
        <f>IF(ISBLANK(Achievements[[#This Row],[LearningAchievement.title.Property.content.is]]),"",Achievements[[#This Row],[LearningAchievement.title.Property.content.is]])</f>
        <v/>
      </c>
      <c r="CV13" s="182"/>
      <c r="CW13" s="165"/>
      <c r="CX13" s="165"/>
      <c r="CY13" s="165"/>
      <c r="CZ13" s="165"/>
      <c r="DA13" s="165"/>
      <c r="DB13" s="165"/>
      <c r="DC13" s="165"/>
      <c r="DD13" s="165"/>
      <c r="DE13" s="165"/>
      <c r="DF13" s="165"/>
      <c r="DG13" s="165"/>
      <c r="DH13" s="165"/>
      <c r="DI13" s="165"/>
      <c r="DJ13" s="165"/>
      <c r="DK13" s="165"/>
      <c r="DL13" s="165"/>
      <c r="DM13" s="165"/>
      <c r="DN13" s="165"/>
      <c r="DO13" s="165"/>
      <c r="DP13" s="165"/>
      <c r="DQ13" s="165"/>
      <c r="DR13" s="165"/>
      <c r="DS13" s="165"/>
      <c r="DT13" s="165"/>
      <c r="DU13" s="165"/>
      <c r="DV13" s="92" t="str">
        <f t="shared" ref="DV13" si="2">IF(ISBLANK(DV$11),"",DV$11)</f>
        <v/>
      </c>
      <c r="DW13" s="89"/>
      <c r="DX13" s="165"/>
      <c r="DY13" s="132"/>
      <c r="DZ13" s="107" t="str" cm="1">
        <f t="array" ref="DZ13">MultiMatch(Achievements[[#This Row],[LearningAchievement.specifiedBy.learningOutcome.MultiReference.LearningOutcome.]],LearningOutcomeNames,0)</f>
        <v/>
      </c>
      <c r="EA13" s="191"/>
      <c r="EB13" s="191"/>
      <c r="EC13" s="166"/>
      <c r="ED13" s="167" t="str">
        <f>IF(ISBLANK(ED$11),"",ED$11)</f>
        <v/>
      </c>
      <c r="EE13" s="168" t="str" cm="1">
        <f t="array" ref="EE13">MultiMatch(Achievements[[#This Row],[LearningAchievement.specifiedBy.iscedFCode.reference.]],Vocabularies[name],0)</f>
        <v/>
      </c>
      <c r="EF13" s="167" t="str">
        <f>IF(ISBLANK(EF$11),"",EF$11)</f>
        <v/>
      </c>
      <c r="EG13" s="92" t="str" cm="1">
        <f t="array" ref="EG13">MultiMatch(Achievements[[#This Row],[LearningAchievement.specifiedBy.mode.MultiReference.]],Vocabularies[name],0)</f>
        <v/>
      </c>
      <c r="EH13" s="167" t="str">
        <f t="shared" ref="EH13" si="3">IF(ISBLANK(EH$11),"",EH$11)</f>
        <v/>
      </c>
      <c r="EI13" s="92" t="str" cm="1">
        <f t="array" ref="EI13">MultiMatch(Achievements[[#This Row],[LearningAchievement.specifiedBy.language.MultiReference.]],Vocabularies[name],0)</f>
        <v/>
      </c>
      <c r="EJ13" s="167" t="str">
        <f t="shared" ref="EJ13" si="4">IF(ISBLANK(EJ$11),"",EJ$11)</f>
        <v/>
      </c>
      <c r="EK13" s="92" t="str" cm="1">
        <f t="array" ref="EK13">MultiMatch(Achievements[[#This Row],[LearningAchievement.specifiedBy.learningSetting.Reference.]],Vocabularies[name],0)</f>
        <v/>
      </c>
      <c r="EL13" s="167" t="str">
        <f t="shared" ref="EL13" si="5">IF(ISBLANK(EL$11),"",EL$11)</f>
        <v/>
      </c>
      <c r="EM13" s="92" t="str" cm="1">
        <f t="array" ref="EM13">MultiMatch(Achievements[[#This Row],[LearningAchievement.specifiedBy.learningOpportunityType.Reference.]],Vocabularies[name],0)</f>
        <v/>
      </c>
      <c r="EN13" s="89"/>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106"/>
      <c r="FO13" s="89" t="str">
        <f t="shared" ref="FO13" si="6">IF(ISBLANK(FO$11),"",FO$11)</f>
        <v/>
      </c>
      <c r="FP13" s="89" t="str">
        <f t="shared" ref="FP13:GP13" si="7">IF(ISBLANK(FP$11),"",FP$11)</f>
        <v/>
      </c>
      <c r="FQ13" s="89" t="str">
        <f t="shared" si="7"/>
        <v/>
      </c>
      <c r="FR13" s="89" t="str">
        <f t="shared" si="7"/>
        <v/>
      </c>
      <c r="FS13" s="89" t="str">
        <f t="shared" si="7"/>
        <v/>
      </c>
      <c r="FT13" s="89" t="str">
        <f t="shared" si="7"/>
        <v/>
      </c>
      <c r="FU13" s="89" t="str">
        <f t="shared" si="7"/>
        <v/>
      </c>
      <c r="FV13" s="89" t="str">
        <f t="shared" si="7"/>
        <v/>
      </c>
      <c r="FW13" s="89" t="str">
        <f t="shared" si="7"/>
        <v/>
      </c>
      <c r="FX13" s="89" t="str">
        <f t="shared" si="7"/>
        <v/>
      </c>
      <c r="FY13" s="89" t="str">
        <f t="shared" si="7"/>
        <v/>
      </c>
      <c r="FZ13" s="89" t="str">
        <f t="shared" si="7"/>
        <v/>
      </c>
      <c r="GA13" s="89" t="str">
        <f t="shared" si="7"/>
        <v/>
      </c>
      <c r="GB13" s="89" t="str">
        <f t="shared" si="7"/>
        <v/>
      </c>
      <c r="GC13" s="89" t="str">
        <f t="shared" si="7"/>
        <v/>
      </c>
      <c r="GD13" s="89" t="str">
        <f t="shared" si="7"/>
        <v/>
      </c>
      <c r="GE13" s="89" t="str">
        <f t="shared" si="7"/>
        <v/>
      </c>
      <c r="GF13" s="89" t="str">
        <f t="shared" si="7"/>
        <v/>
      </c>
      <c r="GG13" s="89" t="str">
        <f t="shared" si="7"/>
        <v/>
      </c>
      <c r="GH13" s="89" t="str">
        <f t="shared" si="7"/>
        <v/>
      </c>
      <c r="GI13" s="89" t="str">
        <f t="shared" si="7"/>
        <v/>
      </c>
      <c r="GJ13" s="89" t="str">
        <f t="shared" si="7"/>
        <v/>
      </c>
      <c r="GK13" s="89" t="str">
        <f t="shared" si="7"/>
        <v/>
      </c>
      <c r="GL13" s="89" t="str">
        <f t="shared" si="7"/>
        <v/>
      </c>
      <c r="GM13" s="89" t="str">
        <f t="shared" si="7"/>
        <v/>
      </c>
      <c r="GN13" s="89" t="str">
        <f t="shared" si="7"/>
        <v/>
      </c>
      <c r="GO13" s="89" t="str">
        <f t="shared" si="7"/>
        <v/>
      </c>
      <c r="GP13" s="89" t="str">
        <f t="shared" si="7"/>
        <v/>
      </c>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row>
    <row r="14" spans="1:315" ht="29.1" customHeight="1">
      <c r="B14" s="248" t="s">
        <v>5378</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264" t="str">
        <f>IF(ISBLANK(AB$11),"",AB$11)</f>
        <v>MUS-I-C-001</v>
      </c>
      <c r="AC14" s="89">
        <v>42124412</v>
      </c>
      <c r="AD14" s="90">
        <f>IF(ISBLANK(AD$11),"",AD$11)</f>
        <v>44022</v>
      </c>
      <c r="AE14" s="90" t="str">
        <f>IF(ISBLANK(AE$11),"",AE$11)</f>
        <v>Awesome University for Music Lovers</v>
      </c>
      <c r="AF14" s="263" t="str">
        <f t="array" ref="AF14">MultiMatch(Achievements[[#This Row],[LearningAchievement.wasAwardedBy.awardingBody.MultiReference.Organisation.]],OrganisationNames,0)</f>
        <v>13</v>
      </c>
      <c r="AG14" s="89" t="s">
        <v>5380</v>
      </c>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263" t="str">
        <f>IF(ISBLANK(Achievements[[#This Row],[LearningAchievement.wasDerivedFrom.Reference.Assessment.]]),"",(MATCH(Achievements[[#This Row],[LearningAchievement.wasDerivedFrom.Reference.Assessment.]],AssessmentNames,0)+12))</f>
        <v/>
      </c>
      <c r="BI14" s="89"/>
      <c r="BJ14" s="263" t="str">
        <f t="array" ref="BJ14">MultiMatch(Achievements[[#This Row],[LearningAchievement.wasInfluencedBy.MultiReference.LearningActivity.]],ActivityNames,0)</f>
        <v/>
      </c>
      <c r="BK14" s="89"/>
      <c r="BL14" s="92" t="str">
        <f t="array" ref="BL14">MultiMatch(Achievements[[#This Row],[Column2]],EntitlementNames,0)</f>
        <v/>
      </c>
      <c r="BM14" s="89"/>
      <c r="BN14" s="267" t="str">
        <f t="array" ref="BN14">MultiMatch(Achievements[[#This Row],[LearningAchievement.hasPart.MutiReference.LearningAchievement.]],AchievementNames,0)</f>
        <v/>
      </c>
      <c r="BO14" s="268"/>
      <c r="BP14" s="269" t="str">
        <f>IF(ISBLANK(BP$11),"",BP$11)</f>
        <v/>
      </c>
      <c r="BQ14" s="263" t="str">
        <f t="array" ref="BQ14">MultiMatch(Achievements[[#This Row],[LearningAchievement.specifiedBy.eqfLevel.Reference.]],Vocabularies[name],0)</f>
        <v/>
      </c>
      <c r="BR14" s="264" t="str">
        <f>IF(ISBLANK(BR$11),"",BR$11)</f>
        <v/>
      </c>
      <c r="BS14" s="263" t="str">
        <f t="array" ref="BS14">MultiMatch(Achievements[[#This Row],[LearningAchievement.specifiedBy.nqfLevel.Reference.]],Vocabularies[name],0)</f>
        <v/>
      </c>
      <c r="BT14" s="264" t="str">
        <f>IF(ISBLANK(BT$11),"",BT$11)</f>
        <v/>
      </c>
      <c r="BU14" s="89" t="str">
        <f t="array" ref="BU14">MultiMatch(Achievements[[#This Row],[LearningAchievement.specifiedBy.nqfLevel'#1.content.NestedProperty.]],Vocabularies[name],0)</f>
        <v/>
      </c>
      <c r="BV14" s="163" t="str">
        <f>IF(ISBLANK(Achievements[[#This Row],[LearningAchievement.title.Property.content.en]]),"",Achievements[[#This Row],[LearningAchievement.title.Property.content.en]])</f>
        <v>Blues and Advanced Guitar Lessons</v>
      </c>
      <c r="BW14" s="120" t="str">
        <f>IF(ISBLANK(Achievements[[#This Row],[LearningAchievement.title.Property.content.bg]]),"",Achievements[[#This Row],[LearningAchievement.title.Property.content.bg]])</f>
        <v/>
      </c>
      <c r="BX14" s="120" t="str">
        <f>IF(ISBLANK(Achievements[[#This Row],[LearningAchievement.title.Property.content.bg]]),"",Achievements[[#This Row],[LearningAchievement.title.Property.content.bg]])</f>
        <v/>
      </c>
      <c r="BY14" s="120" t="str">
        <f>IF(ISBLANK(Achievements[[#This Row],[LearningAchievement.title.Property.content.cs]]),"",Achievements[[#This Row],[LearningAchievement.title.Property.content.cs]])</f>
        <v/>
      </c>
      <c r="BZ14" s="120" t="str">
        <f>IF(ISBLANK(Achievements[[#This Row],[LearningAchievement.title.Property.content.cs]]),"",Achievements[[#This Row],[LearningAchievement.title.Property.content.cs]])</f>
        <v/>
      </c>
      <c r="CA14" s="120" t="str">
        <f>IF(ISBLANK(Achievements[[#This Row],[LearningAchievement.title.Property.content.da]]),"",Achievements[[#This Row],[LearningAchievement.title.Property.content.da]])</f>
        <v/>
      </c>
      <c r="CB14" s="120" t="str">
        <f>IF(ISBLANK(Achievements[[#This Row],[LearningAchievement.title.Property.content.da]]),"",Achievements[[#This Row],[LearningAchievement.title.Property.content.da]])</f>
        <v/>
      </c>
      <c r="CC14" s="120" t="str">
        <f>IF(ISBLANK(Achievements[[#This Row],[LearningAchievement.title.Property.content.de]]),"",Achievements[[#This Row],[LearningAchievement.title.Property.content.de]])</f>
        <v/>
      </c>
      <c r="CD14" s="120" t="str">
        <f>IF(ISBLANK(Achievements[[#This Row],[LearningAchievement.title.Property.content.de]]),"",Achievements[[#This Row],[LearningAchievement.title.Property.content.de]])</f>
        <v/>
      </c>
      <c r="CE14" s="120" t="str">
        <f>IF(ISBLANK(Achievements[[#This Row],[LearningAchievement.title.Property.content.el]]),"",Achievements[[#This Row],[LearningAchievement.title.Property.content.el]])</f>
        <v/>
      </c>
      <c r="CF14" s="120" t="str">
        <f>IF(ISBLANK(Achievements[[#This Row],[LearningAchievement.title.Property.content.el]]),"",Achievements[[#This Row],[LearningAchievement.title.Property.content.el]])</f>
        <v/>
      </c>
      <c r="CG14" s="120" t="str">
        <f>IF(ISBLANK(Achievements[[#This Row],[LearningAchievement.title.Property.content.es]]),"",Achievements[[#This Row],[LearningAchievement.title.Property.content.es]])</f>
        <v/>
      </c>
      <c r="CH14" s="120" t="str">
        <f>IF(ISBLANK(Achievements[[#This Row],[LearningAchievement.title.Property.content.es]]),"",Achievements[[#This Row],[LearningAchievement.title.Property.content.es]])</f>
        <v/>
      </c>
      <c r="CI14" s="120" t="str">
        <f>IF(ISBLANK(Achievements[[#This Row],[LearningAchievement.title.Property.content.et]]),"",Achievements[[#This Row],[LearningAchievement.title.Property.content.et]])</f>
        <v/>
      </c>
      <c r="CJ14" s="120" t="str">
        <f>IF(ISBLANK(Achievements[[#This Row],[LearningAchievement.title.Property.content.et]]),"",Achievements[[#This Row],[LearningAchievement.title.Property.content.et]])</f>
        <v/>
      </c>
      <c r="CK14" s="120" t="str">
        <f>IF(ISBLANK(Achievements[[#This Row],[LearningAchievement.title.Property.content.fi]]),"",Achievements[[#This Row],[LearningAchievement.title.Property.content.fi]])</f>
        <v/>
      </c>
      <c r="CL14" s="120" t="str">
        <f>IF(ISBLANK(Achievements[[#This Row],[LearningAchievement.title.Property.content.fi]]),"",Achievements[[#This Row],[LearningAchievement.title.Property.content.fi]])</f>
        <v/>
      </c>
      <c r="CM14" s="120" t="str">
        <f>IF(ISBLANK(Achievements[[#This Row],[LearningAchievement.title.Property.content.fr]]),"",Achievements[[#This Row],[LearningAchievement.title.Property.content.fr]])</f>
        <v/>
      </c>
      <c r="CN14" s="120" t="str">
        <f>IF(ISBLANK(Achievements[[#This Row],[LearningAchievement.title.Property.content.fr]]),"",Achievements[[#This Row],[LearningAchievement.title.Property.content.fr]])</f>
        <v/>
      </c>
      <c r="CO14" s="120" t="str">
        <f>IF(ISBLANK(Achievements[[#This Row],[LearningAchievement.title.Property.content.ga]]),"",Achievements[[#This Row],[LearningAchievement.title.Property.content.ga]])</f>
        <v/>
      </c>
      <c r="CP14" s="120" t="str">
        <f>IF(ISBLANK(Achievements[[#This Row],[LearningAchievement.title.Property.content.ga]]),"",Achievements[[#This Row],[LearningAchievement.title.Property.content.ga]])</f>
        <v/>
      </c>
      <c r="CQ14" s="120" t="str">
        <f>IF(ISBLANK(Achievements[[#This Row],[LearningAchievement.title.Property.content.hr]]),"",Achievements[[#This Row],[LearningAchievement.title.Property.content.hr]])</f>
        <v/>
      </c>
      <c r="CR14" s="120" t="str">
        <f>IF(ISBLANK(Achievements[[#This Row],[LearningAchievement.title.Property.content.hr]]),"",Achievements[[#This Row],[LearningAchievement.title.Property.content.hr]])</f>
        <v/>
      </c>
      <c r="CS14" s="120" t="str">
        <f>IF(ISBLANK(Achievements[[#This Row],[LearningAchievement.title.Property.content.hu]]),"",Achievements[[#This Row],[LearningAchievement.title.Property.content.hu]])</f>
        <v/>
      </c>
      <c r="CT14" s="120" t="str">
        <f>IF(ISBLANK(Achievements[[#This Row],[LearningAchievement.title.Property.content.hu]]),"",Achievements[[#This Row],[LearningAchievement.title.Property.content.hu]])</f>
        <v/>
      </c>
      <c r="CU14" s="120" t="str">
        <f>IF(ISBLANK(Achievements[[#This Row],[LearningAchievement.title.Property.content.is]]),"",Achievements[[#This Row],[LearningAchievement.title.Property.content.is]])</f>
        <v/>
      </c>
      <c r="CV14" s="270"/>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92" t="str">
        <f>IF(ISBLANK(DV$11),"",DV$11)</f>
        <v/>
      </c>
      <c r="DW14" s="89"/>
      <c r="DX14" s="165"/>
      <c r="DY14" s="132"/>
      <c r="DZ14" s="271" t="str">
        <f t="array" ref="DZ14">MultiMatch(Achievements[[#This Row],[LearningAchievement.specifiedBy.learningOutcome.MultiReference.LearningOutcome.]],LearningOutcomeNames,0)</f>
        <v/>
      </c>
      <c r="EA14" s="272"/>
      <c r="EB14" s="273"/>
      <c r="EC14" s="274"/>
      <c r="ED14" s="275" t="str">
        <f>IF(ISBLANK(ED$11),"",ED$11)</f>
        <v/>
      </c>
      <c r="EE14" s="168" t="str">
        <f t="array" ref="EE14">MultiMatch(Achievements[[#This Row],[LearningAchievement.specifiedBy.iscedFCode.reference.]],Vocabularies[name],0)</f>
        <v/>
      </c>
      <c r="EF14" s="167" t="str">
        <f>IF(ISBLANK(EF$11),"",EF$11)</f>
        <v/>
      </c>
      <c r="EG14" s="263" t="str">
        <f t="array" ref="EG14">MultiMatch(Achievements[[#This Row],[LearningAchievement.specifiedBy.mode.MultiReference.]],Vocabularies[name],0)</f>
        <v/>
      </c>
      <c r="EH14" s="167" t="str">
        <f>IF(ISBLANK(EH$11),"",EH$11)</f>
        <v/>
      </c>
      <c r="EI14" s="263" t="str">
        <f t="array" ref="EI14">MultiMatch(Achievements[[#This Row],[LearningAchievement.specifiedBy.language.MultiReference.]],Vocabularies[name],0)</f>
        <v/>
      </c>
      <c r="EJ14" s="167" t="str">
        <f>IF(ISBLANK(EJ$11),"",EJ$11)</f>
        <v/>
      </c>
      <c r="EK14" s="263" t="str">
        <f t="array" ref="EK14">MultiMatch(Achievements[[#This Row],[LearningAchievement.specifiedBy.learningSetting.Reference.]],Vocabularies[name],0)</f>
        <v/>
      </c>
      <c r="EL14" s="167" t="str">
        <f>IF(ISBLANK(EL$11),"",EL$11)</f>
        <v/>
      </c>
      <c r="EM14" s="263" t="str">
        <f t="array" ref="EM14">MultiMatch(Achievements[[#This Row],[LearningAchievement.specifiedBy.learningOpportunityType.Reference.]],Vocabularies[name],0)</f>
        <v/>
      </c>
      <c r="EN14" s="89"/>
      <c r="EO14" s="89"/>
      <c r="EP14" s="89"/>
      <c r="EQ14" s="89"/>
      <c r="ER14" s="89"/>
      <c r="ES14" s="89"/>
      <c r="ET14" s="89"/>
      <c r="EU14" s="89"/>
      <c r="EV14" s="89"/>
      <c r="EW14" s="89"/>
      <c r="EX14" s="89"/>
      <c r="EY14" s="89"/>
      <c r="EZ14" s="89"/>
      <c r="FA14" s="89"/>
      <c r="FB14" s="89"/>
      <c r="FC14" s="89"/>
      <c r="FD14" s="89"/>
      <c r="FE14" s="89"/>
      <c r="FF14" s="89"/>
      <c r="FG14" s="89"/>
      <c r="FH14" s="89"/>
      <c r="FI14" s="89"/>
      <c r="FJ14" s="89"/>
      <c r="FK14" s="89"/>
      <c r="FL14" s="89"/>
      <c r="FM14" s="89"/>
      <c r="FN14" s="276"/>
      <c r="FO14" s="167" t="str">
        <f t="shared" ref="FO14:GP14" si="8">IF(ISBLANK(FO$11),"",FO$11)</f>
        <v/>
      </c>
      <c r="FP14" s="89" t="str">
        <f t="shared" si="8"/>
        <v/>
      </c>
      <c r="FQ14" s="89" t="str">
        <f t="shared" si="8"/>
        <v/>
      </c>
      <c r="FR14" s="89" t="str">
        <f t="shared" si="8"/>
        <v/>
      </c>
      <c r="FS14" s="89" t="str">
        <f t="shared" si="8"/>
        <v/>
      </c>
      <c r="FT14" s="89" t="str">
        <f t="shared" si="8"/>
        <v/>
      </c>
      <c r="FU14" s="89" t="str">
        <f t="shared" si="8"/>
        <v/>
      </c>
      <c r="FV14" s="89" t="str">
        <f t="shared" si="8"/>
        <v/>
      </c>
      <c r="FW14" s="89" t="str">
        <f t="shared" si="8"/>
        <v/>
      </c>
      <c r="FX14" s="89" t="str">
        <f t="shared" si="8"/>
        <v/>
      </c>
      <c r="FY14" s="89" t="str">
        <f t="shared" si="8"/>
        <v/>
      </c>
      <c r="FZ14" s="89" t="str">
        <f t="shared" si="8"/>
        <v/>
      </c>
      <c r="GA14" s="89" t="str">
        <f t="shared" si="8"/>
        <v/>
      </c>
      <c r="GB14" s="89" t="str">
        <f t="shared" si="8"/>
        <v/>
      </c>
      <c r="GC14" s="89" t="str">
        <f t="shared" si="8"/>
        <v/>
      </c>
      <c r="GD14" s="89" t="str">
        <f t="shared" si="8"/>
        <v/>
      </c>
      <c r="GE14" s="89" t="str">
        <f t="shared" si="8"/>
        <v/>
      </c>
      <c r="GF14" s="89" t="str">
        <f t="shared" si="8"/>
        <v/>
      </c>
      <c r="GG14" s="89" t="str">
        <f t="shared" si="8"/>
        <v/>
      </c>
      <c r="GH14" s="89" t="str">
        <f t="shared" si="8"/>
        <v/>
      </c>
      <c r="GI14" s="89" t="str">
        <f t="shared" si="8"/>
        <v/>
      </c>
      <c r="GJ14" s="89" t="str">
        <f t="shared" si="8"/>
        <v/>
      </c>
      <c r="GK14" s="89" t="str">
        <f t="shared" si="8"/>
        <v/>
      </c>
      <c r="GL14" s="89" t="str">
        <f t="shared" si="8"/>
        <v/>
      </c>
      <c r="GM14" s="89" t="str">
        <f t="shared" si="8"/>
        <v/>
      </c>
      <c r="GN14" s="89" t="str">
        <f t="shared" si="8"/>
        <v/>
      </c>
      <c r="GO14" s="89" t="str">
        <f t="shared" si="8"/>
        <v/>
      </c>
      <c r="GP14" s="89" t="str">
        <f t="shared" si="8"/>
        <v/>
      </c>
      <c r="GQ14" s="89"/>
      <c r="GR14" s="89"/>
      <c r="GS14" s="89"/>
      <c r="GT14" s="89"/>
      <c r="GU14" s="89"/>
      <c r="GV14" s="89"/>
      <c r="GW14" s="89"/>
      <c r="GX14" s="89"/>
      <c r="GY14" s="89"/>
      <c r="GZ14" s="89"/>
      <c r="HA14" s="89"/>
      <c r="HB14" s="89"/>
      <c r="HC14" s="89"/>
      <c r="HD14" s="89"/>
      <c r="HE14" s="89"/>
      <c r="HF14" s="89"/>
      <c r="HG14" s="89"/>
      <c r="HH14" s="89"/>
      <c r="HI14" s="89"/>
      <c r="HJ14" s="89"/>
      <c r="HK14" s="89"/>
      <c r="HL14" s="89"/>
      <c r="HM14" s="89"/>
      <c r="HN14" s="89"/>
      <c r="HO14" s="89"/>
      <c r="HP14" s="89"/>
    </row>
  </sheetData>
  <sheetProtection algorithmName="SHA-512" hashValue="jdfxTsJqe7q0ok8AlhKjrX4wxEQeN/mR8KvZbOx6yCnCxbA/ZNZh3p9DP6H0ZhG0ZJ07+etecqa7zqOu1L6dqA==" saltValue="X+8L1RqFmZvQTwEMBjrcvQ==" spinCount="100000" sheet="1" objects="1" scenarios="1" formatColumns="0"/>
  <mergeCells count="1">
    <mergeCell ref="BV1:HP1"/>
  </mergeCells>
  <phoneticPr fontId="12" type="noConversion"/>
  <dataValidations count="18">
    <dataValidation type="list" allowBlank="1" showInputMessage="1" showErrorMessage="1" sqref="AE11 AE13:AE14">
      <formula1>OrganisationNames</formula1>
    </dataValidation>
    <dataValidation type="list" allowBlank="1" showInputMessage="1" showErrorMessage="1" sqref="BG13:BG14">
      <formula1>AssessmentNames</formula1>
    </dataValidation>
    <dataValidation type="list" allowBlank="1" showInputMessage="1" showErrorMessage="1" sqref="BI13:BI14">
      <formula1>ActivityNames</formula1>
    </dataValidation>
    <dataValidation type="list" allowBlank="1" showInputMessage="1" showErrorMessage="1" sqref="BM13:BM14">
      <formula1>AchievementNames</formula1>
    </dataValidation>
    <dataValidation type="list" allowBlank="1" showInputMessage="1" showErrorMessage="1" sqref="ED11 ED13:ED14">
      <formula1>ISCEDFLabels</formula1>
    </dataValidation>
    <dataValidation type="list" allowBlank="1" showInputMessage="1" showErrorMessage="1" sqref="DY13:DY14">
      <formula1>LearningOutcomeNames</formula1>
    </dataValidation>
    <dataValidation type="list" allowBlank="1" showInputMessage="1" showErrorMessage="1" sqref="EF11 EF13:EF14">
      <formula1>ModeOfLearningNames</formula1>
    </dataValidation>
    <dataValidation type="list" allowBlank="1" showInputMessage="1" showErrorMessage="1" sqref="EH11 EH13:EH14">
      <formula1>LanguageNames</formula1>
    </dataValidation>
    <dataValidation type="list" allowBlank="1" showInputMessage="1" showErrorMessage="1" sqref="EJ11 EJ13:EJ14">
      <formula1>LearningSettingNames</formula1>
    </dataValidation>
    <dataValidation type="list" allowBlank="1" showInputMessage="1" showErrorMessage="1" sqref="EL11 EL13:EL14">
      <formula1>LearningOpportunityTypeNames</formula1>
    </dataValidation>
    <dataValidation type="list" allowBlank="1" showInputMessage="1" showErrorMessage="1" sqref="BP11 BP13:BP14">
      <formula1>EQF_Levels</formula1>
    </dataValidation>
    <dataValidation type="list" allowBlank="1" showInputMessage="1" showErrorMessage="1" sqref="BR11 BR13:BR14">
      <formula1>NQFNames</formula1>
    </dataValidation>
    <dataValidation type="list" allowBlank="1" showInputMessage="1" showErrorMessage="1" sqref="BO13:BO14">
      <formula1>"TRUE, FALSE"</formula1>
    </dataValidation>
    <dataValidation type="list" allowBlank="1" showInputMessage="1" showErrorMessage="1" sqref="BK13:BK14">
      <formula1>EntitlementNames</formula1>
    </dataValidation>
    <dataValidation type="whole" operator="greaterThan" allowBlank="1" showErrorMessage="1" errorTitle="No decimals" error="Only positive whole numbers are accepted" sqref="EA13:EB14">
      <formula1>0</formula1>
    </dataValidation>
    <dataValidation type="list" allowBlank="1" showInputMessage="1" showErrorMessage="1" sqref="BT11">
      <formula1>INDIRECT(SUBSTITUTE(NQFSelector," ","_"))</formula1>
    </dataValidation>
    <dataValidation type="list" allowBlank="1" showInputMessage="1" showErrorMessage="1" sqref="BT13:BT14">
      <formula1>NQFLevels</formula1>
    </dataValidation>
    <dataValidation type="date" operator="greaterThan" allowBlank="1" showInputMessage="1" showErrorMessage="1" sqref="AD11 AD13:AD14">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J13"/>
  <sheetViews>
    <sheetView zoomScale="80" zoomScaleNormal="80" workbookViewId="0">
      <pane xSplit="1" ySplit="12" topLeftCell="B13" activePane="bottomRight" state="frozen"/>
      <selection pane="topRight" activeCell="B1" sqref="B1"/>
      <selection pane="bottomLeft" activeCell="A13" sqref="A13"/>
      <selection pane="bottomRight" activeCell="B13" sqref="B13"/>
    </sheetView>
  </sheetViews>
  <sheetFormatPr baseColWidth="10" defaultColWidth="9.140625" defaultRowHeight="29.1" customHeight="1"/>
  <cols>
    <col min="1" max="1" width="23.85546875" customWidth="1"/>
    <col min="2" max="2" width="25.85546875" customWidth="1"/>
    <col min="3" max="27" width="25.85546875" hidden="1" customWidth="1"/>
    <col min="28" max="28" width="24.140625" customWidth="1"/>
    <col min="29" max="29" width="20.85546875" customWidth="1"/>
    <col min="30" max="30" width="30.85546875" customWidth="1"/>
    <col min="31" max="55" width="30.85546875" hidden="1" customWidth="1"/>
    <col min="56" max="56" width="15.85546875" customWidth="1"/>
    <col min="57" max="57" width="10.85546875" hidden="1" customWidth="1"/>
    <col min="58" max="58" width="15.85546875" customWidth="1"/>
    <col min="59" max="59" width="10.85546875" hidden="1" customWidth="1"/>
    <col min="60" max="62" width="20.85546875" hidden="1" customWidth="1"/>
  </cols>
  <sheetData>
    <row r="1" spans="1:62" ht="23.25">
      <c r="A1" s="2" t="s">
        <v>777</v>
      </c>
      <c r="B1" s="27"/>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row>
    <row r="2" spans="1:62" ht="30" hidden="1">
      <c r="A2" s="18" t="s">
        <v>16</v>
      </c>
      <c r="B2" s="18" t="s">
        <v>503</v>
      </c>
      <c r="C2" s="18" t="s">
        <v>503</v>
      </c>
      <c r="D2" s="18" t="s">
        <v>503</v>
      </c>
      <c r="E2" s="18" t="s">
        <v>503</v>
      </c>
      <c r="F2" s="18" t="s">
        <v>503</v>
      </c>
      <c r="G2" s="18" t="s">
        <v>503</v>
      </c>
      <c r="H2" s="18" t="s">
        <v>503</v>
      </c>
      <c r="I2" s="18" t="s">
        <v>503</v>
      </c>
      <c r="J2" s="18" t="s">
        <v>503</v>
      </c>
      <c r="K2" s="18" t="s">
        <v>503</v>
      </c>
      <c r="L2" s="18" t="s">
        <v>503</v>
      </c>
      <c r="M2" s="18" t="s">
        <v>503</v>
      </c>
      <c r="N2" s="18" t="s">
        <v>503</v>
      </c>
      <c r="O2" s="18" t="s">
        <v>503</v>
      </c>
      <c r="P2" s="18" t="s">
        <v>503</v>
      </c>
      <c r="Q2" s="18" t="s">
        <v>503</v>
      </c>
      <c r="R2" s="18" t="s">
        <v>503</v>
      </c>
      <c r="S2" s="18" t="s">
        <v>503</v>
      </c>
      <c r="T2" s="18" t="s">
        <v>503</v>
      </c>
      <c r="U2" s="18" t="s">
        <v>503</v>
      </c>
      <c r="V2" s="18" t="s">
        <v>503</v>
      </c>
      <c r="W2" s="18" t="s">
        <v>503</v>
      </c>
      <c r="X2" s="18" t="s">
        <v>503</v>
      </c>
      <c r="Y2" s="18" t="s">
        <v>503</v>
      </c>
      <c r="Z2" s="18" t="s">
        <v>503</v>
      </c>
      <c r="AA2" s="18" t="s">
        <v>503</v>
      </c>
      <c r="AB2" s="1" t="s">
        <v>778</v>
      </c>
      <c r="AC2" s="1" t="s">
        <v>778</v>
      </c>
      <c r="AD2" s="18" t="s">
        <v>503</v>
      </c>
      <c r="AE2" s="18" t="s">
        <v>503</v>
      </c>
      <c r="AF2" s="18" t="s">
        <v>503</v>
      </c>
      <c r="AG2" s="18" t="s">
        <v>503</v>
      </c>
      <c r="AH2" s="18" t="s">
        <v>503</v>
      </c>
      <c r="AI2" s="18" t="s">
        <v>503</v>
      </c>
      <c r="AJ2" s="18" t="s">
        <v>503</v>
      </c>
      <c r="AK2" s="18" t="s">
        <v>503</v>
      </c>
      <c r="AL2" s="18" t="s">
        <v>503</v>
      </c>
      <c r="AM2" s="18" t="s">
        <v>503</v>
      </c>
      <c r="AN2" s="18" t="s">
        <v>503</v>
      </c>
      <c r="AO2" s="18" t="s">
        <v>503</v>
      </c>
      <c r="AP2" s="18" t="s">
        <v>503</v>
      </c>
      <c r="AQ2" s="18" t="s">
        <v>503</v>
      </c>
      <c r="AR2" s="18" t="s">
        <v>503</v>
      </c>
      <c r="AS2" s="18" t="s">
        <v>503</v>
      </c>
      <c r="AT2" s="18" t="s">
        <v>503</v>
      </c>
      <c r="AU2" s="18" t="s">
        <v>503</v>
      </c>
      <c r="AV2" s="18" t="s">
        <v>503</v>
      </c>
      <c r="AW2" s="18" t="s">
        <v>503</v>
      </c>
      <c r="AX2" s="18" t="s">
        <v>503</v>
      </c>
      <c r="AY2" s="18" t="s">
        <v>503</v>
      </c>
      <c r="AZ2" s="18" t="s">
        <v>503</v>
      </c>
      <c r="BA2" s="18" t="s">
        <v>503</v>
      </c>
      <c r="BB2" s="18" t="s">
        <v>503</v>
      </c>
      <c r="BC2" s="18" t="s">
        <v>503</v>
      </c>
      <c r="BD2" s="18" t="s">
        <v>503</v>
      </c>
      <c r="BE2" s="18" t="s">
        <v>503</v>
      </c>
      <c r="BF2" s="18" t="s">
        <v>503</v>
      </c>
      <c r="BG2" s="18" t="s">
        <v>503</v>
      </c>
      <c r="BH2" s="18" t="s">
        <v>779</v>
      </c>
      <c r="BI2" s="18" t="s">
        <v>780</v>
      </c>
      <c r="BJ2" s="18" t="s">
        <v>781</v>
      </c>
    </row>
    <row r="3" spans="1:62" ht="30" hidden="1">
      <c r="A3" s="18" t="s">
        <v>19</v>
      </c>
      <c r="B3" s="18" t="s">
        <v>782</v>
      </c>
      <c r="C3" s="18" t="s">
        <v>782</v>
      </c>
      <c r="D3" s="18" t="s">
        <v>782</v>
      </c>
      <c r="E3" s="18" t="s">
        <v>782</v>
      </c>
      <c r="F3" s="18" t="s">
        <v>782</v>
      </c>
      <c r="G3" s="18" t="s">
        <v>782</v>
      </c>
      <c r="H3" s="18" t="s">
        <v>782</v>
      </c>
      <c r="I3" s="18" t="s">
        <v>782</v>
      </c>
      <c r="J3" s="18" t="s">
        <v>782</v>
      </c>
      <c r="K3" s="18" t="s">
        <v>782</v>
      </c>
      <c r="L3" s="18" t="s">
        <v>782</v>
      </c>
      <c r="M3" s="18" t="s">
        <v>782</v>
      </c>
      <c r="N3" s="18" t="s">
        <v>782</v>
      </c>
      <c r="O3" s="18" t="s">
        <v>782</v>
      </c>
      <c r="P3" s="18" t="s">
        <v>782</v>
      </c>
      <c r="Q3" s="18" t="s">
        <v>782</v>
      </c>
      <c r="R3" s="18" t="s">
        <v>782</v>
      </c>
      <c r="S3" s="18" t="s">
        <v>782</v>
      </c>
      <c r="T3" s="18" t="s">
        <v>782</v>
      </c>
      <c r="U3" s="18" t="s">
        <v>782</v>
      </c>
      <c r="V3" s="18" t="s">
        <v>782</v>
      </c>
      <c r="W3" s="18" t="s">
        <v>782</v>
      </c>
      <c r="X3" s="18" t="s">
        <v>782</v>
      </c>
      <c r="Y3" s="18" t="s">
        <v>782</v>
      </c>
      <c r="Z3" s="18" t="s">
        <v>782</v>
      </c>
      <c r="AA3" s="18" t="s">
        <v>782</v>
      </c>
      <c r="AB3" s="1" t="s">
        <v>190</v>
      </c>
      <c r="AC3" s="1" t="s">
        <v>35</v>
      </c>
      <c r="AD3" s="18" t="s">
        <v>21</v>
      </c>
      <c r="AE3" s="18" t="s">
        <v>21</v>
      </c>
      <c r="AF3" s="18" t="s">
        <v>21</v>
      </c>
      <c r="AG3" s="18" t="s">
        <v>21</v>
      </c>
      <c r="AH3" s="18" t="s">
        <v>21</v>
      </c>
      <c r="AI3" s="18" t="s">
        <v>21</v>
      </c>
      <c r="AJ3" s="18" t="s">
        <v>21</v>
      </c>
      <c r="AK3" s="18" t="s">
        <v>21</v>
      </c>
      <c r="AL3" s="18" t="s">
        <v>21</v>
      </c>
      <c r="AM3" s="18" t="s">
        <v>21</v>
      </c>
      <c r="AN3" s="18" t="s">
        <v>21</v>
      </c>
      <c r="AO3" s="18" t="s">
        <v>21</v>
      </c>
      <c r="AP3" s="18" t="s">
        <v>21</v>
      </c>
      <c r="AQ3" s="18" t="s">
        <v>21</v>
      </c>
      <c r="AR3" s="18" t="s">
        <v>21</v>
      </c>
      <c r="AS3" s="18" t="s">
        <v>21</v>
      </c>
      <c r="AT3" s="18" t="s">
        <v>21</v>
      </c>
      <c r="AU3" s="18" t="s">
        <v>21</v>
      </c>
      <c r="AV3" s="18" t="s">
        <v>21</v>
      </c>
      <c r="AW3" s="18" t="s">
        <v>21</v>
      </c>
      <c r="AX3" s="18" t="s">
        <v>21</v>
      </c>
      <c r="AY3" s="18" t="s">
        <v>21</v>
      </c>
      <c r="AZ3" s="18" t="s">
        <v>21</v>
      </c>
      <c r="BA3" s="18" t="s">
        <v>21</v>
      </c>
      <c r="BB3" s="18" t="s">
        <v>21</v>
      </c>
      <c r="BC3" s="18" t="s">
        <v>21</v>
      </c>
      <c r="BD3" s="18" t="s">
        <v>783</v>
      </c>
      <c r="BE3" s="18" t="s">
        <v>783</v>
      </c>
      <c r="BF3" s="18" t="s">
        <v>784</v>
      </c>
      <c r="BG3" s="18" t="s">
        <v>784</v>
      </c>
      <c r="BH3" s="18" t="s">
        <v>785</v>
      </c>
      <c r="BI3" s="18" t="s">
        <v>785</v>
      </c>
      <c r="BJ3" s="18" t="s">
        <v>785</v>
      </c>
    </row>
    <row r="4" spans="1:62" ht="30" hidden="1">
      <c r="A4" s="18" t="s">
        <v>29</v>
      </c>
      <c r="B4" s="18" t="s">
        <v>30</v>
      </c>
      <c r="C4" s="18" t="s">
        <v>30</v>
      </c>
      <c r="D4" s="18" t="s">
        <v>30</v>
      </c>
      <c r="E4" s="18" t="s">
        <v>30</v>
      </c>
      <c r="F4" s="18" t="s">
        <v>30</v>
      </c>
      <c r="G4" s="18" t="s">
        <v>30</v>
      </c>
      <c r="H4" s="18" t="s">
        <v>30</v>
      </c>
      <c r="I4" s="18" t="s">
        <v>30</v>
      </c>
      <c r="J4" s="18" t="s">
        <v>30</v>
      </c>
      <c r="K4" s="18" t="s">
        <v>30</v>
      </c>
      <c r="L4" s="18" t="s">
        <v>30</v>
      </c>
      <c r="M4" s="18" t="s">
        <v>30</v>
      </c>
      <c r="N4" s="18" t="s">
        <v>30</v>
      </c>
      <c r="O4" s="18" t="s">
        <v>30</v>
      </c>
      <c r="P4" s="18" t="s">
        <v>30</v>
      </c>
      <c r="Q4" s="18" t="s">
        <v>30</v>
      </c>
      <c r="R4" s="18" t="s">
        <v>30</v>
      </c>
      <c r="S4" s="18" t="s">
        <v>30</v>
      </c>
      <c r="T4" s="18" t="s">
        <v>30</v>
      </c>
      <c r="U4" s="18" t="s">
        <v>30</v>
      </c>
      <c r="V4" s="18" t="s">
        <v>30</v>
      </c>
      <c r="W4" s="18" t="s">
        <v>30</v>
      </c>
      <c r="X4" s="18" t="s">
        <v>30</v>
      </c>
      <c r="Y4" s="18" t="s">
        <v>30</v>
      </c>
      <c r="Z4" s="18" t="s">
        <v>30</v>
      </c>
      <c r="AA4" s="18" t="s">
        <v>30</v>
      </c>
      <c r="AB4" s="1" t="s">
        <v>33</v>
      </c>
      <c r="AC4" s="1" t="s">
        <v>33</v>
      </c>
      <c r="AD4" s="18" t="s">
        <v>30</v>
      </c>
      <c r="AE4" s="18" t="s">
        <v>30</v>
      </c>
      <c r="AF4" s="18" t="s">
        <v>30</v>
      </c>
      <c r="AG4" s="18" t="s">
        <v>30</v>
      </c>
      <c r="AH4" s="18" t="s">
        <v>30</v>
      </c>
      <c r="AI4" s="18" t="s">
        <v>30</v>
      </c>
      <c r="AJ4" s="18" t="s">
        <v>30</v>
      </c>
      <c r="AK4" s="18" t="s">
        <v>30</v>
      </c>
      <c r="AL4" s="18" t="s">
        <v>30</v>
      </c>
      <c r="AM4" s="18" t="s">
        <v>30</v>
      </c>
      <c r="AN4" s="18" t="s">
        <v>30</v>
      </c>
      <c r="AO4" s="18" t="s">
        <v>30</v>
      </c>
      <c r="AP4" s="18" t="s">
        <v>30</v>
      </c>
      <c r="AQ4" s="18" t="s">
        <v>30</v>
      </c>
      <c r="AR4" s="18" t="s">
        <v>30</v>
      </c>
      <c r="AS4" s="18" t="s">
        <v>30</v>
      </c>
      <c r="AT4" s="18" t="s">
        <v>30</v>
      </c>
      <c r="AU4" s="18" t="s">
        <v>30</v>
      </c>
      <c r="AV4" s="18" t="s">
        <v>30</v>
      </c>
      <c r="AW4" s="18" t="s">
        <v>30</v>
      </c>
      <c r="AX4" s="18" t="s">
        <v>30</v>
      </c>
      <c r="AY4" s="18" t="s">
        <v>30</v>
      </c>
      <c r="AZ4" s="18" t="s">
        <v>30</v>
      </c>
      <c r="BA4" s="18" t="s">
        <v>30</v>
      </c>
      <c r="BB4" s="18" t="s">
        <v>30</v>
      </c>
      <c r="BC4" s="18" t="s">
        <v>30</v>
      </c>
      <c r="BD4" s="18" t="s">
        <v>31</v>
      </c>
      <c r="BE4" s="18" t="s">
        <v>32</v>
      </c>
      <c r="BF4" s="18" t="s">
        <v>31</v>
      </c>
      <c r="BG4" s="18" t="s">
        <v>32</v>
      </c>
      <c r="BH4" s="18" t="s">
        <v>33</v>
      </c>
      <c r="BI4" s="18" t="s">
        <v>33</v>
      </c>
      <c r="BJ4" s="18" t="s">
        <v>33</v>
      </c>
    </row>
    <row r="5" spans="1:62" ht="15" hidden="1">
      <c r="A5" s="18" t="s">
        <v>34</v>
      </c>
      <c r="B5" s="18" t="s">
        <v>35</v>
      </c>
      <c r="C5" s="18" t="s">
        <v>35</v>
      </c>
      <c r="D5" s="18" t="s">
        <v>35</v>
      </c>
      <c r="E5" s="18" t="s">
        <v>35</v>
      </c>
      <c r="F5" s="18" t="s">
        <v>35</v>
      </c>
      <c r="G5" s="18" t="s">
        <v>35</v>
      </c>
      <c r="H5" s="18" t="s">
        <v>35</v>
      </c>
      <c r="I5" s="18" t="s">
        <v>35</v>
      </c>
      <c r="J5" s="18" t="s">
        <v>35</v>
      </c>
      <c r="K5" s="18" t="s">
        <v>35</v>
      </c>
      <c r="L5" s="18" t="s">
        <v>35</v>
      </c>
      <c r="M5" s="18" t="s">
        <v>35</v>
      </c>
      <c r="N5" s="18" t="s">
        <v>35</v>
      </c>
      <c r="O5" s="18" t="s">
        <v>35</v>
      </c>
      <c r="P5" s="18" t="s">
        <v>35</v>
      </c>
      <c r="Q5" s="18" t="s">
        <v>35</v>
      </c>
      <c r="R5" s="18" t="s">
        <v>35</v>
      </c>
      <c r="S5" s="18" t="s">
        <v>35</v>
      </c>
      <c r="T5" s="18" t="s">
        <v>35</v>
      </c>
      <c r="U5" s="18" t="s">
        <v>35</v>
      </c>
      <c r="V5" s="18" t="s">
        <v>35</v>
      </c>
      <c r="W5" s="18" t="s">
        <v>35</v>
      </c>
      <c r="X5" s="18" t="s">
        <v>35</v>
      </c>
      <c r="Y5" s="18" t="s">
        <v>35</v>
      </c>
      <c r="Z5" s="18" t="s">
        <v>35</v>
      </c>
      <c r="AA5" s="18" t="s">
        <v>35</v>
      </c>
      <c r="AD5" s="18" t="s">
        <v>35</v>
      </c>
      <c r="AE5" s="18" t="s">
        <v>35</v>
      </c>
      <c r="AF5" s="18" t="s">
        <v>35</v>
      </c>
      <c r="AG5" s="18" t="s">
        <v>35</v>
      </c>
      <c r="AH5" s="18" t="s">
        <v>35</v>
      </c>
      <c r="AI5" s="18" t="s">
        <v>35</v>
      </c>
      <c r="AJ5" s="18" t="s">
        <v>35</v>
      </c>
      <c r="AK5" s="18" t="s">
        <v>35</v>
      </c>
      <c r="AL5" s="18" t="s">
        <v>35</v>
      </c>
      <c r="AM5" s="18" t="s">
        <v>35</v>
      </c>
      <c r="AN5" s="18" t="s">
        <v>35</v>
      </c>
      <c r="AO5" s="18" t="s">
        <v>35</v>
      </c>
      <c r="AP5" s="18" t="s">
        <v>35</v>
      </c>
      <c r="AQ5" s="18" t="s">
        <v>35</v>
      </c>
      <c r="AR5" s="18" t="s">
        <v>35</v>
      </c>
      <c r="AS5" s="18" t="s">
        <v>35</v>
      </c>
      <c r="AT5" s="18" t="s">
        <v>35</v>
      </c>
      <c r="AU5" s="18" t="s">
        <v>35</v>
      </c>
      <c r="AV5" s="18" t="s">
        <v>35</v>
      </c>
      <c r="AW5" s="18" t="s">
        <v>35</v>
      </c>
      <c r="AX5" s="18" t="s">
        <v>35</v>
      </c>
      <c r="AY5" s="18" t="s">
        <v>35</v>
      </c>
      <c r="AZ5" s="18" t="s">
        <v>35</v>
      </c>
      <c r="BA5" s="18" t="s">
        <v>35</v>
      </c>
      <c r="BB5" s="18" t="s">
        <v>35</v>
      </c>
      <c r="BC5" s="18" t="s">
        <v>35</v>
      </c>
      <c r="BD5" s="18"/>
      <c r="BE5" s="18" t="s">
        <v>36</v>
      </c>
      <c r="BF5" s="18"/>
      <c r="BG5" s="18" t="s">
        <v>36</v>
      </c>
      <c r="BH5" s="18"/>
      <c r="BI5" s="18"/>
    </row>
    <row r="6" spans="1:62" ht="15" hidden="1">
      <c r="A6" s="18" t="s">
        <v>41</v>
      </c>
      <c r="B6" s="18"/>
      <c r="C6" s="18"/>
      <c r="D6" s="18"/>
      <c r="E6" s="18"/>
      <c r="F6" s="18"/>
      <c r="G6" s="18"/>
      <c r="H6" s="18"/>
      <c r="I6" s="18"/>
      <c r="J6" s="18"/>
      <c r="K6" s="18"/>
      <c r="L6" s="18"/>
      <c r="M6" s="18"/>
      <c r="N6" s="18"/>
      <c r="O6" s="18"/>
      <c r="P6" s="18"/>
      <c r="Q6" s="18"/>
      <c r="R6" s="18"/>
      <c r="S6" s="18"/>
      <c r="T6" s="18"/>
      <c r="U6" s="18"/>
      <c r="V6" s="18"/>
      <c r="W6" s="18"/>
      <c r="X6" s="18"/>
      <c r="Y6" s="18"/>
      <c r="Z6" s="18"/>
      <c r="AA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row>
    <row r="7" spans="1:62" ht="15" hidden="1">
      <c r="A7" s="18" t="s">
        <v>42</v>
      </c>
      <c r="B7" s="18" t="s">
        <v>11</v>
      </c>
      <c r="C7" s="1" t="s">
        <v>43</v>
      </c>
      <c r="D7" s="1" t="s">
        <v>44</v>
      </c>
      <c r="E7" s="1" t="s">
        <v>45</v>
      </c>
      <c r="F7" s="1" t="s">
        <v>46</v>
      </c>
      <c r="G7" s="1" t="s">
        <v>47</v>
      </c>
      <c r="H7" s="1" t="s">
        <v>48</v>
      </c>
      <c r="I7" s="1" t="s">
        <v>49</v>
      </c>
      <c r="J7" s="1" t="s">
        <v>50</v>
      </c>
      <c r="K7" s="1" t="s">
        <v>51</v>
      </c>
      <c r="L7" s="1" t="s">
        <v>52</v>
      </c>
      <c r="M7" s="1" t="s">
        <v>53</v>
      </c>
      <c r="N7" s="1" t="s">
        <v>54</v>
      </c>
      <c r="O7" s="1" t="s">
        <v>55</v>
      </c>
      <c r="P7" s="1" t="s">
        <v>56</v>
      </c>
      <c r="Q7" s="1" t="s">
        <v>57</v>
      </c>
      <c r="R7" s="1" t="s">
        <v>58</v>
      </c>
      <c r="S7" s="1" t="s">
        <v>59</v>
      </c>
      <c r="T7" s="1" t="s">
        <v>60</v>
      </c>
      <c r="U7" s="1" t="s">
        <v>61</v>
      </c>
      <c r="V7" s="1" t="s">
        <v>62</v>
      </c>
      <c r="W7" s="1" t="s">
        <v>63</v>
      </c>
      <c r="X7" s="1" t="s">
        <v>64</v>
      </c>
      <c r="Y7" s="1" t="s">
        <v>65</v>
      </c>
      <c r="Z7" s="1" t="s">
        <v>66</v>
      </c>
      <c r="AA7" s="1" t="s">
        <v>67</v>
      </c>
      <c r="AD7" s="18" t="s">
        <v>11</v>
      </c>
      <c r="AE7" s="1" t="s">
        <v>43</v>
      </c>
      <c r="AF7" s="1" t="s">
        <v>44</v>
      </c>
      <c r="AG7" s="1" t="s">
        <v>45</v>
      </c>
      <c r="AH7" s="1" t="s">
        <v>46</v>
      </c>
      <c r="AI7" s="1" t="s">
        <v>47</v>
      </c>
      <c r="AJ7" s="1" t="s">
        <v>48</v>
      </c>
      <c r="AK7" s="1" t="s">
        <v>49</v>
      </c>
      <c r="AL7" s="1" t="s">
        <v>50</v>
      </c>
      <c r="AM7" s="1" t="s">
        <v>51</v>
      </c>
      <c r="AN7" s="1" t="s">
        <v>52</v>
      </c>
      <c r="AO7" s="1" t="s">
        <v>53</v>
      </c>
      <c r="AP7" s="1" t="s">
        <v>54</v>
      </c>
      <c r="AQ7" s="1" t="s">
        <v>55</v>
      </c>
      <c r="AR7" s="1" t="s">
        <v>56</v>
      </c>
      <c r="AS7" s="1" t="s">
        <v>57</v>
      </c>
      <c r="AT7" s="1" t="s">
        <v>58</v>
      </c>
      <c r="AU7" s="1" t="s">
        <v>59</v>
      </c>
      <c r="AV7" s="1" t="s">
        <v>60</v>
      </c>
      <c r="AW7" s="1" t="s">
        <v>61</v>
      </c>
      <c r="AX7" s="1" t="s">
        <v>62</v>
      </c>
      <c r="AY7" s="1" t="s">
        <v>63</v>
      </c>
      <c r="AZ7" s="1" t="s">
        <v>64</v>
      </c>
      <c r="BA7" s="1" t="s">
        <v>65</v>
      </c>
      <c r="BB7" s="1" t="s">
        <v>66</v>
      </c>
      <c r="BC7" s="1" t="s">
        <v>67</v>
      </c>
      <c r="BD7" s="18"/>
      <c r="BE7" s="18"/>
      <c r="BF7" s="18"/>
      <c r="BG7" s="18"/>
      <c r="BH7" s="18"/>
      <c r="BI7" s="18"/>
    </row>
    <row r="8" spans="1:62" ht="30">
      <c r="A8" s="19" t="s">
        <v>68</v>
      </c>
      <c r="B8" s="249" t="s">
        <v>69</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Title.mt</v>
      </c>
      <c r="T8" s="19" t="str">
        <f>CONCATENATE(B8,".",T7)</f>
        <v>Title.nl</v>
      </c>
      <c r="U8" s="19" t="str">
        <f>CONCATENATE(B8,".",U7)</f>
        <v>Title.no</v>
      </c>
      <c r="V8" s="19" t="str">
        <f>CONCATENATE(B8,".",V7)</f>
        <v>Title.pl</v>
      </c>
      <c r="W8" s="19" t="str">
        <f>CONCATENATE(B8,".",W7)</f>
        <v>Title.pt</v>
      </c>
      <c r="X8" s="19" t="str">
        <f>CONCATENATE(B8,".",X7)</f>
        <v>Title.ro</v>
      </c>
      <c r="Y8" s="19" t="str">
        <f>CONCATENATE(B8,".",Y7)</f>
        <v>Title.sk</v>
      </c>
      <c r="Z8" s="19" t="str">
        <f>CONCATENATE(B8,".",Z7)</f>
        <v>Title.sl</v>
      </c>
      <c r="AA8" s="19" t="str">
        <f>CONCATENATE(B8,".",AA7)</f>
        <v>Title.sv</v>
      </c>
      <c r="AB8" s="19" t="s">
        <v>786</v>
      </c>
      <c r="AC8" s="19" t="s">
        <v>787</v>
      </c>
      <c r="AD8" s="19" t="s">
        <v>70</v>
      </c>
      <c r="AE8" s="19" t="str">
        <f>CONCATENATE(AD8,".",AE7)</f>
        <v>Description.bg</v>
      </c>
      <c r="AF8" s="19" t="str">
        <f>CONCATENATE(AD8,".",AF7)</f>
        <v>Description.cs</v>
      </c>
      <c r="AG8" s="19" t="str">
        <f>CONCATENATE(AD8,".",AG7)</f>
        <v>Description.da</v>
      </c>
      <c r="AH8" s="19" t="str">
        <f>CONCATENATE(AD8,".",AH7)</f>
        <v>Description.de</v>
      </c>
      <c r="AI8" s="19" t="str">
        <f>CONCATENATE(AD8,".",AI7)</f>
        <v>Description.el</v>
      </c>
      <c r="AJ8" s="19" t="str">
        <f>CONCATENATE(AD8,".",AJ7)</f>
        <v>Description.es</v>
      </c>
      <c r="AK8" s="19" t="str">
        <f>CONCATENATE(AD8,".",AK7)</f>
        <v>Description.et</v>
      </c>
      <c r="AL8" s="19" t="str">
        <f>CONCATENATE(AD8,".",AL7)</f>
        <v>Description.fi</v>
      </c>
      <c r="AM8" s="19" t="str">
        <f>CONCATENATE(AD8,".",AM7)</f>
        <v>Description.fr</v>
      </c>
      <c r="AN8" s="19" t="str">
        <f>CONCATENATE(AD8,".",AN7)</f>
        <v>Description.ga</v>
      </c>
      <c r="AO8" s="19" t="str">
        <f>CONCATENATE(AD8,".",AO7)</f>
        <v>Description.hr</v>
      </c>
      <c r="AP8" s="19" t="str">
        <f>CONCATENATE(AD8,".",AP7)</f>
        <v>Description.hu</v>
      </c>
      <c r="AQ8" s="19" t="str">
        <f>CONCATENATE(AD8,".",AQ7)</f>
        <v>Description.is</v>
      </c>
      <c r="AR8" s="19" t="str">
        <f>CONCATENATE(AD8,".",AR7)</f>
        <v>Description.it</v>
      </c>
      <c r="AS8" s="19" t="str">
        <f>CONCATENATE(AD8,".",AS7)</f>
        <v>Description.lt</v>
      </c>
      <c r="AT8" s="19" t="str">
        <f>CONCATENATE(AD8,".",AT7)</f>
        <v>Description.lv</v>
      </c>
      <c r="AU8" s="19" t="str">
        <f>CONCATENATE(AD8,".",AU7)</f>
        <v>Description.mt</v>
      </c>
      <c r="AV8" s="19" t="str">
        <f>CONCATENATE(AD8,".",AV7)</f>
        <v>Description.nl</v>
      </c>
      <c r="AW8" s="19" t="str">
        <f>CONCATENATE(AD8,".",AW7)</f>
        <v>Description.no</v>
      </c>
      <c r="AX8" s="19" t="str">
        <f>CONCATENATE(AD8,".",AX7)</f>
        <v>Description.pl</v>
      </c>
      <c r="AY8" s="19" t="str">
        <f>CONCATENATE(AD8,".",AY7)</f>
        <v>Description.pt</v>
      </c>
      <c r="AZ8" s="19" t="str">
        <f>CONCATENATE(AD8,".",AZ7)</f>
        <v>Description.ro</v>
      </c>
      <c r="BA8" s="19" t="str">
        <f>CONCATENATE(AD8,".",BA7)</f>
        <v>Description.sk</v>
      </c>
      <c r="BB8" s="19" t="str">
        <f>CONCATENATE(AD8,".",BB7)</f>
        <v>Description.sl</v>
      </c>
      <c r="BC8" s="19" t="str">
        <f>CONCATENATE(AD8,".",BC7)</f>
        <v>Description.sv</v>
      </c>
      <c r="BD8" s="19" t="s">
        <v>788</v>
      </c>
      <c r="BE8" s="19"/>
      <c r="BF8" s="19" t="s">
        <v>789</v>
      </c>
      <c r="BG8" s="19"/>
      <c r="BH8" s="19" t="s">
        <v>790</v>
      </c>
      <c r="BI8" s="19" t="s">
        <v>791</v>
      </c>
      <c r="BJ8" s="19" t="s">
        <v>792</v>
      </c>
    </row>
    <row r="9" spans="1:62" ht="67.5">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26" t="s">
        <v>793</v>
      </c>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t="s">
        <v>794</v>
      </c>
      <c r="BI9" s="26" t="s">
        <v>794</v>
      </c>
      <c r="BJ9" s="26" t="s">
        <v>794</v>
      </c>
    </row>
    <row r="10" spans="1:62" ht="15.75" thickBot="1">
      <c r="A10" s="21" t="s">
        <v>42</v>
      </c>
      <c r="B10" s="25" t="s">
        <v>12</v>
      </c>
      <c r="C10" s="9" t="s">
        <v>84</v>
      </c>
      <c r="D10" s="9" t="s">
        <v>85</v>
      </c>
      <c r="E10" s="9" t="s">
        <v>86</v>
      </c>
      <c r="F10" s="9" t="s">
        <v>87</v>
      </c>
      <c r="G10" s="9" t="s">
        <v>88</v>
      </c>
      <c r="H10" s="9" t="s">
        <v>89</v>
      </c>
      <c r="I10" s="9" t="s">
        <v>90</v>
      </c>
      <c r="J10" s="9" t="s">
        <v>91</v>
      </c>
      <c r="K10" s="9" t="s">
        <v>92</v>
      </c>
      <c r="L10" s="9" t="s">
        <v>93</v>
      </c>
      <c r="M10" s="9" t="s">
        <v>94</v>
      </c>
      <c r="N10" s="9" t="s">
        <v>95</v>
      </c>
      <c r="O10" s="9" t="s">
        <v>96</v>
      </c>
      <c r="P10" s="9" t="s">
        <v>97</v>
      </c>
      <c r="Q10" s="9" t="s">
        <v>98</v>
      </c>
      <c r="R10" s="9" t="s">
        <v>99</v>
      </c>
      <c r="S10" s="9" t="s">
        <v>100</v>
      </c>
      <c r="T10" s="9" t="s">
        <v>14</v>
      </c>
      <c r="U10" s="9" t="s">
        <v>101</v>
      </c>
      <c r="V10" s="9" t="s">
        <v>102</v>
      </c>
      <c r="W10" s="9" t="s">
        <v>103</v>
      </c>
      <c r="X10" s="9" t="s">
        <v>104</v>
      </c>
      <c r="Y10" s="9" t="s">
        <v>105</v>
      </c>
      <c r="Z10" s="9" t="s">
        <v>106</v>
      </c>
      <c r="AA10" s="9" t="s">
        <v>107</v>
      </c>
      <c r="AB10" s="9"/>
      <c r="AC10" s="9"/>
      <c r="AD10" s="25"/>
      <c r="AE10" s="9" t="s">
        <v>84</v>
      </c>
      <c r="AF10" s="9" t="s">
        <v>85</v>
      </c>
      <c r="AG10" s="9" t="s">
        <v>86</v>
      </c>
      <c r="AH10" s="9" t="s">
        <v>87</v>
      </c>
      <c r="AI10" s="9" t="s">
        <v>88</v>
      </c>
      <c r="AJ10" s="9" t="s">
        <v>89</v>
      </c>
      <c r="AK10" s="9" t="s">
        <v>90</v>
      </c>
      <c r="AL10" s="9" t="s">
        <v>91</v>
      </c>
      <c r="AM10" s="9" t="s">
        <v>92</v>
      </c>
      <c r="AN10" s="9" t="s">
        <v>93</v>
      </c>
      <c r="AO10" s="9" t="s">
        <v>94</v>
      </c>
      <c r="AP10" s="9" t="s">
        <v>95</v>
      </c>
      <c r="AQ10" s="9" t="s">
        <v>96</v>
      </c>
      <c r="AR10" s="9" t="s">
        <v>97</v>
      </c>
      <c r="AS10" s="9" t="s">
        <v>98</v>
      </c>
      <c r="AT10" s="9" t="s">
        <v>99</v>
      </c>
      <c r="AU10" s="9" t="s">
        <v>100</v>
      </c>
      <c r="AV10" s="9" t="s">
        <v>14</v>
      </c>
      <c r="AW10" s="9" t="s">
        <v>101</v>
      </c>
      <c r="AX10" s="9" t="s">
        <v>102</v>
      </c>
      <c r="AY10" s="9" t="s">
        <v>103</v>
      </c>
      <c r="AZ10" s="9" t="s">
        <v>104</v>
      </c>
      <c r="BA10" s="9" t="s">
        <v>105</v>
      </c>
      <c r="BB10" s="9" t="s">
        <v>106</v>
      </c>
      <c r="BC10" s="9" t="s">
        <v>107</v>
      </c>
      <c r="BD10" s="25"/>
      <c r="BE10" s="25"/>
      <c r="BF10" s="25"/>
      <c r="BG10" s="25"/>
      <c r="BH10" s="25"/>
      <c r="BI10" s="25"/>
      <c r="BJ10" s="25"/>
    </row>
    <row r="11" spans="1:62" s="213"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9"/>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row>
    <row r="12" spans="1:62" ht="29.1" hidden="1" customHeight="1">
      <c r="A12" s="24"/>
      <c r="B12" t="s">
        <v>795</v>
      </c>
      <c r="C12" t="s">
        <v>796</v>
      </c>
      <c r="D12" t="s">
        <v>797</v>
      </c>
      <c r="E12" t="s">
        <v>798</v>
      </c>
      <c r="F12" t="s">
        <v>799</v>
      </c>
      <c r="G12" t="s">
        <v>800</v>
      </c>
      <c r="H12" t="s">
        <v>801</v>
      </c>
      <c r="I12" t="s">
        <v>802</v>
      </c>
      <c r="J12" t="s">
        <v>803</v>
      </c>
      <c r="K12" t="s">
        <v>804</v>
      </c>
      <c r="L12" t="s">
        <v>805</v>
      </c>
      <c r="M12" t="s">
        <v>806</v>
      </c>
      <c r="N12" t="s">
        <v>807</v>
      </c>
      <c r="O12" t="s">
        <v>808</v>
      </c>
      <c r="P12" t="s">
        <v>809</v>
      </c>
      <c r="Q12" t="s">
        <v>810</v>
      </c>
      <c r="R12" t="s">
        <v>811</v>
      </c>
      <c r="S12" t="s">
        <v>812</v>
      </c>
      <c r="T12" t="s">
        <v>813</v>
      </c>
      <c r="U12" t="s">
        <v>814</v>
      </c>
      <c r="V12" t="s">
        <v>815</v>
      </c>
      <c r="W12" t="s">
        <v>816</v>
      </c>
      <c r="X12" t="s">
        <v>817</v>
      </c>
      <c r="Y12" t="s">
        <v>818</v>
      </c>
      <c r="Z12" t="s">
        <v>819</v>
      </c>
      <c r="AA12" t="s">
        <v>820</v>
      </c>
      <c r="AB12" t="s">
        <v>821</v>
      </c>
      <c r="AC12" t="s">
        <v>822</v>
      </c>
      <c r="AD12" t="s">
        <v>823</v>
      </c>
      <c r="AE12" t="s">
        <v>824</v>
      </c>
      <c r="AF12" t="s">
        <v>825</v>
      </c>
      <c r="AG12" t="s">
        <v>826</v>
      </c>
      <c r="AH12" t="s">
        <v>827</v>
      </c>
      <c r="AI12" t="s">
        <v>828</v>
      </c>
      <c r="AJ12" t="s">
        <v>829</v>
      </c>
      <c r="AK12" t="s">
        <v>830</v>
      </c>
      <c r="AL12" t="s">
        <v>831</v>
      </c>
      <c r="AM12" t="s">
        <v>832</v>
      </c>
      <c r="AN12" t="s">
        <v>833</v>
      </c>
      <c r="AO12" t="s">
        <v>834</v>
      </c>
      <c r="AP12" t="s">
        <v>835</v>
      </c>
      <c r="AQ12" t="s">
        <v>836</v>
      </c>
      <c r="AR12" t="s">
        <v>837</v>
      </c>
      <c r="AS12" t="s">
        <v>838</v>
      </c>
      <c r="AT12" t="s">
        <v>839</v>
      </c>
      <c r="AU12" t="s">
        <v>840</v>
      </c>
      <c r="AV12" t="s">
        <v>841</v>
      </c>
      <c r="AW12" t="s">
        <v>842</v>
      </c>
      <c r="AX12" t="s">
        <v>843</v>
      </c>
      <c r="AY12" t="s">
        <v>844</v>
      </c>
      <c r="AZ12" t="s">
        <v>845</v>
      </c>
      <c r="BA12" t="s">
        <v>846</v>
      </c>
      <c r="BB12" t="s">
        <v>847</v>
      </c>
      <c r="BC12" t="s">
        <v>848</v>
      </c>
      <c r="BD12" t="s">
        <v>849</v>
      </c>
      <c r="BE12" t="s">
        <v>850</v>
      </c>
      <c r="BF12" t="s">
        <v>851</v>
      </c>
      <c r="BG12" t="s">
        <v>852</v>
      </c>
      <c r="BH12" t="s">
        <v>853</v>
      </c>
      <c r="BI12" t="s">
        <v>854</v>
      </c>
      <c r="BJ12" t="s">
        <v>855</v>
      </c>
    </row>
    <row r="13" spans="1:62" s="4" customFormat="1" ht="29.1" customHeight="1">
      <c r="A13" s="13"/>
      <c r="B13" s="248"/>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
      </c>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92" t="str" cm="1">
        <f t="array" ref="BE13">MultiMatch(LearningOutcomes[[#This Row],[LearningOutcome.learningOutcomeType.Reference.]],Vocabularies[name],0)</f>
        <v/>
      </c>
      <c r="BF13" s="89"/>
      <c r="BG13" s="13" t="str" cm="1">
        <f t="array" ref="BG13">MultiMatch(LearningOutcomes[[#This Row],[LearningOutcome.reusabilityLevel.Reference.]],Vocabularies[name],0)</f>
        <v/>
      </c>
      <c r="BH13" s="12"/>
      <c r="BI13" s="12"/>
      <c r="BJ13" s="12"/>
    </row>
  </sheetData>
  <sheetProtection formatColumns="0"/>
  <phoneticPr fontId="12" type="noConversion"/>
  <dataValidations count="2">
    <dataValidation type="list" allowBlank="1" showInputMessage="1" showErrorMessage="1" sqref="BD13">
      <formula1>LOTypeNames</formula1>
    </dataValidation>
    <dataValidation type="list" allowBlank="1" showInputMessage="1" showErrorMessage="1" sqref="BF13">
      <formula1>SkillReuseNames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B13"/>
  <sheetViews>
    <sheetView zoomScale="80" zoomScaleNormal="80" workbookViewId="0">
      <pane xSplit="27" ySplit="12" topLeftCell="HR13" activePane="bottomRight" state="frozen"/>
      <selection pane="topRight" activeCell="AB1" sqref="AB1"/>
      <selection pane="bottomLeft" activeCell="A13" sqref="A13"/>
      <selection pane="bottomRight" activeCell="DI21" sqref="DI21"/>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9" width="20.85546875" style="81" customWidth="1"/>
    <col min="30" max="30" width="35.85546875" style="81" customWidth="1"/>
    <col min="31" max="55" width="35.85546875" style="81" hidden="1" customWidth="1"/>
    <col min="56" max="57" width="17.85546875" style="81" customWidth="1"/>
    <col min="58" max="58" width="23.85546875" style="81" customWidth="1"/>
    <col min="59" max="59" width="30.85546875" style="81" customWidth="1"/>
    <col min="60" max="60" width="10.85546875" style="81" hidden="1" customWidth="1"/>
    <col min="61" max="61" width="25.85546875" style="81" customWidth="1"/>
    <col min="62" max="86" width="25.85546875" style="81" hidden="1" customWidth="1"/>
    <col min="87" max="87" width="25.85546875" style="81" customWidth="1"/>
    <col min="88" max="112" width="25.85546875" style="81" hidden="1" customWidth="1"/>
    <col min="113" max="113" width="25.85546875" style="81" customWidth="1"/>
    <col min="114" max="114" width="11.42578125" style="81" hidden="1" customWidth="1"/>
    <col min="115" max="115" width="30.85546875" style="81" customWidth="1"/>
    <col min="116" max="116" width="10.85546875" style="81" hidden="1" customWidth="1"/>
    <col min="117" max="117" width="30.85546875" style="81" customWidth="1"/>
    <col min="118" max="118" width="30.5703125" style="81" customWidth="1"/>
    <col min="119" max="143" width="30.5703125" style="81" hidden="1" customWidth="1"/>
    <col min="144" max="145" width="30.5703125" style="81" customWidth="1"/>
    <col min="146" max="170" width="30.5703125" style="81" hidden="1" customWidth="1"/>
    <col min="171" max="171" width="23.85546875" style="149" customWidth="1"/>
    <col min="172" max="196" width="23.85546875" style="111" hidden="1" customWidth="1"/>
    <col min="197" max="197" width="25.85546875" style="111" customWidth="1"/>
    <col min="198" max="198" width="20.85546875" style="111" customWidth="1"/>
    <col min="199" max="199" width="30.85546875" style="81" customWidth="1"/>
    <col min="200" max="224" width="30.85546875" style="81" hidden="1" customWidth="1"/>
    <col min="225" max="225" width="30.85546875" style="81" customWidth="1"/>
    <col min="226" max="226" width="25.5703125" style="81" customWidth="1"/>
    <col min="227" max="227" width="10.85546875" style="81" hidden="1" customWidth="1"/>
    <col min="228" max="228" width="25.5703125" style="81" customWidth="1"/>
    <col min="229" max="229" width="10.85546875" style="81" hidden="1" customWidth="1"/>
    <col min="230" max="230" width="25.140625" style="81" customWidth="1"/>
    <col min="231" max="231" width="17.5703125" style="81" customWidth="1"/>
    <col min="232" max="232" width="10.85546875" style="81" hidden="1" customWidth="1"/>
    <col min="233" max="235" width="30.85546875" style="81" customWidth="1"/>
    <col min="236" max="260" width="30.85546875" style="81" hidden="1" customWidth="1"/>
    <col min="261" max="261" width="30.85546875" style="81" customWidth="1"/>
    <col min="262" max="262" width="30.5703125" style="81" customWidth="1"/>
    <col min="263" max="287" width="30.5703125" style="81" hidden="1" customWidth="1"/>
    <col min="288" max="16384" width="9.140625" style="111"/>
  </cols>
  <sheetData>
    <row r="1" spans="1:288" s="135" customFormat="1" ht="23.25">
      <c r="A1" s="102" t="s">
        <v>856</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38"/>
      <c r="BO1" s="138"/>
      <c r="BP1" s="138"/>
      <c r="BQ1" s="138"/>
      <c r="BR1" s="138"/>
      <c r="BS1" s="138"/>
      <c r="BT1" s="138"/>
      <c r="BU1" s="138"/>
      <c r="BV1" s="138"/>
      <c r="BW1" s="138"/>
      <c r="BX1" s="138"/>
      <c r="BY1" s="138"/>
      <c r="BZ1" s="138"/>
      <c r="CA1" s="138"/>
      <c r="CB1" s="138"/>
      <c r="CC1" s="138"/>
      <c r="CD1" s="138"/>
      <c r="CE1" s="138"/>
      <c r="CF1" s="138"/>
      <c r="CG1" s="138"/>
      <c r="CH1" s="138"/>
      <c r="CI1" s="138"/>
      <c r="CJ1" s="138"/>
      <c r="CK1" s="138"/>
      <c r="CL1" s="138"/>
      <c r="CM1" s="138"/>
      <c r="CN1" s="138"/>
      <c r="CO1" s="138"/>
      <c r="CP1" s="138"/>
      <c r="CQ1" s="138"/>
      <c r="CR1" s="138"/>
      <c r="CS1" s="138"/>
      <c r="CT1" s="138"/>
      <c r="CU1" s="138"/>
      <c r="CV1" s="138"/>
      <c r="CW1" s="138"/>
      <c r="CX1" s="138"/>
      <c r="CY1" s="138"/>
      <c r="CZ1" s="138"/>
      <c r="DA1" s="138"/>
      <c r="DB1" s="138"/>
      <c r="DC1" s="138"/>
      <c r="DD1" s="138"/>
      <c r="DE1" s="138"/>
      <c r="DF1" s="138"/>
      <c r="DG1" s="138"/>
      <c r="DH1" s="138"/>
      <c r="DI1" s="138"/>
      <c r="DJ1" s="138"/>
      <c r="DK1" s="138"/>
      <c r="DL1" s="138"/>
      <c r="DM1" s="138"/>
      <c r="DN1" s="138"/>
      <c r="DO1" s="138"/>
      <c r="DP1" s="138"/>
      <c r="DQ1" s="138"/>
      <c r="DR1" s="138"/>
      <c r="DS1" s="138"/>
      <c r="DT1" s="138"/>
      <c r="DU1" s="138"/>
      <c r="DV1" s="138"/>
      <c r="DW1" s="138"/>
      <c r="DX1" s="138"/>
      <c r="DY1" s="138"/>
      <c r="DZ1" s="138"/>
      <c r="EA1" s="138"/>
      <c r="EB1" s="138"/>
      <c r="EC1" s="138"/>
      <c r="ED1" s="138"/>
      <c r="EE1" s="138"/>
      <c r="EF1" s="138"/>
      <c r="EG1" s="138"/>
      <c r="EH1" s="138"/>
      <c r="EI1" s="138"/>
      <c r="EJ1" s="138"/>
      <c r="EK1" s="138"/>
      <c r="EL1" s="138"/>
      <c r="EM1" s="138"/>
      <c r="EN1" s="138"/>
      <c r="EO1" s="138"/>
      <c r="EP1" s="139"/>
      <c r="EQ1" s="139"/>
      <c r="ER1" s="139"/>
      <c r="ES1" s="139"/>
      <c r="ET1" s="139"/>
      <c r="EU1" s="139"/>
      <c r="EV1" s="139"/>
      <c r="EW1" s="139"/>
      <c r="EX1" s="139"/>
      <c r="EY1" s="139"/>
      <c r="EZ1" s="139"/>
      <c r="FA1" s="139"/>
      <c r="FB1" s="139"/>
      <c r="FC1" s="139"/>
      <c r="FD1" s="139"/>
      <c r="FE1" s="139"/>
      <c r="FF1" s="139"/>
      <c r="FG1" s="139"/>
      <c r="FH1" s="139"/>
      <c r="FI1" s="139"/>
      <c r="FJ1" s="139"/>
      <c r="FK1" s="139"/>
      <c r="FL1" s="139"/>
      <c r="FM1" s="139"/>
      <c r="FN1" s="139"/>
      <c r="FO1" s="286" t="s">
        <v>472</v>
      </c>
      <c r="FP1" s="287"/>
      <c r="FQ1" s="287"/>
      <c r="FR1" s="287"/>
      <c r="FS1" s="287"/>
      <c r="FT1" s="287"/>
      <c r="FU1" s="287"/>
      <c r="FV1" s="287"/>
      <c r="FW1" s="287"/>
      <c r="FX1" s="287"/>
      <c r="FY1" s="287"/>
      <c r="FZ1" s="287"/>
      <c r="GA1" s="287"/>
      <c r="GB1" s="287"/>
      <c r="GC1" s="287"/>
      <c r="GD1" s="287"/>
      <c r="GE1" s="287"/>
      <c r="GF1" s="287"/>
      <c r="GG1" s="287"/>
      <c r="GH1" s="287"/>
      <c r="GI1" s="287"/>
      <c r="GJ1" s="287"/>
      <c r="GK1" s="287"/>
      <c r="GL1" s="287"/>
      <c r="GM1" s="287"/>
      <c r="GN1" s="287"/>
      <c r="GO1" s="287"/>
      <c r="GP1" s="287"/>
      <c r="GQ1" s="287"/>
      <c r="GR1" s="287"/>
      <c r="GS1" s="287"/>
      <c r="GT1" s="287"/>
      <c r="GU1" s="287"/>
      <c r="GV1" s="287"/>
      <c r="GW1" s="287"/>
      <c r="GX1" s="287"/>
      <c r="GY1" s="287"/>
      <c r="GZ1" s="287"/>
      <c r="HA1" s="287"/>
      <c r="HB1" s="287"/>
      <c r="HC1" s="287"/>
      <c r="HD1" s="287"/>
      <c r="HE1" s="287"/>
      <c r="HF1" s="287"/>
      <c r="HG1" s="287"/>
      <c r="HH1" s="287"/>
      <c r="HI1" s="287"/>
      <c r="HJ1" s="287"/>
      <c r="HK1" s="287"/>
      <c r="HL1" s="287"/>
      <c r="HM1" s="287"/>
      <c r="HN1" s="287"/>
      <c r="HO1" s="287"/>
      <c r="HP1" s="287"/>
      <c r="HQ1" s="287"/>
      <c r="HR1" s="287"/>
      <c r="HS1" s="287"/>
      <c r="HT1" s="287"/>
      <c r="HU1" s="287"/>
      <c r="HV1" s="287"/>
      <c r="HW1" s="287"/>
      <c r="HX1" s="287"/>
      <c r="HY1" s="287"/>
      <c r="HZ1" s="287"/>
      <c r="IA1" s="287"/>
      <c r="IB1" s="287"/>
      <c r="IC1" s="287"/>
      <c r="ID1" s="287"/>
      <c r="IE1" s="287"/>
      <c r="IF1" s="287"/>
      <c r="IG1" s="287"/>
      <c r="IH1" s="287"/>
      <c r="II1" s="287"/>
      <c r="IJ1" s="287"/>
      <c r="IK1" s="287"/>
      <c r="IL1" s="287"/>
      <c r="IM1" s="287"/>
      <c r="IN1" s="287"/>
      <c r="IO1" s="287"/>
      <c r="IP1" s="287"/>
      <c r="IQ1" s="287"/>
      <c r="IR1" s="287"/>
      <c r="IS1" s="287"/>
      <c r="IT1" s="287"/>
      <c r="IU1" s="287"/>
      <c r="IV1" s="287"/>
      <c r="IW1" s="287"/>
      <c r="IX1" s="287"/>
      <c r="IY1" s="287"/>
      <c r="IZ1" s="287"/>
      <c r="JA1" s="287"/>
      <c r="JB1" s="287"/>
      <c r="JC1" s="287"/>
      <c r="JD1" s="287"/>
      <c r="JE1" s="287"/>
      <c r="JF1" s="287"/>
      <c r="JG1" s="287"/>
      <c r="JH1" s="287"/>
      <c r="JI1" s="287"/>
      <c r="JJ1" s="287"/>
      <c r="JK1" s="287"/>
      <c r="JL1" s="287"/>
      <c r="JM1" s="287"/>
      <c r="JN1" s="287"/>
      <c r="JO1" s="287"/>
      <c r="JP1" s="287"/>
      <c r="JQ1" s="287"/>
      <c r="JR1" s="287"/>
      <c r="JS1" s="287"/>
      <c r="JT1" s="287"/>
      <c r="JU1" s="287"/>
      <c r="JV1" s="287"/>
      <c r="JW1" s="287"/>
      <c r="JX1" s="287"/>
      <c r="JY1" s="287"/>
      <c r="JZ1" s="287"/>
      <c r="KA1" s="287"/>
    </row>
    <row r="2" spans="1:288" s="113" customFormat="1" ht="18.75" hidden="1" customHeight="1">
      <c r="A2" s="82" t="s">
        <v>16</v>
      </c>
      <c r="B2" s="113" t="s">
        <v>202</v>
      </c>
      <c r="C2" s="113" t="s">
        <v>202</v>
      </c>
      <c r="D2" s="113" t="s">
        <v>202</v>
      </c>
      <c r="E2" s="113" t="s">
        <v>202</v>
      </c>
      <c r="F2" s="113" t="s">
        <v>202</v>
      </c>
      <c r="G2" s="113" t="s">
        <v>202</v>
      </c>
      <c r="H2" s="113" t="s">
        <v>202</v>
      </c>
      <c r="I2" s="113" t="s">
        <v>202</v>
      </c>
      <c r="J2" s="113" t="s">
        <v>202</v>
      </c>
      <c r="K2" s="113" t="s">
        <v>202</v>
      </c>
      <c r="L2" s="113" t="s">
        <v>202</v>
      </c>
      <c r="M2" s="113" t="s">
        <v>202</v>
      </c>
      <c r="N2" s="113" t="s">
        <v>202</v>
      </c>
      <c r="O2" s="113" t="s">
        <v>202</v>
      </c>
      <c r="P2" s="113" t="s">
        <v>202</v>
      </c>
      <c r="Q2" s="113" t="s">
        <v>202</v>
      </c>
      <c r="R2" s="113" t="s">
        <v>202</v>
      </c>
      <c r="S2" s="113" t="s">
        <v>202</v>
      </c>
      <c r="T2" s="113" t="s">
        <v>202</v>
      </c>
      <c r="U2" s="113" t="s">
        <v>202</v>
      </c>
      <c r="V2" s="113" t="s">
        <v>202</v>
      </c>
      <c r="W2" s="113" t="s">
        <v>202</v>
      </c>
      <c r="X2" s="113" t="s">
        <v>202</v>
      </c>
      <c r="Y2" s="113" t="s">
        <v>202</v>
      </c>
      <c r="Z2" s="113" t="s">
        <v>202</v>
      </c>
      <c r="AA2" s="113" t="s">
        <v>202</v>
      </c>
      <c r="AB2" s="82" t="s">
        <v>857</v>
      </c>
      <c r="AC2" s="82" t="s">
        <v>857</v>
      </c>
      <c r="AD2" s="113" t="s">
        <v>202</v>
      </c>
      <c r="AE2" s="113" t="s">
        <v>202</v>
      </c>
      <c r="AF2" s="113" t="s">
        <v>202</v>
      </c>
      <c r="AG2" s="113" t="s">
        <v>202</v>
      </c>
      <c r="AH2" s="113" t="s">
        <v>202</v>
      </c>
      <c r="AI2" s="113" t="s">
        <v>202</v>
      </c>
      <c r="AJ2" s="113" t="s">
        <v>202</v>
      </c>
      <c r="AK2" s="113" t="s">
        <v>202</v>
      </c>
      <c r="AL2" s="113" t="s">
        <v>202</v>
      </c>
      <c r="AM2" s="113" t="s">
        <v>202</v>
      </c>
      <c r="AN2" s="113" t="s">
        <v>202</v>
      </c>
      <c r="AO2" s="113" t="s">
        <v>202</v>
      </c>
      <c r="AP2" s="113" t="s">
        <v>202</v>
      </c>
      <c r="AQ2" s="113" t="s">
        <v>202</v>
      </c>
      <c r="AR2" s="113" t="s">
        <v>202</v>
      </c>
      <c r="AS2" s="113" t="s">
        <v>202</v>
      </c>
      <c r="AT2" s="113" t="s">
        <v>202</v>
      </c>
      <c r="AU2" s="113" t="s">
        <v>202</v>
      </c>
      <c r="AV2" s="113" t="s">
        <v>202</v>
      </c>
      <c r="AW2" s="113" t="s">
        <v>202</v>
      </c>
      <c r="AX2" s="113" t="s">
        <v>202</v>
      </c>
      <c r="AY2" s="113" t="s">
        <v>202</v>
      </c>
      <c r="AZ2" s="113" t="s">
        <v>202</v>
      </c>
      <c r="BA2" s="113" t="s">
        <v>202</v>
      </c>
      <c r="BB2" s="113" t="s">
        <v>202</v>
      </c>
      <c r="BC2" s="113" t="s">
        <v>202</v>
      </c>
      <c r="BD2" s="113" t="s">
        <v>202</v>
      </c>
      <c r="BE2" s="113" t="s">
        <v>202</v>
      </c>
      <c r="BF2" s="202" t="s">
        <v>202</v>
      </c>
      <c r="BG2" s="113" t="s">
        <v>202</v>
      </c>
      <c r="BH2" s="113" t="s">
        <v>202</v>
      </c>
      <c r="BI2" s="82" t="s">
        <v>858</v>
      </c>
      <c r="BJ2" s="82" t="s">
        <v>858</v>
      </c>
      <c r="BK2" s="82" t="s">
        <v>858</v>
      </c>
      <c r="BL2" s="82" t="s">
        <v>858</v>
      </c>
      <c r="BM2" s="82" t="s">
        <v>858</v>
      </c>
      <c r="BN2" s="82" t="s">
        <v>858</v>
      </c>
      <c r="BO2" s="82" t="s">
        <v>858</v>
      </c>
      <c r="BP2" s="82" t="s">
        <v>858</v>
      </c>
      <c r="BQ2" s="82" t="s">
        <v>858</v>
      </c>
      <c r="BR2" s="82" t="s">
        <v>858</v>
      </c>
      <c r="BS2" s="82" t="s">
        <v>858</v>
      </c>
      <c r="BT2" s="82" t="s">
        <v>858</v>
      </c>
      <c r="BU2" s="82" t="s">
        <v>858</v>
      </c>
      <c r="BV2" s="82" t="s">
        <v>858</v>
      </c>
      <c r="BW2" s="82" t="s">
        <v>858</v>
      </c>
      <c r="BX2" s="82" t="s">
        <v>858</v>
      </c>
      <c r="BY2" s="82" t="s">
        <v>858</v>
      </c>
      <c r="BZ2" s="82" t="s">
        <v>858</v>
      </c>
      <c r="CA2" s="82" t="s">
        <v>858</v>
      </c>
      <c r="CB2" s="82" t="s">
        <v>858</v>
      </c>
      <c r="CC2" s="82" t="s">
        <v>858</v>
      </c>
      <c r="CD2" s="82" t="s">
        <v>858</v>
      </c>
      <c r="CE2" s="82" t="s">
        <v>858</v>
      </c>
      <c r="CF2" s="82" t="s">
        <v>858</v>
      </c>
      <c r="CG2" s="82" t="s">
        <v>858</v>
      </c>
      <c r="CH2" s="82" t="s">
        <v>858</v>
      </c>
      <c r="CI2" s="82" t="s">
        <v>859</v>
      </c>
      <c r="CJ2" s="82" t="s">
        <v>859</v>
      </c>
      <c r="CK2" s="82" t="s">
        <v>859</v>
      </c>
      <c r="CL2" s="82" t="s">
        <v>859</v>
      </c>
      <c r="CM2" s="82" t="s">
        <v>859</v>
      </c>
      <c r="CN2" s="82" t="s">
        <v>859</v>
      </c>
      <c r="CO2" s="82" t="s">
        <v>859</v>
      </c>
      <c r="CP2" s="82" t="s">
        <v>859</v>
      </c>
      <c r="CQ2" s="82" t="s">
        <v>859</v>
      </c>
      <c r="CR2" s="82" t="s">
        <v>859</v>
      </c>
      <c r="CS2" s="82" t="s">
        <v>859</v>
      </c>
      <c r="CT2" s="82" t="s">
        <v>859</v>
      </c>
      <c r="CU2" s="82" t="s">
        <v>859</v>
      </c>
      <c r="CV2" s="82" t="s">
        <v>859</v>
      </c>
      <c r="CW2" s="82" t="s">
        <v>859</v>
      </c>
      <c r="CX2" s="82" t="s">
        <v>859</v>
      </c>
      <c r="CY2" s="82" t="s">
        <v>859</v>
      </c>
      <c r="CZ2" s="82" t="s">
        <v>859</v>
      </c>
      <c r="DA2" s="82" t="s">
        <v>859</v>
      </c>
      <c r="DB2" s="82" t="s">
        <v>859</v>
      </c>
      <c r="DC2" s="82" t="s">
        <v>859</v>
      </c>
      <c r="DD2" s="82" t="s">
        <v>859</v>
      </c>
      <c r="DE2" s="82" t="s">
        <v>859</v>
      </c>
      <c r="DF2" s="82" t="s">
        <v>859</v>
      </c>
      <c r="DG2" s="82" t="s">
        <v>859</v>
      </c>
      <c r="DH2" s="82" t="s">
        <v>859</v>
      </c>
      <c r="DI2" s="82" t="s">
        <v>859</v>
      </c>
      <c r="DJ2" s="82" t="s">
        <v>859</v>
      </c>
      <c r="DK2" s="113" t="s">
        <v>202</v>
      </c>
      <c r="DL2" s="113" t="s">
        <v>202</v>
      </c>
      <c r="DM2" s="112" t="s">
        <v>202</v>
      </c>
      <c r="DN2" s="112" t="s">
        <v>202</v>
      </c>
      <c r="DO2" s="112" t="s">
        <v>202</v>
      </c>
      <c r="DP2" s="112" t="s">
        <v>202</v>
      </c>
      <c r="DQ2" s="112" t="s">
        <v>202</v>
      </c>
      <c r="DR2" s="112" t="s">
        <v>202</v>
      </c>
      <c r="DS2" s="112" t="s">
        <v>202</v>
      </c>
      <c r="DT2" s="112" t="s">
        <v>202</v>
      </c>
      <c r="DU2" s="112" t="s">
        <v>202</v>
      </c>
      <c r="DV2" s="112" t="s">
        <v>202</v>
      </c>
      <c r="DW2" s="112" t="s">
        <v>202</v>
      </c>
      <c r="DX2" s="112" t="s">
        <v>202</v>
      </c>
      <c r="DY2" s="112" t="s">
        <v>202</v>
      </c>
      <c r="DZ2" s="112" t="s">
        <v>202</v>
      </c>
      <c r="EA2" s="112" t="s">
        <v>202</v>
      </c>
      <c r="EB2" s="112" t="s">
        <v>202</v>
      </c>
      <c r="EC2" s="112" t="s">
        <v>202</v>
      </c>
      <c r="ED2" s="112" t="s">
        <v>202</v>
      </c>
      <c r="EE2" s="112" t="s">
        <v>202</v>
      </c>
      <c r="EF2" s="112" t="s">
        <v>202</v>
      </c>
      <c r="EG2" s="112" t="s">
        <v>202</v>
      </c>
      <c r="EH2" s="112" t="s">
        <v>202</v>
      </c>
      <c r="EI2" s="112" t="s">
        <v>202</v>
      </c>
      <c r="EJ2" s="112" t="s">
        <v>202</v>
      </c>
      <c r="EK2" s="112" t="s">
        <v>202</v>
      </c>
      <c r="EL2" s="112" t="s">
        <v>202</v>
      </c>
      <c r="EM2" s="112" t="s">
        <v>202</v>
      </c>
      <c r="EN2" s="112" t="s">
        <v>202</v>
      </c>
      <c r="EO2" s="112" t="s">
        <v>202</v>
      </c>
      <c r="EP2" s="112" t="s">
        <v>202</v>
      </c>
      <c r="EQ2" s="112" t="s">
        <v>202</v>
      </c>
      <c r="ER2" s="112" t="s">
        <v>202</v>
      </c>
      <c r="ES2" s="112" t="s">
        <v>202</v>
      </c>
      <c r="ET2" s="112" t="s">
        <v>202</v>
      </c>
      <c r="EU2" s="112" t="s">
        <v>202</v>
      </c>
      <c r="EV2" s="112" t="s">
        <v>202</v>
      </c>
      <c r="EW2" s="112" t="s">
        <v>202</v>
      </c>
      <c r="EX2" s="112" t="s">
        <v>202</v>
      </c>
      <c r="EY2" s="112" t="s">
        <v>202</v>
      </c>
      <c r="EZ2" s="112" t="s">
        <v>202</v>
      </c>
      <c r="FA2" s="112" t="s">
        <v>202</v>
      </c>
      <c r="FB2" s="112" t="s">
        <v>202</v>
      </c>
      <c r="FC2" s="112" t="s">
        <v>202</v>
      </c>
      <c r="FD2" s="112" t="s">
        <v>202</v>
      </c>
      <c r="FE2" s="112" t="s">
        <v>202</v>
      </c>
      <c r="FF2" s="112" t="s">
        <v>202</v>
      </c>
      <c r="FG2" s="112" t="s">
        <v>202</v>
      </c>
      <c r="FH2" s="112" t="s">
        <v>202</v>
      </c>
      <c r="FI2" s="112" t="s">
        <v>202</v>
      </c>
      <c r="FJ2" s="112" t="s">
        <v>202</v>
      </c>
      <c r="FK2" s="112" t="s">
        <v>202</v>
      </c>
      <c r="FL2" s="112" t="s">
        <v>202</v>
      </c>
      <c r="FM2" s="112" t="s">
        <v>202</v>
      </c>
      <c r="FN2" s="112" t="s">
        <v>202</v>
      </c>
      <c r="FO2" s="140" t="s">
        <v>860</v>
      </c>
      <c r="FP2" s="112" t="s">
        <v>860</v>
      </c>
      <c r="FQ2" s="112" t="s">
        <v>860</v>
      </c>
      <c r="FR2" s="112" t="s">
        <v>860</v>
      </c>
      <c r="FS2" s="112" t="s">
        <v>860</v>
      </c>
      <c r="FT2" s="112" t="s">
        <v>860</v>
      </c>
      <c r="FU2" s="112" t="s">
        <v>860</v>
      </c>
      <c r="FV2" s="112" t="s">
        <v>860</v>
      </c>
      <c r="FW2" s="112" t="s">
        <v>860</v>
      </c>
      <c r="FX2" s="112" t="s">
        <v>860</v>
      </c>
      <c r="FY2" s="112" t="s">
        <v>860</v>
      </c>
      <c r="FZ2" s="112" t="s">
        <v>860</v>
      </c>
      <c r="GA2" s="112" t="s">
        <v>860</v>
      </c>
      <c r="GB2" s="112" t="s">
        <v>860</v>
      </c>
      <c r="GC2" s="112" t="s">
        <v>860</v>
      </c>
      <c r="GD2" s="112" t="s">
        <v>860</v>
      </c>
      <c r="GE2" s="112" t="s">
        <v>860</v>
      </c>
      <c r="GF2" s="112" t="s">
        <v>860</v>
      </c>
      <c r="GG2" s="112" t="s">
        <v>860</v>
      </c>
      <c r="GH2" s="112" t="s">
        <v>860</v>
      </c>
      <c r="GI2" s="112" t="s">
        <v>860</v>
      </c>
      <c r="GJ2" s="112" t="s">
        <v>860</v>
      </c>
      <c r="GK2" s="112" t="s">
        <v>860</v>
      </c>
      <c r="GL2" s="112" t="s">
        <v>860</v>
      </c>
      <c r="GM2" s="112" t="s">
        <v>860</v>
      </c>
      <c r="GN2" s="112" t="s">
        <v>860</v>
      </c>
      <c r="GO2" s="82" t="s">
        <v>861</v>
      </c>
      <c r="GP2" s="82" t="s">
        <v>861</v>
      </c>
      <c r="GQ2" s="112" t="s">
        <v>860</v>
      </c>
      <c r="GR2" s="112" t="s">
        <v>860</v>
      </c>
      <c r="GS2" s="112" t="s">
        <v>860</v>
      </c>
      <c r="GT2" s="112" t="s">
        <v>860</v>
      </c>
      <c r="GU2" s="112" t="s">
        <v>860</v>
      </c>
      <c r="GV2" s="112" t="s">
        <v>860</v>
      </c>
      <c r="GW2" s="112" t="s">
        <v>860</v>
      </c>
      <c r="GX2" s="112" t="s">
        <v>860</v>
      </c>
      <c r="GY2" s="112" t="s">
        <v>860</v>
      </c>
      <c r="GZ2" s="112" t="s">
        <v>860</v>
      </c>
      <c r="HA2" s="112" t="s">
        <v>860</v>
      </c>
      <c r="HB2" s="112" t="s">
        <v>860</v>
      </c>
      <c r="HC2" s="112" t="s">
        <v>860</v>
      </c>
      <c r="HD2" s="112" t="s">
        <v>860</v>
      </c>
      <c r="HE2" s="112" t="s">
        <v>860</v>
      </c>
      <c r="HF2" s="112" t="s">
        <v>860</v>
      </c>
      <c r="HG2" s="112" t="s">
        <v>860</v>
      </c>
      <c r="HH2" s="112" t="s">
        <v>860</v>
      </c>
      <c r="HI2" s="112" t="s">
        <v>860</v>
      </c>
      <c r="HJ2" s="112" t="s">
        <v>860</v>
      </c>
      <c r="HK2" s="112" t="s">
        <v>860</v>
      </c>
      <c r="HL2" s="112" t="s">
        <v>860</v>
      </c>
      <c r="HM2" s="112" t="s">
        <v>860</v>
      </c>
      <c r="HN2" s="112" t="s">
        <v>860</v>
      </c>
      <c r="HO2" s="112" t="s">
        <v>860</v>
      </c>
      <c r="HP2" s="112" t="s">
        <v>860</v>
      </c>
      <c r="HQ2" s="112" t="s">
        <v>862</v>
      </c>
      <c r="HR2" s="112" t="s">
        <v>860</v>
      </c>
      <c r="HS2" s="112" t="s">
        <v>860</v>
      </c>
      <c r="HT2" s="112" t="s">
        <v>860</v>
      </c>
      <c r="HU2" s="112" t="s">
        <v>860</v>
      </c>
      <c r="HV2" s="112" t="s">
        <v>202</v>
      </c>
      <c r="HW2" s="112" t="s">
        <v>860</v>
      </c>
      <c r="HX2" s="112" t="s">
        <v>860</v>
      </c>
      <c r="HY2" s="113" t="s">
        <v>863</v>
      </c>
      <c r="HZ2" s="113" t="s">
        <v>860</v>
      </c>
      <c r="IA2" s="113" t="s">
        <v>860</v>
      </c>
      <c r="IB2" s="113" t="s">
        <v>860</v>
      </c>
      <c r="IC2" s="113" t="s">
        <v>860</v>
      </c>
      <c r="ID2" s="113" t="s">
        <v>860</v>
      </c>
      <c r="IE2" s="113" t="s">
        <v>860</v>
      </c>
      <c r="IF2" s="113" t="s">
        <v>860</v>
      </c>
      <c r="IG2" s="113" t="s">
        <v>860</v>
      </c>
      <c r="IH2" s="113" t="s">
        <v>860</v>
      </c>
      <c r="II2" s="113" t="s">
        <v>860</v>
      </c>
      <c r="IJ2" s="113" t="s">
        <v>860</v>
      </c>
      <c r="IK2" s="113" t="s">
        <v>860</v>
      </c>
      <c r="IL2" s="113" t="s">
        <v>860</v>
      </c>
      <c r="IM2" s="113" t="s">
        <v>860</v>
      </c>
      <c r="IN2" s="113" t="s">
        <v>860</v>
      </c>
      <c r="IO2" s="113" t="s">
        <v>860</v>
      </c>
      <c r="IP2" s="113" t="s">
        <v>860</v>
      </c>
      <c r="IQ2" s="113" t="s">
        <v>860</v>
      </c>
      <c r="IR2" s="113" t="s">
        <v>860</v>
      </c>
      <c r="IS2" s="113" t="s">
        <v>860</v>
      </c>
      <c r="IT2" s="113" t="s">
        <v>860</v>
      </c>
      <c r="IU2" s="113" t="s">
        <v>860</v>
      </c>
      <c r="IV2" s="113" t="s">
        <v>860</v>
      </c>
      <c r="IW2" s="113" t="s">
        <v>860</v>
      </c>
      <c r="IX2" s="113" t="s">
        <v>860</v>
      </c>
      <c r="IY2" s="113" t="s">
        <v>860</v>
      </c>
      <c r="IZ2" s="113" t="s">
        <v>860</v>
      </c>
      <c r="JA2" s="113" t="s">
        <v>860</v>
      </c>
      <c r="JB2" s="113" t="s">
        <v>860</v>
      </c>
      <c r="JC2" s="113" t="s">
        <v>860</v>
      </c>
      <c r="JD2" s="113" t="s">
        <v>860</v>
      </c>
      <c r="JE2" s="113" t="s">
        <v>860</v>
      </c>
      <c r="JF2" s="113" t="s">
        <v>860</v>
      </c>
      <c r="JG2" s="113" t="s">
        <v>860</v>
      </c>
      <c r="JH2" s="113" t="s">
        <v>860</v>
      </c>
      <c r="JI2" s="113" t="s">
        <v>860</v>
      </c>
      <c r="JJ2" s="113" t="s">
        <v>860</v>
      </c>
      <c r="JK2" s="113" t="s">
        <v>860</v>
      </c>
      <c r="JL2" s="113" t="s">
        <v>860</v>
      </c>
      <c r="JM2" s="113" t="s">
        <v>860</v>
      </c>
      <c r="JN2" s="113" t="s">
        <v>860</v>
      </c>
      <c r="JO2" s="113" t="s">
        <v>860</v>
      </c>
      <c r="JP2" s="113" t="s">
        <v>860</v>
      </c>
      <c r="JQ2" s="113" t="s">
        <v>860</v>
      </c>
      <c r="JR2" s="113" t="s">
        <v>860</v>
      </c>
      <c r="JS2" s="113" t="s">
        <v>860</v>
      </c>
      <c r="JT2" s="113" t="s">
        <v>860</v>
      </c>
      <c r="JU2" s="113" t="s">
        <v>860</v>
      </c>
      <c r="JV2" s="113" t="s">
        <v>860</v>
      </c>
      <c r="JW2" s="113" t="s">
        <v>860</v>
      </c>
      <c r="JX2" s="113" t="s">
        <v>860</v>
      </c>
      <c r="JY2" s="113" t="s">
        <v>860</v>
      </c>
      <c r="JZ2" s="113" t="s">
        <v>860</v>
      </c>
      <c r="KA2" s="113" t="s">
        <v>860</v>
      </c>
    </row>
    <row r="3" spans="1:288" s="113" customFormat="1" ht="24.6"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82" t="s">
        <v>190</v>
      </c>
      <c r="AC3" s="82" t="s">
        <v>35</v>
      </c>
      <c r="AD3" s="96" t="s">
        <v>70</v>
      </c>
      <c r="AE3" s="96" t="s">
        <v>70</v>
      </c>
      <c r="AF3" s="96" t="s">
        <v>70</v>
      </c>
      <c r="AG3" s="96" t="s">
        <v>70</v>
      </c>
      <c r="AH3" s="96" t="s">
        <v>70</v>
      </c>
      <c r="AI3" s="96" t="s">
        <v>70</v>
      </c>
      <c r="AJ3" s="96" t="s">
        <v>70</v>
      </c>
      <c r="AK3" s="96" t="s">
        <v>70</v>
      </c>
      <c r="AL3" s="96" t="s">
        <v>70</v>
      </c>
      <c r="AM3" s="96" t="s">
        <v>70</v>
      </c>
      <c r="AN3" s="96" t="s">
        <v>70</v>
      </c>
      <c r="AO3" s="96" t="s">
        <v>70</v>
      </c>
      <c r="AP3" s="96" t="s">
        <v>70</v>
      </c>
      <c r="AQ3" s="96" t="s">
        <v>70</v>
      </c>
      <c r="AR3" s="96" t="s">
        <v>70</v>
      </c>
      <c r="AS3" s="96" t="s">
        <v>70</v>
      </c>
      <c r="AT3" s="96" t="s">
        <v>70</v>
      </c>
      <c r="AU3" s="96" t="s">
        <v>70</v>
      </c>
      <c r="AV3" s="96" t="s">
        <v>70</v>
      </c>
      <c r="AW3" s="96" t="s">
        <v>70</v>
      </c>
      <c r="AX3" s="96" t="s">
        <v>70</v>
      </c>
      <c r="AY3" s="96" t="s">
        <v>70</v>
      </c>
      <c r="AZ3" s="96" t="s">
        <v>70</v>
      </c>
      <c r="BA3" s="96" t="s">
        <v>70</v>
      </c>
      <c r="BB3" s="96" t="s">
        <v>70</v>
      </c>
      <c r="BC3" s="96" t="s">
        <v>70</v>
      </c>
      <c r="BD3" s="96" t="s">
        <v>864</v>
      </c>
      <c r="BE3" s="96" t="s">
        <v>865</v>
      </c>
      <c r="BF3" s="203" t="s">
        <v>866</v>
      </c>
      <c r="BG3" s="96" t="s">
        <v>867</v>
      </c>
      <c r="BH3" s="96" t="s">
        <v>868</v>
      </c>
      <c r="BI3" s="82" t="s">
        <v>320</v>
      </c>
      <c r="BJ3" s="82" t="s">
        <v>320</v>
      </c>
      <c r="BK3" s="82" t="s">
        <v>320</v>
      </c>
      <c r="BL3" s="82" t="s">
        <v>320</v>
      </c>
      <c r="BM3" s="82" t="s">
        <v>320</v>
      </c>
      <c r="BN3" s="82" t="s">
        <v>320</v>
      </c>
      <c r="BO3" s="82" t="s">
        <v>320</v>
      </c>
      <c r="BP3" s="82" t="s">
        <v>320</v>
      </c>
      <c r="BQ3" s="82" t="s">
        <v>320</v>
      </c>
      <c r="BR3" s="82" t="s">
        <v>320</v>
      </c>
      <c r="BS3" s="82" t="s">
        <v>320</v>
      </c>
      <c r="BT3" s="82" t="s">
        <v>320</v>
      </c>
      <c r="BU3" s="82" t="s">
        <v>320</v>
      </c>
      <c r="BV3" s="82" t="s">
        <v>320</v>
      </c>
      <c r="BW3" s="82" t="s">
        <v>320</v>
      </c>
      <c r="BX3" s="82" t="s">
        <v>320</v>
      </c>
      <c r="BY3" s="82" t="s">
        <v>320</v>
      </c>
      <c r="BZ3" s="82" t="s">
        <v>320</v>
      </c>
      <c r="CA3" s="82" t="s">
        <v>320</v>
      </c>
      <c r="CB3" s="82" t="s">
        <v>320</v>
      </c>
      <c r="CC3" s="82" t="s">
        <v>320</v>
      </c>
      <c r="CD3" s="82" t="s">
        <v>320</v>
      </c>
      <c r="CE3" s="82" t="s">
        <v>320</v>
      </c>
      <c r="CF3" s="82" t="s">
        <v>320</v>
      </c>
      <c r="CG3" s="82" t="s">
        <v>320</v>
      </c>
      <c r="CH3" s="82" t="s">
        <v>320</v>
      </c>
      <c r="CI3" s="82" t="s">
        <v>193</v>
      </c>
      <c r="CJ3" s="82" t="s">
        <v>193</v>
      </c>
      <c r="CK3" s="82" t="s">
        <v>193</v>
      </c>
      <c r="CL3" s="82" t="s">
        <v>193</v>
      </c>
      <c r="CM3" s="82" t="s">
        <v>193</v>
      </c>
      <c r="CN3" s="82" t="s">
        <v>193</v>
      </c>
      <c r="CO3" s="82" t="s">
        <v>193</v>
      </c>
      <c r="CP3" s="82" t="s">
        <v>193</v>
      </c>
      <c r="CQ3" s="82" t="s">
        <v>193</v>
      </c>
      <c r="CR3" s="82" t="s">
        <v>193</v>
      </c>
      <c r="CS3" s="82" t="s">
        <v>193</v>
      </c>
      <c r="CT3" s="82" t="s">
        <v>193</v>
      </c>
      <c r="CU3" s="82" t="s">
        <v>193</v>
      </c>
      <c r="CV3" s="82" t="s">
        <v>193</v>
      </c>
      <c r="CW3" s="82" t="s">
        <v>193</v>
      </c>
      <c r="CX3" s="82" t="s">
        <v>193</v>
      </c>
      <c r="CY3" s="82" t="s">
        <v>193</v>
      </c>
      <c r="CZ3" s="82" t="s">
        <v>193</v>
      </c>
      <c r="DA3" s="82" t="s">
        <v>193</v>
      </c>
      <c r="DB3" s="82" t="s">
        <v>193</v>
      </c>
      <c r="DC3" s="82" t="s">
        <v>193</v>
      </c>
      <c r="DD3" s="82" t="s">
        <v>193</v>
      </c>
      <c r="DE3" s="82" t="s">
        <v>193</v>
      </c>
      <c r="DF3" s="82" t="s">
        <v>193</v>
      </c>
      <c r="DG3" s="82" t="s">
        <v>193</v>
      </c>
      <c r="DH3" s="82" t="s">
        <v>193</v>
      </c>
      <c r="DI3" s="82" t="s">
        <v>194</v>
      </c>
      <c r="DJ3" s="82" t="s">
        <v>194</v>
      </c>
      <c r="DK3" s="96" t="s">
        <v>485</v>
      </c>
      <c r="DL3" s="96" t="s">
        <v>485</v>
      </c>
      <c r="DM3" s="96" t="s">
        <v>499</v>
      </c>
      <c r="DN3" s="96" t="s">
        <v>499</v>
      </c>
      <c r="DO3" s="96" t="s">
        <v>499</v>
      </c>
      <c r="DP3" s="96" t="s">
        <v>499</v>
      </c>
      <c r="DQ3" s="96" t="s">
        <v>499</v>
      </c>
      <c r="DR3" s="96" t="s">
        <v>499</v>
      </c>
      <c r="DS3" s="96" t="s">
        <v>499</v>
      </c>
      <c r="DT3" s="96" t="s">
        <v>499</v>
      </c>
      <c r="DU3" s="96" t="s">
        <v>499</v>
      </c>
      <c r="DV3" s="96" t="s">
        <v>499</v>
      </c>
      <c r="DW3" s="96" t="s">
        <v>499</v>
      </c>
      <c r="DX3" s="96" t="s">
        <v>499</v>
      </c>
      <c r="DY3" s="96" t="s">
        <v>499</v>
      </c>
      <c r="DZ3" s="96" t="s">
        <v>499</v>
      </c>
      <c r="EA3" s="96" t="s">
        <v>499</v>
      </c>
      <c r="EB3" s="96" t="s">
        <v>499</v>
      </c>
      <c r="EC3" s="96" t="s">
        <v>499</v>
      </c>
      <c r="ED3" s="96" t="s">
        <v>499</v>
      </c>
      <c r="EE3" s="96" t="s">
        <v>499</v>
      </c>
      <c r="EF3" s="96" t="s">
        <v>499</v>
      </c>
      <c r="EG3" s="96" t="s">
        <v>499</v>
      </c>
      <c r="EH3" s="96" t="s">
        <v>499</v>
      </c>
      <c r="EI3" s="96" t="s">
        <v>499</v>
      </c>
      <c r="EJ3" s="96" t="s">
        <v>499</v>
      </c>
      <c r="EK3" s="96" t="s">
        <v>499</v>
      </c>
      <c r="EL3" s="96" t="s">
        <v>499</v>
      </c>
      <c r="EM3" s="96" t="s">
        <v>499</v>
      </c>
      <c r="EN3" s="96" t="s">
        <v>499</v>
      </c>
      <c r="EO3" s="96" t="s">
        <v>499</v>
      </c>
      <c r="EP3" s="96" t="s">
        <v>499</v>
      </c>
      <c r="EQ3" s="96" t="s">
        <v>499</v>
      </c>
      <c r="ER3" s="96" t="s">
        <v>499</v>
      </c>
      <c r="ES3" s="96" t="s">
        <v>499</v>
      </c>
      <c r="ET3" s="96" t="s">
        <v>499</v>
      </c>
      <c r="EU3" s="96" t="s">
        <v>499</v>
      </c>
      <c r="EV3" s="96" t="s">
        <v>499</v>
      </c>
      <c r="EW3" s="96" t="s">
        <v>499</v>
      </c>
      <c r="EX3" s="96" t="s">
        <v>499</v>
      </c>
      <c r="EY3" s="96" t="s">
        <v>499</v>
      </c>
      <c r="EZ3" s="96" t="s">
        <v>499</v>
      </c>
      <c r="FA3" s="96" t="s">
        <v>499</v>
      </c>
      <c r="FB3" s="96" t="s">
        <v>499</v>
      </c>
      <c r="FC3" s="96" t="s">
        <v>499</v>
      </c>
      <c r="FD3" s="96" t="s">
        <v>499</v>
      </c>
      <c r="FE3" s="96" t="s">
        <v>499</v>
      </c>
      <c r="FF3" s="96" t="s">
        <v>499</v>
      </c>
      <c r="FG3" s="96" t="s">
        <v>499</v>
      </c>
      <c r="FH3" s="96" t="s">
        <v>499</v>
      </c>
      <c r="FI3" s="96" t="s">
        <v>499</v>
      </c>
      <c r="FJ3" s="96" t="s">
        <v>499</v>
      </c>
      <c r="FK3" s="96" t="s">
        <v>499</v>
      </c>
      <c r="FL3" s="96" t="s">
        <v>499</v>
      </c>
      <c r="FM3" s="96" t="s">
        <v>499</v>
      </c>
      <c r="FN3" s="96" t="s">
        <v>499</v>
      </c>
      <c r="FO3" s="141" t="s">
        <v>20</v>
      </c>
      <c r="FP3" s="113" t="s">
        <v>20</v>
      </c>
      <c r="FQ3" s="113" t="s">
        <v>20</v>
      </c>
      <c r="FR3" s="113" t="s">
        <v>20</v>
      </c>
      <c r="FS3" s="113" t="s">
        <v>20</v>
      </c>
      <c r="FT3" s="113" t="s">
        <v>20</v>
      </c>
      <c r="FU3" s="113" t="s">
        <v>20</v>
      </c>
      <c r="FV3" s="113" t="s">
        <v>20</v>
      </c>
      <c r="FW3" s="113" t="s">
        <v>20</v>
      </c>
      <c r="FX3" s="113" t="s">
        <v>20</v>
      </c>
      <c r="FY3" s="113" t="s">
        <v>20</v>
      </c>
      <c r="FZ3" s="113" t="s">
        <v>20</v>
      </c>
      <c r="GA3" s="113" t="s">
        <v>20</v>
      </c>
      <c r="GB3" s="113" t="s">
        <v>20</v>
      </c>
      <c r="GC3" s="113" t="s">
        <v>20</v>
      </c>
      <c r="GD3" s="113" t="s">
        <v>20</v>
      </c>
      <c r="GE3" s="113" t="s">
        <v>20</v>
      </c>
      <c r="GF3" s="113" t="s">
        <v>20</v>
      </c>
      <c r="GG3" s="113" t="s">
        <v>20</v>
      </c>
      <c r="GH3" s="113" t="s">
        <v>20</v>
      </c>
      <c r="GI3" s="113" t="s">
        <v>20</v>
      </c>
      <c r="GJ3" s="113" t="s">
        <v>20</v>
      </c>
      <c r="GK3" s="113" t="s">
        <v>20</v>
      </c>
      <c r="GL3" s="113" t="s">
        <v>20</v>
      </c>
      <c r="GM3" s="113" t="s">
        <v>20</v>
      </c>
      <c r="GN3" s="113" t="s">
        <v>20</v>
      </c>
      <c r="GO3" s="82" t="s">
        <v>190</v>
      </c>
      <c r="GP3" s="82" t="s">
        <v>35</v>
      </c>
      <c r="GQ3" s="96" t="s">
        <v>21</v>
      </c>
      <c r="GR3" s="96" t="s">
        <v>21</v>
      </c>
      <c r="GS3" s="96" t="s">
        <v>21</v>
      </c>
      <c r="GT3" s="96" t="s">
        <v>21</v>
      </c>
      <c r="GU3" s="96" t="s">
        <v>21</v>
      </c>
      <c r="GV3" s="96" t="s">
        <v>21</v>
      </c>
      <c r="GW3" s="96" t="s">
        <v>21</v>
      </c>
      <c r="GX3" s="96" t="s">
        <v>21</v>
      </c>
      <c r="GY3" s="96" t="s">
        <v>21</v>
      </c>
      <c r="GZ3" s="96" t="s">
        <v>21</v>
      </c>
      <c r="HA3" s="96" t="s">
        <v>21</v>
      </c>
      <c r="HB3" s="96" t="s">
        <v>21</v>
      </c>
      <c r="HC3" s="96" t="s">
        <v>21</v>
      </c>
      <c r="HD3" s="96" t="s">
        <v>21</v>
      </c>
      <c r="HE3" s="96" t="s">
        <v>21</v>
      </c>
      <c r="HF3" s="96" t="s">
        <v>21</v>
      </c>
      <c r="HG3" s="96" t="s">
        <v>21</v>
      </c>
      <c r="HH3" s="96" t="s">
        <v>21</v>
      </c>
      <c r="HI3" s="96" t="s">
        <v>21</v>
      </c>
      <c r="HJ3" s="96" t="s">
        <v>21</v>
      </c>
      <c r="HK3" s="96" t="s">
        <v>21</v>
      </c>
      <c r="HL3" s="96" t="s">
        <v>21</v>
      </c>
      <c r="HM3" s="96" t="s">
        <v>21</v>
      </c>
      <c r="HN3" s="96" t="s">
        <v>21</v>
      </c>
      <c r="HO3" s="96" t="s">
        <v>21</v>
      </c>
      <c r="HP3" s="96" t="s">
        <v>21</v>
      </c>
      <c r="HQ3" s="96" t="s">
        <v>192</v>
      </c>
      <c r="HR3" s="96" t="s">
        <v>869</v>
      </c>
      <c r="HS3" s="96" t="s">
        <v>869</v>
      </c>
      <c r="HT3" s="96" t="s">
        <v>494</v>
      </c>
      <c r="HU3" s="96" t="s">
        <v>494</v>
      </c>
      <c r="HV3" s="96" t="s">
        <v>870</v>
      </c>
      <c r="HW3" s="96" t="s">
        <v>495</v>
      </c>
      <c r="HX3" s="96" t="s">
        <v>495</v>
      </c>
      <c r="HY3" s="96" t="s">
        <v>192</v>
      </c>
      <c r="HZ3" s="96" t="s">
        <v>499</v>
      </c>
      <c r="IA3" s="96" t="s">
        <v>499</v>
      </c>
      <c r="IB3" s="96" t="s">
        <v>499</v>
      </c>
      <c r="IC3" s="96" t="s">
        <v>499</v>
      </c>
      <c r="ID3" s="96" t="s">
        <v>499</v>
      </c>
      <c r="IE3" s="96" t="s">
        <v>499</v>
      </c>
      <c r="IF3" s="96" t="s">
        <v>499</v>
      </c>
      <c r="IG3" s="96" t="s">
        <v>499</v>
      </c>
      <c r="IH3" s="96" t="s">
        <v>499</v>
      </c>
      <c r="II3" s="96" t="s">
        <v>499</v>
      </c>
      <c r="IJ3" s="96" t="s">
        <v>499</v>
      </c>
      <c r="IK3" s="96" t="s">
        <v>499</v>
      </c>
      <c r="IL3" s="96" t="s">
        <v>499</v>
      </c>
      <c r="IM3" s="96" t="s">
        <v>499</v>
      </c>
      <c r="IN3" s="96" t="s">
        <v>499</v>
      </c>
      <c r="IO3" s="96" t="s">
        <v>499</v>
      </c>
      <c r="IP3" s="96" t="s">
        <v>499</v>
      </c>
      <c r="IQ3" s="96" t="s">
        <v>499</v>
      </c>
      <c r="IR3" s="96" t="s">
        <v>499</v>
      </c>
      <c r="IS3" s="96" t="s">
        <v>499</v>
      </c>
      <c r="IT3" s="96" t="s">
        <v>499</v>
      </c>
      <c r="IU3" s="96" t="s">
        <v>499</v>
      </c>
      <c r="IV3" s="96" t="s">
        <v>499</v>
      </c>
      <c r="IW3" s="96" t="s">
        <v>499</v>
      </c>
      <c r="IX3" s="96" t="s">
        <v>499</v>
      </c>
      <c r="IY3" s="96" t="s">
        <v>499</v>
      </c>
      <c r="IZ3" s="96" t="s">
        <v>499</v>
      </c>
      <c r="JA3" s="96" t="s">
        <v>499</v>
      </c>
      <c r="JB3" s="96" t="s">
        <v>499</v>
      </c>
      <c r="JC3" s="96" t="s">
        <v>499</v>
      </c>
      <c r="JD3" s="96" t="s">
        <v>499</v>
      </c>
      <c r="JE3" s="96" t="s">
        <v>499</v>
      </c>
      <c r="JF3" s="96" t="s">
        <v>499</v>
      </c>
      <c r="JG3" s="96" t="s">
        <v>499</v>
      </c>
      <c r="JH3" s="96" t="s">
        <v>499</v>
      </c>
      <c r="JI3" s="96" t="s">
        <v>499</v>
      </c>
      <c r="JJ3" s="96" t="s">
        <v>499</v>
      </c>
      <c r="JK3" s="96" t="s">
        <v>499</v>
      </c>
      <c r="JL3" s="96" t="s">
        <v>499</v>
      </c>
      <c r="JM3" s="96" t="s">
        <v>499</v>
      </c>
      <c r="JN3" s="96" t="s">
        <v>499</v>
      </c>
      <c r="JO3" s="96" t="s">
        <v>499</v>
      </c>
      <c r="JP3" s="96" t="s">
        <v>499</v>
      </c>
      <c r="JQ3" s="96" t="s">
        <v>499</v>
      </c>
      <c r="JR3" s="96" t="s">
        <v>499</v>
      </c>
      <c r="JS3" s="96" t="s">
        <v>499</v>
      </c>
      <c r="JT3" s="96" t="s">
        <v>499</v>
      </c>
      <c r="JU3" s="96" t="s">
        <v>499</v>
      </c>
      <c r="JV3" s="96" t="s">
        <v>499</v>
      </c>
      <c r="JW3" s="96" t="s">
        <v>499</v>
      </c>
      <c r="JX3" s="96" t="s">
        <v>499</v>
      </c>
      <c r="JY3" s="96" t="s">
        <v>499</v>
      </c>
      <c r="JZ3" s="96" t="s">
        <v>499</v>
      </c>
      <c r="KA3" s="96" t="s">
        <v>499</v>
      </c>
    </row>
    <row r="4" spans="1:288" s="113" customFormat="1" ht="24.6" hidden="1" customHeight="1">
      <c r="A4" s="82" t="s">
        <v>29</v>
      </c>
      <c r="B4" s="96" t="s">
        <v>30</v>
      </c>
      <c r="C4" s="96" t="s">
        <v>30</v>
      </c>
      <c r="D4" s="96" t="s">
        <v>30</v>
      </c>
      <c r="E4" s="96" t="s">
        <v>30</v>
      </c>
      <c r="F4" s="96" t="s">
        <v>30</v>
      </c>
      <c r="G4" s="96" t="s">
        <v>30</v>
      </c>
      <c r="H4" s="96" t="s">
        <v>30</v>
      </c>
      <c r="I4" s="96" t="s">
        <v>30</v>
      </c>
      <c r="J4" s="96" t="s">
        <v>30</v>
      </c>
      <c r="K4" s="96" t="s">
        <v>30</v>
      </c>
      <c r="L4" s="96" t="s">
        <v>30</v>
      </c>
      <c r="M4" s="96" t="s">
        <v>30</v>
      </c>
      <c r="N4" s="96" t="s">
        <v>30</v>
      </c>
      <c r="O4" s="96" t="s">
        <v>30</v>
      </c>
      <c r="P4" s="96" t="s">
        <v>30</v>
      </c>
      <c r="Q4" s="96" t="s">
        <v>30</v>
      </c>
      <c r="R4" s="96" t="s">
        <v>30</v>
      </c>
      <c r="S4" s="96" t="s">
        <v>30</v>
      </c>
      <c r="T4" s="96" t="s">
        <v>30</v>
      </c>
      <c r="U4" s="96" t="s">
        <v>30</v>
      </c>
      <c r="V4" s="96" t="s">
        <v>30</v>
      </c>
      <c r="W4" s="96" t="s">
        <v>30</v>
      </c>
      <c r="X4" s="96" t="s">
        <v>30</v>
      </c>
      <c r="Y4" s="96" t="s">
        <v>30</v>
      </c>
      <c r="Z4" s="96" t="s">
        <v>30</v>
      </c>
      <c r="AA4" s="96" t="s">
        <v>30</v>
      </c>
      <c r="AB4" s="82" t="s">
        <v>33</v>
      </c>
      <c r="AC4" s="82" t="s">
        <v>33</v>
      </c>
      <c r="AD4" s="96" t="s">
        <v>30</v>
      </c>
      <c r="AE4" s="96" t="s">
        <v>30</v>
      </c>
      <c r="AF4" s="96" t="s">
        <v>30</v>
      </c>
      <c r="AG4" s="96" t="s">
        <v>30</v>
      </c>
      <c r="AH4" s="96" t="s">
        <v>30</v>
      </c>
      <c r="AI4" s="96" t="s">
        <v>30</v>
      </c>
      <c r="AJ4" s="96" t="s">
        <v>30</v>
      </c>
      <c r="AK4" s="96" t="s">
        <v>30</v>
      </c>
      <c r="AL4" s="96" t="s">
        <v>30</v>
      </c>
      <c r="AM4" s="96" t="s">
        <v>30</v>
      </c>
      <c r="AN4" s="96" t="s">
        <v>30</v>
      </c>
      <c r="AO4" s="96" t="s">
        <v>30</v>
      </c>
      <c r="AP4" s="96" t="s">
        <v>30</v>
      </c>
      <c r="AQ4" s="96" t="s">
        <v>30</v>
      </c>
      <c r="AR4" s="96" t="s">
        <v>30</v>
      </c>
      <c r="AS4" s="96" t="s">
        <v>30</v>
      </c>
      <c r="AT4" s="96" t="s">
        <v>30</v>
      </c>
      <c r="AU4" s="96" t="s">
        <v>30</v>
      </c>
      <c r="AV4" s="96" t="s">
        <v>30</v>
      </c>
      <c r="AW4" s="96" t="s">
        <v>30</v>
      </c>
      <c r="AX4" s="96" t="s">
        <v>30</v>
      </c>
      <c r="AY4" s="96" t="s">
        <v>30</v>
      </c>
      <c r="AZ4" s="96" t="s">
        <v>30</v>
      </c>
      <c r="BA4" s="96" t="s">
        <v>30</v>
      </c>
      <c r="BB4" s="96" t="s">
        <v>30</v>
      </c>
      <c r="BC4" s="96" t="s">
        <v>30</v>
      </c>
      <c r="BD4" s="96" t="s">
        <v>30</v>
      </c>
      <c r="BE4" s="96" t="s">
        <v>30</v>
      </c>
      <c r="BF4" s="203" t="s">
        <v>30</v>
      </c>
      <c r="BG4" s="96" t="s">
        <v>31</v>
      </c>
      <c r="BH4" s="96" t="s">
        <v>32</v>
      </c>
      <c r="BI4" s="82" t="s">
        <v>33</v>
      </c>
      <c r="BJ4" s="82" t="s">
        <v>33</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82" t="s">
        <v>33</v>
      </c>
      <c r="CM4" s="82" t="s">
        <v>33</v>
      </c>
      <c r="CN4" s="82" t="s">
        <v>33</v>
      </c>
      <c r="CO4" s="82" t="s">
        <v>33</v>
      </c>
      <c r="CP4" s="82" t="s">
        <v>33</v>
      </c>
      <c r="CQ4" s="82" t="s">
        <v>33</v>
      </c>
      <c r="CR4" s="82" t="s">
        <v>33</v>
      </c>
      <c r="CS4" s="82" t="s">
        <v>33</v>
      </c>
      <c r="CT4" s="82" t="s">
        <v>33</v>
      </c>
      <c r="CU4" s="82" t="s">
        <v>33</v>
      </c>
      <c r="CV4" s="82" t="s">
        <v>33</v>
      </c>
      <c r="CW4" s="82" t="s">
        <v>33</v>
      </c>
      <c r="CX4" s="82" t="s">
        <v>33</v>
      </c>
      <c r="CY4" s="82" t="s">
        <v>33</v>
      </c>
      <c r="CZ4" s="82" t="s">
        <v>33</v>
      </c>
      <c r="DA4" s="82" t="s">
        <v>33</v>
      </c>
      <c r="DB4" s="82" t="s">
        <v>33</v>
      </c>
      <c r="DC4" s="82" t="s">
        <v>33</v>
      </c>
      <c r="DD4" s="82" t="s">
        <v>33</v>
      </c>
      <c r="DE4" s="82" t="s">
        <v>33</v>
      </c>
      <c r="DF4" s="82" t="s">
        <v>33</v>
      </c>
      <c r="DG4" s="82" t="s">
        <v>33</v>
      </c>
      <c r="DH4" s="82" t="s">
        <v>33</v>
      </c>
      <c r="DI4" s="82" t="s">
        <v>31</v>
      </c>
      <c r="DJ4" s="105" t="s">
        <v>198</v>
      </c>
      <c r="DK4" s="96" t="s">
        <v>199</v>
      </c>
      <c r="DL4" s="96" t="s">
        <v>32</v>
      </c>
      <c r="DM4" s="82" t="s">
        <v>33</v>
      </c>
      <c r="DN4" s="82" t="s">
        <v>33</v>
      </c>
      <c r="DO4" s="82" t="s">
        <v>33</v>
      </c>
      <c r="DP4" s="82" t="s">
        <v>33</v>
      </c>
      <c r="DQ4" s="82" t="s">
        <v>33</v>
      </c>
      <c r="DR4" s="82" t="s">
        <v>33</v>
      </c>
      <c r="DS4" s="82" t="s">
        <v>33</v>
      </c>
      <c r="DT4" s="82" t="s">
        <v>33</v>
      </c>
      <c r="DU4" s="82" t="s">
        <v>33</v>
      </c>
      <c r="DV4" s="82" t="s">
        <v>33</v>
      </c>
      <c r="DW4" s="82" t="s">
        <v>33</v>
      </c>
      <c r="DX4" s="82" t="s">
        <v>33</v>
      </c>
      <c r="DY4" s="82" t="s">
        <v>33</v>
      </c>
      <c r="DZ4" s="82" t="s">
        <v>33</v>
      </c>
      <c r="EA4" s="82" t="s">
        <v>33</v>
      </c>
      <c r="EB4" s="82" t="s">
        <v>33</v>
      </c>
      <c r="EC4" s="82" t="s">
        <v>33</v>
      </c>
      <c r="ED4" s="82" t="s">
        <v>33</v>
      </c>
      <c r="EE4" s="82" t="s">
        <v>33</v>
      </c>
      <c r="EF4" s="82" t="s">
        <v>33</v>
      </c>
      <c r="EG4" s="82" t="s">
        <v>33</v>
      </c>
      <c r="EH4" s="82" t="s">
        <v>33</v>
      </c>
      <c r="EI4" s="82" t="s">
        <v>33</v>
      </c>
      <c r="EJ4" s="82" t="s">
        <v>33</v>
      </c>
      <c r="EK4" s="82" t="s">
        <v>33</v>
      </c>
      <c r="EL4" s="82" t="s">
        <v>33</v>
      </c>
      <c r="EM4" s="82" t="s">
        <v>33</v>
      </c>
      <c r="EN4" s="82" t="s">
        <v>33</v>
      </c>
      <c r="EO4" s="82" t="s">
        <v>33</v>
      </c>
      <c r="EP4" s="82" t="s">
        <v>33</v>
      </c>
      <c r="EQ4" s="82" t="s">
        <v>33</v>
      </c>
      <c r="ER4" s="82" t="s">
        <v>33</v>
      </c>
      <c r="ES4" s="82" t="s">
        <v>33</v>
      </c>
      <c r="ET4" s="82" t="s">
        <v>33</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141" t="s">
        <v>33</v>
      </c>
      <c r="FP4" s="113" t="s">
        <v>33</v>
      </c>
      <c r="FQ4" s="113" t="s">
        <v>33</v>
      </c>
      <c r="FR4" s="113" t="s">
        <v>33</v>
      </c>
      <c r="FS4" s="113" t="s">
        <v>33</v>
      </c>
      <c r="FT4" s="113" t="s">
        <v>33</v>
      </c>
      <c r="FU4" s="113" t="s">
        <v>33</v>
      </c>
      <c r="FV4" s="113" t="s">
        <v>33</v>
      </c>
      <c r="FW4" s="113" t="s">
        <v>33</v>
      </c>
      <c r="FX4" s="113" t="s">
        <v>33</v>
      </c>
      <c r="FY4" s="113" t="s">
        <v>33</v>
      </c>
      <c r="FZ4" s="113" t="s">
        <v>33</v>
      </c>
      <c r="GA4" s="113" t="s">
        <v>33</v>
      </c>
      <c r="GB4" s="113" t="s">
        <v>33</v>
      </c>
      <c r="GC4" s="113" t="s">
        <v>33</v>
      </c>
      <c r="GD4" s="113" t="s">
        <v>33</v>
      </c>
      <c r="GE4" s="113" t="s">
        <v>33</v>
      </c>
      <c r="GF4" s="113" t="s">
        <v>33</v>
      </c>
      <c r="GG4" s="113" t="s">
        <v>33</v>
      </c>
      <c r="GH4" s="113" t="s">
        <v>33</v>
      </c>
      <c r="GI4" s="113" t="s">
        <v>33</v>
      </c>
      <c r="GJ4" s="113" t="s">
        <v>33</v>
      </c>
      <c r="GK4" s="113" t="s">
        <v>33</v>
      </c>
      <c r="GL4" s="113" t="s">
        <v>33</v>
      </c>
      <c r="GM4" s="113" t="s">
        <v>33</v>
      </c>
      <c r="GN4" s="113" t="s">
        <v>33</v>
      </c>
      <c r="GO4" s="82" t="s">
        <v>33</v>
      </c>
      <c r="GP4" s="82" t="s">
        <v>33</v>
      </c>
      <c r="GQ4" s="82" t="s">
        <v>33</v>
      </c>
      <c r="GR4" s="82" t="s">
        <v>33</v>
      </c>
      <c r="GS4" s="82" t="s">
        <v>33</v>
      </c>
      <c r="GT4" s="82" t="s">
        <v>33</v>
      </c>
      <c r="GU4" s="82" t="s">
        <v>33</v>
      </c>
      <c r="GV4" s="82" t="s">
        <v>33</v>
      </c>
      <c r="GW4" s="82" t="s">
        <v>33</v>
      </c>
      <c r="GX4" s="82" t="s">
        <v>33</v>
      </c>
      <c r="GY4" s="82" t="s">
        <v>33</v>
      </c>
      <c r="GZ4" s="82" t="s">
        <v>33</v>
      </c>
      <c r="HA4" s="82" t="s">
        <v>33</v>
      </c>
      <c r="HB4" s="82" t="s">
        <v>33</v>
      </c>
      <c r="HC4" s="82" t="s">
        <v>33</v>
      </c>
      <c r="HD4" s="82" t="s">
        <v>33</v>
      </c>
      <c r="HE4" s="82" t="s">
        <v>33</v>
      </c>
      <c r="HF4" s="82" t="s">
        <v>33</v>
      </c>
      <c r="HG4" s="82" t="s">
        <v>33</v>
      </c>
      <c r="HH4" s="82" t="s">
        <v>33</v>
      </c>
      <c r="HI4" s="82" t="s">
        <v>33</v>
      </c>
      <c r="HJ4" s="82" t="s">
        <v>33</v>
      </c>
      <c r="HK4" s="82" t="s">
        <v>33</v>
      </c>
      <c r="HL4" s="82" t="s">
        <v>33</v>
      </c>
      <c r="HM4" s="82" t="s">
        <v>33</v>
      </c>
      <c r="HN4" s="82" t="s">
        <v>33</v>
      </c>
      <c r="HO4" s="82" t="s">
        <v>33</v>
      </c>
      <c r="HP4" s="82" t="s">
        <v>33</v>
      </c>
      <c r="HQ4" s="82" t="s">
        <v>33</v>
      </c>
      <c r="HR4" s="82" t="s">
        <v>199</v>
      </c>
      <c r="HS4" s="82" t="s">
        <v>198</v>
      </c>
      <c r="HT4" s="82" t="s">
        <v>31</v>
      </c>
      <c r="HU4" s="82" t="s">
        <v>198</v>
      </c>
      <c r="HV4" s="82" t="s">
        <v>33</v>
      </c>
      <c r="HW4" s="82" t="s">
        <v>199</v>
      </c>
      <c r="HX4" s="82" t="s">
        <v>198</v>
      </c>
      <c r="HY4" s="82" t="s">
        <v>33</v>
      </c>
      <c r="HZ4" s="82" t="s">
        <v>33</v>
      </c>
      <c r="IA4" s="82" t="s">
        <v>33</v>
      </c>
      <c r="IB4" s="82" t="s">
        <v>33</v>
      </c>
      <c r="IC4" s="82" t="s">
        <v>33</v>
      </c>
      <c r="ID4" s="82" t="s">
        <v>33</v>
      </c>
      <c r="IE4" s="82" t="s">
        <v>33</v>
      </c>
      <c r="IF4" s="82" t="s">
        <v>33</v>
      </c>
      <c r="IG4" s="82" t="s">
        <v>33</v>
      </c>
      <c r="IH4" s="82" t="s">
        <v>33</v>
      </c>
      <c r="II4" s="82" t="s">
        <v>33</v>
      </c>
      <c r="IJ4" s="82" t="s">
        <v>33</v>
      </c>
      <c r="IK4" s="82" t="s">
        <v>33</v>
      </c>
      <c r="IL4" s="82" t="s">
        <v>33</v>
      </c>
      <c r="IM4" s="82" t="s">
        <v>33</v>
      </c>
      <c r="IN4" s="82" t="s">
        <v>33</v>
      </c>
      <c r="IO4" s="82" t="s">
        <v>33</v>
      </c>
      <c r="IP4" s="82" t="s">
        <v>33</v>
      </c>
      <c r="IQ4" s="82" t="s">
        <v>33</v>
      </c>
      <c r="IR4" s="82" t="s">
        <v>33</v>
      </c>
      <c r="IS4" s="82" t="s">
        <v>33</v>
      </c>
      <c r="IT4" s="82" t="s">
        <v>33</v>
      </c>
      <c r="IU4" s="82" t="s">
        <v>33</v>
      </c>
      <c r="IV4" s="82" t="s">
        <v>33</v>
      </c>
      <c r="IW4" s="82" t="s">
        <v>33</v>
      </c>
      <c r="IX4" s="82" t="s">
        <v>33</v>
      </c>
      <c r="IY4" s="82" t="s">
        <v>33</v>
      </c>
      <c r="IZ4" s="82" t="s">
        <v>33</v>
      </c>
      <c r="JA4" s="82" t="s">
        <v>33</v>
      </c>
      <c r="JB4" s="82" t="s">
        <v>33</v>
      </c>
      <c r="JC4" s="82" t="s">
        <v>33</v>
      </c>
      <c r="JD4" s="82" t="s">
        <v>33</v>
      </c>
      <c r="JE4" s="82" t="s">
        <v>33</v>
      </c>
      <c r="JF4" s="82" t="s">
        <v>33</v>
      </c>
      <c r="JG4" s="82" t="s">
        <v>33</v>
      </c>
      <c r="JH4" s="82" t="s">
        <v>33</v>
      </c>
      <c r="JI4" s="82" t="s">
        <v>33</v>
      </c>
      <c r="JJ4" s="82" t="s">
        <v>33</v>
      </c>
      <c r="JK4" s="82" t="s">
        <v>33</v>
      </c>
      <c r="JL4" s="82" t="s">
        <v>33</v>
      </c>
      <c r="JM4" s="82" t="s">
        <v>33</v>
      </c>
      <c r="JN4" s="82" t="s">
        <v>33</v>
      </c>
      <c r="JO4" s="82" t="s">
        <v>33</v>
      </c>
      <c r="JP4" s="82" t="s">
        <v>33</v>
      </c>
      <c r="JQ4" s="82" t="s">
        <v>33</v>
      </c>
      <c r="JR4" s="82" t="s">
        <v>33</v>
      </c>
      <c r="JS4" s="82" t="s">
        <v>33</v>
      </c>
      <c r="JT4" s="82" t="s">
        <v>33</v>
      </c>
      <c r="JU4" s="82" t="s">
        <v>33</v>
      </c>
      <c r="JV4" s="82" t="s">
        <v>33</v>
      </c>
      <c r="JW4" s="82" t="s">
        <v>33</v>
      </c>
      <c r="JX4" s="82" t="s">
        <v>33</v>
      </c>
      <c r="JY4" s="82" t="s">
        <v>33</v>
      </c>
      <c r="JZ4" s="82" t="s">
        <v>33</v>
      </c>
      <c r="KA4" s="82" t="s">
        <v>33</v>
      </c>
    </row>
    <row r="5" spans="1:288" s="113" customFormat="1" ht="32.1" hidden="1" customHeight="1">
      <c r="A5" s="82" t="s">
        <v>34</v>
      </c>
      <c r="B5" s="96" t="s">
        <v>35</v>
      </c>
      <c r="C5" s="96" t="s">
        <v>35</v>
      </c>
      <c r="D5" s="96" t="s">
        <v>35</v>
      </c>
      <c r="E5" s="96" t="s">
        <v>35</v>
      </c>
      <c r="F5" s="96" t="s">
        <v>35</v>
      </c>
      <c r="G5" s="96" t="s">
        <v>35</v>
      </c>
      <c r="H5" s="96" t="s">
        <v>35</v>
      </c>
      <c r="I5" s="96" t="s">
        <v>35</v>
      </c>
      <c r="J5" s="96" t="s">
        <v>35</v>
      </c>
      <c r="K5" s="96" t="s">
        <v>35</v>
      </c>
      <c r="L5" s="96" t="s">
        <v>35</v>
      </c>
      <c r="M5" s="96" t="s">
        <v>35</v>
      </c>
      <c r="N5" s="96" t="s">
        <v>35</v>
      </c>
      <c r="O5" s="96" t="s">
        <v>35</v>
      </c>
      <c r="P5" s="96" t="s">
        <v>35</v>
      </c>
      <c r="Q5" s="96" t="s">
        <v>35</v>
      </c>
      <c r="R5" s="96" t="s">
        <v>35</v>
      </c>
      <c r="S5" s="96" t="s">
        <v>35</v>
      </c>
      <c r="T5" s="96" t="s">
        <v>35</v>
      </c>
      <c r="U5" s="96" t="s">
        <v>35</v>
      </c>
      <c r="V5" s="96" t="s">
        <v>35</v>
      </c>
      <c r="W5" s="96" t="s">
        <v>35</v>
      </c>
      <c r="X5" s="96" t="s">
        <v>35</v>
      </c>
      <c r="Y5" s="96" t="s">
        <v>35</v>
      </c>
      <c r="Z5" s="96" t="s">
        <v>35</v>
      </c>
      <c r="AA5" s="96" t="s">
        <v>35</v>
      </c>
      <c r="AB5" s="96"/>
      <c r="AC5" s="96"/>
      <c r="AD5" s="96" t="s">
        <v>35</v>
      </c>
      <c r="AE5" s="96" t="s">
        <v>35</v>
      </c>
      <c r="AF5" s="96" t="s">
        <v>35</v>
      </c>
      <c r="AG5" s="96" t="s">
        <v>35</v>
      </c>
      <c r="AH5" s="96" t="s">
        <v>35</v>
      </c>
      <c r="AI5" s="96" t="s">
        <v>35</v>
      </c>
      <c r="AJ5" s="96" t="s">
        <v>35</v>
      </c>
      <c r="AK5" s="96" t="s">
        <v>35</v>
      </c>
      <c r="AL5" s="96" t="s">
        <v>35</v>
      </c>
      <c r="AM5" s="96" t="s">
        <v>35</v>
      </c>
      <c r="AN5" s="96" t="s">
        <v>35</v>
      </c>
      <c r="AO5" s="96" t="s">
        <v>35</v>
      </c>
      <c r="AP5" s="96" t="s">
        <v>35</v>
      </c>
      <c r="AQ5" s="96" t="s">
        <v>35</v>
      </c>
      <c r="AR5" s="96" t="s">
        <v>35</v>
      </c>
      <c r="AS5" s="96" t="s">
        <v>35</v>
      </c>
      <c r="AT5" s="96" t="s">
        <v>35</v>
      </c>
      <c r="AU5" s="96" t="s">
        <v>35</v>
      </c>
      <c r="AV5" s="96" t="s">
        <v>35</v>
      </c>
      <c r="AW5" s="96" t="s">
        <v>35</v>
      </c>
      <c r="AX5" s="96" t="s">
        <v>35</v>
      </c>
      <c r="AY5" s="96" t="s">
        <v>35</v>
      </c>
      <c r="AZ5" s="96" t="s">
        <v>35</v>
      </c>
      <c r="BA5" s="96" t="s">
        <v>35</v>
      </c>
      <c r="BB5" s="96" t="s">
        <v>35</v>
      </c>
      <c r="BC5" s="96" t="s">
        <v>35</v>
      </c>
      <c r="BD5" s="96"/>
      <c r="BE5" s="96"/>
      <c r="BF5" s="203"/>
      <c r="BG5" s="96" t="s">
        <v>38</v>
      </c>
      <c r="BH5" s="96" t="s">
        <v>38</v>
      </c>
      <c r="BI5" s="82" t="s">
        <v>35</v>
      </c>
      <c r="BJ5" s="82" t="s">
        <v>35</v>
      </c>
      <c r="BK5" s="82" t="s">
        <v>35</v>
      </c>
      <c r="BL5" s="82" t="s">
        <v>35</v>
      </c>
      <c r="BM5" s="82" t="s">
        <v>35</v>
      </c>
      <c r="BN5" s="82" t="s">
        <v>35</v>
      </c>
      <c r="BO5" s="82" t="s">
        <v>35</v>
      </c>
      <c r="BP5" s="82" t="s">
        <v>35</v>
      </c>
      <c r="BQ5" s="82" t="s">
        <v>35</v>
      </c>
      <c r="BR5" s="82" t="s">
        <v>35</v>
      </c>
      <c r="BS5" s="82" t="s">
        <v>35</v>
      </c>
      <c r="BT5" s="82" t="s">
        <v>35</v>
      </c>
      <c r="BU5" s="82" t="s">
        <v>35</v>
      </c>
      <c r="BV5" s="82" t="s">
        <v>35</v>
      </c>
      <c r="BW5" s="82" t="s">
        <v>35</v>
      </c>
      <c r="BX5" s="82" t="s">
        <v>35</v>
      </c>
      <c r="BY5" s="82" t="s">
        <v>35</v>
      </c>
      <c r="BZ5" s="82" t="s">
        <v>35</v>
      </c>
      <c r="CA5" s="82" t="s">
        <v>35</v>
      </c>
      <c r="CB5" s="82" t="s">
        <v>35</v>
      </c>
      <c r="CC5" s="82" t="s">
        <v>35</v>
      </c>
      <c r="CD5" s="82" t="s">
        <v>35</v>
      </c>
      <c r="CE5" s="82" t="s">
        <v>35</v>
      </c>
      <c r="CF5" s="82" t="s">
        <v>35</v>
      </c>
      <c r="CG5" s="82" t="s">
        <v>35</v>
      </c>
      <c r="CH5" s="82" t="s">
        <v>35</v>
      </c>
      <c r="CI5" s="82" t="s">
        <v>35</v>
      </c>
      <c r="CJ5" s="82" t="s">
        <v>35</v>
      </c>
      <c r="CK5" s="82" t="s">
        <v>35</v>
      </c>
      <c r="CL5" s="82" t="s">
        <v>35</v>
      </c>
      <c r="CM5" s="82" t="s">
        <v>35</v>
      </c>
      <c r="CN5" s="82" t="s">
        <v>35</v>
      </c>
      <c r="CO5" s="82" t="s">
        <v>35</v>
      </c>
      <c r="CP5" s="82" t="s">
        <v>35</v>
      </c>
      <c r="CQ5" s="82" t="s">
        <v>35</v>
      </c>
      <c r="CR5" s="82" t="s">
        <v>35</v>
      </c>
      <c r="CS5" s="82" t="s">
        <v>35</v>
      </c>
      <c r="CT5" s="82" t="s">
        <v>35</v>
      </c>
      <c r="CU5" s="82" t="s">
        <v>35</v>
      </c>
      <c r="CV5" s="82" t="s">
        <v>35</v>
      </c>
      <c r="CW5" s="82" t="s">
        <v>35</v>
      </c>
      <c r="CX5" s="82" t="s">
        <v>35</v>
      </c>
      <c r="CY5" s="82" t="s">
        <v>35</v>
      </c>
      <c r="CZ5" s="82" t="s">
        <v>35</v>
      </c>
      <c r="DA5" s="82" t="s">
        <v>35</v>
      </c>
      <c r="DB5" s="82" t="s">
        <v>35</v>
      </c>
      <c r="DC5" s="82" t="s">
        <v>35</v>
      </c>
      <c r="DD5" s="82" t="s">
        <v>35</v>
      </c>
      <c r="DE5" s="82" t="s">
        <v>35</v>
      </c>
      <c r="DF5" s="82" t="s">
        <v>35</v>
      </c>
      <c r="DG5" s="82" t="s">
        <v>35</v>
      </c>
      <c r="DH5" s="82" t="s">
        <v>35</v>
      </c>
      <c r="DI5" s="82"/>
      <c r="DJ5" s="82" t="s">
        <v>36</v>
      </c>
      <c r="DK5" s="96" t="s">
        <v>202</v>
      </c>
      <c r="DL5" s="96" t="s">
        <v>202</v>
      </c>
      <c r="DM5" s="96" t="s">
        <v>504</v>
      </c>
      <c r="DN5" s="96" t="s">
        <v>35</v>
      </c>
      <c r="DO5" s="96" t="s">
        <v>35</v>
      </c>
      <c r="DP5" s="96" t="s">
        <v>35</v>
      </c>
      <c r="DQ5" s="96" t="s">
        <v>35</v>
      </c>
      <c r="DR5" s="96" t="s">
        <v>35</v>
      </c>
      <c r="DS5" s="96" t="s">
        <v>35</v>
      </c>
      <c r="DT5" s="96" t="s">
        <v>35</v>
      </c>
      <c r="DU5" s="96" t="s">
        <v>35</v>
      </c>
      <c r="DV5" s="96" t="s">
        <v>35</v>
      </c>
      <c r="DW5" s="96" t="s">
        <v>35</v>
      </c>
      <c r="DX5" s="96" t="s">
        <v>35</v>
      </c>
      <c r="DY5" s="96" t="s">
        <v>35</v>
      </c>
      <c r="DZ5" s="96" t="s">
        <v>35</v>
      </c>
      <c r="EA5" s="96" t="s">
        <v>35</v>
      </c>
      <c r="EB5" s="96" t="s">
        <v>35</v>
      </c>
      <c r="EC5" s="96" t="s">
        <v>35</v>
      </c>
      <c r="ED5" s="96" t="s">
        <v>35</v>
      </c>
      <c r="EE5" s="96" t="s">
        <v>35</v>
      </c>
      <c r="EF5" s="96" t="s">
        <v>35</v>
      </c>
      <c r="EG5" s="96" t="s">
        <v>35</v>
      </c>
      <c r="EH5" s="96" t="s">
        <v>35</v>
      </c>
      <c r="EI5" s="96" t="s">
        <v>35</v>
      </c>
      <c r="EJ5" s="96" t="s">
        <v>35</v>
      </c>
      <c r="EK5" s="96" t="s">
        <v>35</v>
      </c>
      <c r="EL5" s="96" t="s">
        <v>35</v>
      </c>
      <c r="EM5" s="96" t="s">
        <v>35</v>
      </c>
      <c r="EN5" s="96" t="s">
        <v>504</v>
      </c>
      <c r="EO5" s="96" t="s">
        <v>35</v>
      </c>
      <c r="EP5" s="96" t="s">
        <v>35</v>
      </c>
      <c r="EQ5" s="96" t="s">
        <v>35</v>
      </c>
      <c r="ER5" s="96" t="s">
        <v>35</v>
      </c>
      <c r="ES5" s="96" t="s">
        <v>35</v>
      </c>
      <c r="ET5" s="96" t="s">
        <v>35</v>
      </c>
      <c r="EU5" s="96" t="s">
        <v>35</v>
      </c>
      <c r="EV5" s="96" t="s">
        <v>35</v>
      </c>
      <c r="EW5" s="96" t="s">
        <v>35</v>
      </c>
      <c r="EX5" s="96" t="s">
        <v>35</v>
      </c>
      <c r="EY5" s="96" t="s">
        <v>35</v>
      </c>
      <c r="EZ5" s="96" t="s">
        <v>35</v>
      </c>
      <c r="FA5" s="96" t="s">
        <v>35</v>
      </c>
      <c r="FB5" s="96" t="s">
        <v>35</v>
      </c>
      <c r="FC5" s="96" t="s">
        <v>35</v>
      </c>
      <c r="FD5" s="96" t="s">
        <v>35</v>
      </c>
      <c r="FE5" s="96" t="s">
        <v>35</v>
      </c>
      <c r="FF5" s="96" t="s">
        <v>35</v>
      </c>
      <c r="FG5" s="96" t="s">
        <v>35</v>
      </c>
      <c r="FH5" s="96" t="s">
        <v>35</v>
      </c>
      <c r="FI5" s="96" t="s">
        <v>35</v>
      </c>
      <c r="FJ5" s="96" t="s">
        <v>35</v>
      </c>
      <c r="FK5" s="96" t="s">
        <v>35</v>
      </c>
      <c r="FL5" s="96" t="s">
        <v>35</v>
      </c>
      <c r="FM5" s="96" t="s">
        <v>35</v>
      </c>
      <c r="FN5" s="96" t="s">
        <v>35</v>
      </c>
      <c r="FO5" s="141" t="s">
        <v>35</v>
      </c>
      <c r="FP5" s="113" t="s">
        <v>35</v>
      </c>
      <c r="FQ5" s="113" t="s">
        <v>35</v>
      </c>
      <c r="FR5" s="113" t="s">
        <v>35</v>
      </c>
      <c r="FS5" s="113" t="s">
        <v>35</v>
      </c>
      <c r="FT5" s="113" t="s">
        <v>35</v>
      </c>
      <c r="FU5" s="113" t="s">
        <v>35</v>
      </c>
      <c r="FV5" s="113" t="s">
        <v>35</v>
      </c>
      <c r="FW5" s="113" t="s">
        <v>35</v>
      </c>
      <c r="FX5" s="113" t="s">
        <v>35</v>
      </c>
      <c r="FY5" s="113" t="s">
        <v>35</v>
      </c>
      <c r="FZ5" s="113" t="s">
        <v>35</v>
      </c>
      <c r="GA5" s="113" t="s">
        <v>35</v>
      </c>
      <c r="GB5" s="113" t="s">
        <v>35</v>
      </c>
      <c r="GC5" s="113" t="s">
        <v>35</v>
      </c>
      <c r="GD5" s="113" t="s">
        <v>35</v>
      </c>
      <c r="GE5" s="113" t="s">
        <v>35</v>
      </c>
      <c r="GF5" s="113" t="s">
        <v>35</v>
      </c>
      <c r="GG5" s="113" t="s">
        <v>35</v>
      </c>
      <c r="GH5" s="113" t="s">
        <v>35</v>
      </c>
      <c r="GI5" s="113" t="s">
        <v>35</v>
      </c>
      <c r="GJ5" s="113" t="s">
        <v>35</v>
      </c>
      <c r="GK5" s="113" t="s">
        <v>35</v>
      </c>
      <c r="GL5" s="113" t="s">
        <v>35</v>
      </c>
      <c r="GM5" s="113" t="s">
        <v>35</v>
      </c>
      <c r="GN5" s="113" t="s">
        <v>35</v>
      </c>
      <c r="GO5" s="96"/>
      <c r="GP5" s="96"/>
      <c r="GQ5" s="96" t="s">
        <v>35</v>
      </c>
      <c r="GR5" s="96" t="s">
        <v>35</v>
      </c>
      <c r="GS5" s="96" t="s">
        <v>35</v>
      </c>
      <c r="GT5" s="96" t="s">
        <v>35</v>
      </c>
      <c r="GU5" s="96" t="s">
        <v>35</v>
      </c>
      <c r="GV5" s="96" t="s">
        <v>35</v>
      </c>
      <c r="GW5" s="96" t="s">
        <v>35</v>
      </c>
      <c r="GX5" s="96" t="s">
        <v>35</v>
      </c>
      <c r="GY5" s="96" t="s">
        <v>35</v>
      </c>
      <c r="GZ5" s="96" t="s">
        <v>35</v>
      </c>
      <c r="HA5" s="96" t="s">
        <v>35</v>
      </c>
      <c r="HB5" s="96" t="s">
        <v>35</v>
      </c>
      <c r="HC5" s="96" t="s">
        <v>35</v>
      </c>
      <c r="HD5" s="96" t="s">
        <v>35</v>
      </c>
      <c r="HE5" s="96" t="s">
        <v>35</v>
      </c>
      <c r="HF5" s="96" t="s">
        <v>35</v>
      </c>
      <c r="HG5" s="96" t="s">
        <v>35</v>
      </c>
      <c r="HH5" s="96" t="s">
        <v>35</v>
      </c>
      <c r="HI5" s="96" t="s">
        <v>35</v>
      </c>
      <c r="HJ5" s="96" t="s">
        <v>35</v>
      </c>
      <c r="HK5" s="96" t="s">
        <v>35</v>
      </c>
      <c r="HL5" s="96" t="s">
        <v>35</v>
      </c>
      <c r="HM5" s="96" t="s">
        <v>35</v>
      </c>
      <c r="HN5" s="96" t="s">
        <v>35</v>
      </c>
      <c r="HO5" s="96" t="s">
        <v>35</v>
      </c>
      <c r="HP5" s="96" t="s">
        <v>35</v>
      </c>
      <c r="HQ5" s="96"/>
      <c r="HR5" s="96"/>
      <c r="HS5" s="96" t="s">
        <v>36</v>
      </c>
      <c r="HT5" s="96"/>
      <c r="HU5" s="96" t="s">
        <v>36</v>
      </c>
      <c r="HV5" s="96" t="s">
        <v>866</v>
      </c>
      <c r="HW5" s="96"/>
      <c r="HX5" s="96" t="s">
        <v>36</v>
      </c>
      <c r="HY5" s="96"/>
      <c r="HZ5" s="81" t="s">
        <v>504</v>
      </c>
      <c r="IA5" s="81" t="s">
        <v>35</v>
      </c>
      <c r="IB5" s="81" t="s">
        <v>35</v>
      </c>
      <c r="IC5" s="81" t="s">
        <v>35</v>
      </c>
      <c r="ID5" s="81" t="s">
        <v>35</v>
      </c>
      <c r="IE5" s="81" t="s">
        <v>35</v>
      </c>
      <c r="IF5" s="81" t="s">
        <v>35</v>
      </c>
      <c r="IG5" s="81" t="s">
        <v>35</v>
      </c>
      <c r="IH5" s="81" t="s">
        <v>35</v>
      </c>
      <c r="II5" s="81" t="s">
        <v>35</v>
      </c>
      <c r="IJ5" s="81" t="s">
        <v>35</v>
      </c>
      <c r="IK5" s="81" t="s">
        <v>35</v>
      </c>
      <c r="IL5" s="81" t="s">
        <v>35</v>
      </c>
      <c r="IM5" s="81" t="s">
        <v>35</v>
      </c>
      <c r="IN5" s="81" t="s">
        <v>35</v>
      </c>
      <c r="IO5" s="81" t="s">
        <v>35</v>
      </c>
      <c r="IP5" s="81" t="s">
        <v>35</v>
      </c>
      <c r="IQ5" s="81" t="s">
        <v>35</v>
      </c>
      <c r="IR5" s="81" t="s">
        <v>35</v>
      </c>
      <c r="IS5" s="81" t="s">
        <v>35</v>
      </c>
      <c r="IT5" s="81" t="s">
        <v>35</v>
      </c>
      <c r="IU5" s="81" t="s">
        <v>35</v>
      </c>
      <c r="IV5" s="81" t="s">
        <v>35</v>
      </c>
      <c r="IW5" s="81" t="s">
        <v>35</v>
      </c>
      <c r="IX5" s="81" t="s">
        <v>35</v>
      </c>
      <c r="IY5" s="81" t="s">
        <v>35</v>
      </c>
      <c r="IZ5" s="81" t="s">
        <v>35</v>
      </c>
      <c r="JA5" s="81" t="s">
        <v>504</v>
      </c>
      <c r="JB5" s="81" t="s">
        <v>35</v>
      </c>
      <c r="JC5" s="81" t="s">
        <v>35</v>
      </c>
      <c r="JD5" s="81" t="s">
        <v>35</v>
      </c>
      <c r="JE5" s="81" t="s">
        <v>35</v>
      </c>
      <c r="JF5" s="81" t="s">
        <v>35</v>
      </c>
      <c r="JG5" s="81" t="s">
        <v>35</v>
      </c>
      <c r="JH5" s="81" t="s">
        <v>35</v>
      </c>
      <c r="JI5" s="81" t="s">
        <v>35</v>
      </c>
      <c r="JJ5" s="81" t="s">
        <v>35</v>
      </c>
      <c r="JK5" s="81" t="s">
        <v>35</v>
      </c>
      <c r="JL5" s="81" t="s">
        <v>35</v>
      </c>
      <c r="JM5" s="81" t="s">
        <v>35</v>
      </c>
      <c r="JN5" s="81" t="s">
        <v>35</v>
      </c>
      <c r="JO5" s="81" t="s">
        <v>35</v>
      </c>
      <c r="JP5" s="81" t="s">
        <v>35</v>
      </c>
      <c r="JQ5" s="81" t="s">
        <v>35</v>
      </c>
      <c r="JR5" s="81" t="s">
        <v>35</v>
      </c>
      <c r="JS5" s="81" t="s">
        <v>35</v>
      </c>
      <c r="JT5" s="81" t="s">
        <v>35</v>
      </c>
      <c r="JU5" s="81" t="s">
        <v>35</v>
      </c>
      <c r="JV5" s="81" t="s">
        <v>35</v>
      </c>
      <c r="JW5" s="81" t="s">
        <v>35</v>
      </c>
      <c r="JX5" s="81" t="s">
        <v>35</v>
      </c>
      <c r="JY5" s="81" t="s">
        <v>35</v>
      </c>
      <c r="JZ5" s="81" t="s">
        <v>35</v>
      </c>
      <c r="KA5" s="81" t="s">
        <v>35</v>
      </c>
    </row>
    <row r="6" spans="1:288" s="144" customFormat="1" ht="15" hidden="1">
      <c r="A6" s="142" t="s">
        <v>41</v>
      </c>
      <c r="B6" s="136"/>
      <c r="C6" s="136"/>
      <c r="D6" s="136"/>
      <c r="E6" s="136"/>
      <c r="F6" s="136"/>
      <c r="G6" s="136"/>
      <c r="H6" s="136"/>
      <c r="I6" s="136"/>
      <c r="J6" s="136"/>
      <c r="K6" s="136"/>
      <c r="L6" s="136"/>
      <c r="M6" s="136"/>
      <c r="N6" s="136"/>
      <c r="O6" s="136"/>
      <c r="P6" s="136"/>
      <c r="Q6" s="136"/>
      <c r="R6" s="136"/>
      <c r="S6" s="136"/>
      <c r="T6" s="136"/>
      <c r="U6" s="136"/>
      <c r="V6" s="136"/>
      <c r="W6" s="136"/>
      <c r="X6" s="136"/>
      <c r="Y6" s="136"/>
      <c r="Z6" s="136"/>
      <c r="AA6" s="136"/>
      <c r="AB6" s="136"/>
      <c r="AC6" s="136"/>
      <c r="AD6" s="136"/>
      <c r="AE6" s="136"/>
      <c r="AF6" s="136"/>
      <c r="AG6" s="136"/>
      <c r="AH6" s="136"/>
      <c r="AI6" s="136"/>
      <c r="AJ6" s="136"/>
      <c r="AK6" s="136"/>
      <c r="AL6" s="136"/>
      <c r="AM6" s="136"/>
      <c r="AN6" s="136"/>
      <c r="AO6" s="136"/>
      <c r="AP6" s="136"/>
      <c r="AQ6" s="136"/>
      <c r="AR6" s="136"/>
      <c r="AS6" s="136"/>
      <c r="AT6" s="136"/>
      <c r="AU6" s="136"/>
      <c r="AV6" s="136"/>
      <c r="AW6" s="136"/>
      <c r="AX6" s="136"/>
      <c r="AY6" s="136"/>
      <c r="AZ6" s="136"/>
      <c r="BA6" s="136"/>
      <c r="BB6" s="136"/>
      <c r="BC6" s="136"/>
      <c r="BD6" s="136"/>
      <c r="BE6" s="136"/>
      <c r="BF6" s="204"/>
      <c r="BG6" s="136"/>
      <c r="BH6" s="136"/>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36"/>
      <c r="DL6" s="136"/>
      <c r="DM6" s="136">
        <v>1</v>
      </c>
      <c r="DN6" s="136">
        <v>1</v>
      </c>
      <c r="DO6" s="136">
        <v>1</v>
      </c>
      <c r="DP6" s="136">
        <v>1</v>
      </c>
      <c r="DQ6" s="136">
        <v>1</v>
      </c>
      <c r="DR6" s="136">
        <v>1</v>
      </c>
      <c r="DS6" s="136">
        <v>1</v>
      </c>
      <c r="DT6" s="136">
        <v>1</v>
      </c>
      <c r="DU6" s="136">
        <v>1</v>
      </c>
      <c r="DV6" s="136">
        <v>1</v>
      </c>
      <c r="DW6" s="136">
        <v>1</v>
      </c>
      <c r="DX6" s="136">
        <v>1</v>
      </c>
      <c r="DY6" s="136">
        <v>1</v>
      </c>
      <c r="DZ6" s="136">
        <v>1</v>
      </c>
      <c r="EA6" s="136">
        <v>1</v>
      </c>
      <c r="EB6" s="136">
        <v>1</v>
      </c>
      <c r="EC6" s="136">
        <v>1</v>
      </c>
      <c r="ED6" s="136">
        <v>1</v>
      </c>
      <c r="EE6" s="136">
        <v>1</v>
      </c>
      <c r="EF6" s="136">
        <v>1</v>
      </c>
      <c r="EG6" s="136">
        <v>1</v>
      </c>
      <c r="EH6" s="136">
        <v>1</v>
      </c>
      <c r="EI6" s="136">
        <v>1</v>
      </c>
      <c r="EJ6" s="136">
        <v>1</v>
      </c>
      <c r="EK6" s="136">
        <v>1</v>
      </c>
      <c r="EL6" s="136">
        <v>1</v>
      </c>
      <c r="EM6" s="136">
        <v>1</v>
      </c>
      <c r="EN6" s="136">
        <v>2</v>
      </c>
      <c r="EO6" s="136">
        <v>2</v>
      </c>
      <c r="EP6" s="136">
        <v>2</v>
      </c>
      <c r="EQ6" s="136">
        <v>2</v>
      </c>
      <c r="ER6" s="136">
        <v>2</v>
      </c>
      <c r="ES6" s="136">
        <v>2</v>
      </c>
      <c r="ET6" s="136">
        <v>2</v>
      </c>
      <c r="EU6" s="136">
        <v>2</v>
      </c>
      <c r="EV6" s="136">
        <v>2</v>
      </c>
      <c r="EW6" s="136">
        <v>2</v>
      </c>
      <c r="EX6" s="136">
        <v>2</v>
      </c>
      <c r="EY6" s="136">
        <v>2</v>
      </c>
      <c r="EZ6" s="136">
        <v>2</v>
      </c>
      <c r="FA6" s="136">
        <v>2</v>
      </c>
      <c r="FB6" s="136">
        <v>2</v>
      </c>
      <c r="FC6" s="136">
        <v>2</v>
      </c>
      <c r="FD6" s="136">
        <v>2</v>
      </c>
      <c r="FE6" s="136">
        <v>2</v>
      </c>
      <c r="FF6" s="136">
        <v>2</v>
      </c>
      <c r="FG6" s="136">
        <v>2</v>
      </c>
      <c r="FH6" s="136">
        <v>2</v>
      </c>
      <c r="FI6" s="136">
        <v>2</v>
      </c>
      <c r="FJ6" s="136">
        <v>2</v>
      </c>
      <c r="FK6" s="136">
        <v>2</v>
      </c>
      <c r="FL6" s="136">
        <v>2</v>
      </c>
      <c r="FM6" s="136">
        <v>2</v>
      </c>
      <c r="FN6" s="136">
        <v>2</v>
      </c>
      <c r="FO6" s="136"/>
      <c r="GO6" s="136"/>
      <c r="GP6" s="136"/>
      <c r="GQ6" s="136"/>
      <c r="GR6" s="136"/>
      <c r="GS6" s="136"/>
      <c r="GT6" s="136"/>
      <c r="GU6" s="136"/>
      <c r="GV6" s="136"/>
      <c r="GW6" s="136"/>
      <c r="GX6" s="136"/>
      <c r="GY6" s="136"/>
      <c r="GZ6" s="136"/>
      <c r="HA6" s="136"/>
      <c r="HB6" s="136"/>
      <c r="HC6" s="136"/>
      <c r="HD6" s="136"/>
      <c r="HE6" s="136"/>
      <c r="HF6" s="136"/>
      <c r="HG6" s="136"/>
      <c r="HH6" s="136"/>
      <c r="HI6" s="136"/>
      <c r="HJ6" s="136"/>
      <c r="HK6" s="136"/>
      <c r="HL6" s="136"/>
      <c r="HM6" s="136"/>
      <c r="HN6" s="136"/>
      <c r="HO6" s="136"/>
      <c r="HP6" s="136"/>
      <c r="HQ6" s="136"/>
      <c r="HR6" s="136"/>
      <c r="HS6" s="136"/>
      <c r="HT6" s="136"/>
      <c r="HU6" s="136"/>
      <c r="HV6" s="136"/>
      <c r="HW6" s="136"/>
      <c r="HX6" s="136"/>
      <c r="HY6" s="136"/>
      <c r="HZ6" s="96">
        <v>1</v>
      </c>
      <c r="IA6" s="96">
        <v>1</v>
      </c>
      <c r="IB6" s="96">
        <v>1</v>
      </c>
      <c r="IC6" s="96">
        <v>1</v>
      </c>
      <c r="ID6" s="96">
        <v>1</v>
      </c>
      <c r="IE6" s="96">
        <v>1</v>
      </c>
      <c r="IF6" s="96">
        <v>1</v>
      </c>
      <c r="IG6" s="96">
        <v>1</v>
      </c>
      <c r="IH6" s="96">
        <v>1</v>
      </c>
      <c r="II6" s="96">
        <v>1</v>
      </c>
      <c r="IJ6" s="96">
        <v>1</v>
      </c>
      <c r="IK6" s="96">
        <v>1</v>
      </c>
      <c r="IL6" s="96">
        <v>1</v>
      </c>
      <c r="IM6" s="96">
        <v>1</v>
      </c>
      <c r="IN6" s="96">
        <v>1</v>
      </c>
      <c r="IO6" s="96">
        <v>1</v>
      </c>
      <c r="IP6" s="96">
        <v>1</v>
      </c>
      <c r="IQ6" s="96">
        <v>1</v>
      </c>
      <c r="IR6" s="96">
        <v>1</v>
      </c>
      <c r="IS6" s="96">
        <v>1</v>
      </c>
      <c r="IT6" s="96">
        <v>1</v>
      </c>
      <c r="IU6" s="96">
        <v>1</v>
      </c>
      <c r="IV6" s="96">
        <v>1</v>
      </c>
      <c r="IW6" s="96">
        <v>1</v>
      </c>
      <c r="IX6" s="96">
        <v>1</v>
      </c>
      <c r="IY6" s="96">
        <v>1</v>
      </c>
      <c r="IZ6" s="96">
        <v>1</v>
      </c>
      <c r="JA6" s="96">
        <v>2</v>
      </c>
      <c r="JB6" s="96">
        <v>2</v>
      </c>
      <c r="JC6" s="96">
        <v>2</v>
      </c>
      <c r="JD6" s="96">
        <v>2</v>
      </c>
      <c r="JE6" s="96">
        <v>2</v>
      </c>
      <c r="JF6" s="96">
        <v>2</v>
      </c>
      <c r="JG6" s="96">
        <v>2</v>
      </c>
      <c r="JH6" s="96">
        <v>2</v>
      </c>
      <c r="JI6" s="96">
        <v>2</v>
      </c>
      <c r="JJ6" s="96">
        <v>2</v>
      </c>
      <c r="JK6" s="96">
        <v>2</v>
      </c>
      <c r="JL6" s="96">
        <v>2</v>
      </c>
      <c r="JM6" s="96">
        <v>2</v>
      </c>
      <c r="JN6" s="96">
        <v>2</v>
      </c>
      <c r="JO6" s="96">
        <v>2</v>
      </c>
      <c r="JP6" s="96">
        <v>2</v>
      </c>
      <c r="JQ6" s="96">
        <v>2</v>
      </c>
      <c r="JR6" s="96">
        <v>2</v>
      </c>
      <c r="JS6" s="96">
        <v>2</v>
      </c>
      <c r="JT6" s="96">
        <v>2</v>
      </c>
      <c r="JU6" s="96">
        <v>2</v>
      </c>
      <c r="JV6" s="96">
        <v>2</v>
      </c>
      <c r="JW6" s="96">
        <v>2</v>
      </c>
      <c r="JX6" s="96">
        <v>2</v>
      </c>
      <c r="JY6" s="96">
        <v>2</v>
      </c>
      <c r="JZ6" s="96">
        <v>2</v>
      </c>
      <c r="KA6" s="96">
        <v>2</v>
      </c>
      <c r="KB6" s="96"/>
    </row>
    <row r="7" spans="1:288" s="144" customFormat="1" ht="15" hidden="1">
      <c r="A7" s="142" t="s">
        <v>42</v>
      </c>
      <c r="B7" s="136" t="s">
        <v>11</v>
      </c>
      <c r="C7" s="142" t="s">
        <v>43</v>
      </c>
      <c r="D7" s="142" t="s">
        <v>44</v>
      </c>
      <c r="E7" s="142" t="s">
        <v>45</v>
      </c>
      <c r="F7" s="142" t="s">
        <v>46</v>
      </c>
      <c r="G7" s="142" t="s">
        <v>47</v>
      </c>
      <c r="H7" s="142" t="s">
        <v>48</v>
      </c>
      <c r="I7" s="142" t="s">
        <v>49</v>
      </c>
      <c r="J7" s="142" t="s">
        <v>50</v>
      </c>
      <c r="K7" s="142" t="s">
        <v>51</v>
      </c>
      <c r="L7" s="142" t="s">
        <v>52</v>
      </c>
      <c r="M7" s="142" t="s">
        <v>53</v>
      </c>
      <c r="N7" s="142" t="s">
        <v>54</v>
      </c>
      <c r="O7" s="142" t="s">
        <v>55</v>
      </c>
      <c r="P7" s="142" t="s">
        <v>56</v>
      </c>
      <c r="Q7" s="142" t="s">
        <v>57</v>
      </c>
      <c r="R7" s="142" t="s">
        <v>58</v>
      </c>
      <c r="S7" s="142" t="s">
        <v>59</v>
      </c>
      <c r="T7" s="142" t="s">
        <v>60</v>
      </c>
      <c r="U7" s="142" t="s">
        <v>61</v>
      </c>
      <c r="V7" s="142" t="s">
        <v>62</v>
      </c>
      <c r="W7" s="142" t="s">
        <v>63</v>
      </c>
      <c r="X7" s="142" t="s">
        <v>64</v>
      </c>
      <c r="Y7" s="142" t="s">
        <v>65</v>
      </c>
      <c r="Z7" s="142" t="s">
        <v>66</v>
      </c>
      <c r="AA7" s="142" t="s">
        <v>67</v>
      </c>
      <c r="AB7" s="136"/>
      <c r="AC7" s="136"/>
      <c r="AD7" s="136" t="s">
        <v>11</v>
      </c>
      <c r="AE7" s="142" t="s">
        <v>43</v>
      </c>
      <c r="AF7" s="142" t="s">
        <v>44</v>
      </c>
      <c r="AG7" s="142" t="s">
        <v>45</v>
      </c>
      <c r="AH7" s="142" t="s">
        <v>46</v>
      </c>
      <c r="AI7" s="142" t="s">
        <v>47</v>
      </c>
      <c r="AJ7" s="142" t="s">
        <v>48</v>
      </c>
      <c r="AK7" s="142" t="s">
        <v>49</v>
      </c>
      <c r="AL7" s="142" t="s">
        <v>50</v>
      </c>
      <c r="AM7" s="142" t="s">
        <v>51</v>
      </c>
      <c r="AN7" s="142" t="s">
        <v>52</v>
      </c>
      <c r="AO7" s="142" t="s">
        <v>53</v>
      </c>
      <c r="AP7" s="142" t="s">
        <v>54</v>
      </c>
      <c r="AQ7" s="142" t="s">
        <v>55</v>
      </c>
      <c r="AR7" s="142" t="s">
        <v>56</v>
      </c>
      <c r="AS7" s="142" t="s">
        <v>57</v>
      </c>
      <c r="AT7" s="142" t="s">
        <v>58</v>
      </c>
      <c r="AU7" s="142" t="s">
        <v>59</v>
      </c>
      <c r="AV7" s="142" t="s">
        <v>60</v>
      </c>
      <c r="AW7" s="142" t="s">
        <v>61</v>
      </c>
      <c r="AX7" s="142" t="s">
        <v>62</v>
      </c>
      <c r="AY7" s="142" t="s">
        <v>63</v>
      </c>
      <c r="AZ7" s="142" t="s">
        <v>64</v>
      </c>
      <c r="BA7" s="142" t="s">
        <v>65</v>
      </c>
      <c r="BB7" s="142" t="s">
        <v>66</v>
      </c>
      <c r="BC7" s="142" t="s">
        <v>67</v>
      </c>
      <c r="BD7" s="136"/>
      <c r="BE7" s="136"/>
      <c r="BF7" s="204"/>
      <c r="BG7" s="136"/>
      <c r="BH7" s="136"/>
      <c r="BI7" s="142" t="s">
        <v>11</v>
      </c>
      <c r="BJ7" s="142" t="s">
        <v>43</v>
      </c>
      <c r="BK7" s="142" t="s">
        <v>44</v>
      </c>
      <c r="BL7" s="142" t="s">
        <v>45</v>
      </c>
      <c r="BM7" s="142" t="s">
        <v>46</v>
      </c>
      <c r="BN7" s="142" t="s">
        <v>47</v>
      </c>
      <c r="BO7" s="142" t="s">
        <v>48</v>
      </c>
      <c r="BP7" s="142" t="s">
        <v>49</v>
      </c>
      <c r="BQ7" s="142" t="s">
        <v>50</v>
      </c>
      <c r="BR7" s="142" t="s">
        <v>51</v>
      </c>
      <c r="BS7" s="142" t="s">
        <v>52</v>
      </c>
      <c r="BT7" s="142" t="s">
        <v>53</v>
      </c>
      <c r="BU7" s="142" t="s">
        <v>54</v>
      </c>
      <c r="BV7" s="142" t="s">
        <v>55</v>
      </c>
      <c r="BW7" s="142" t="s">
        <v>56</v>
      </c>
      <c r="BX7" s="142" t="s">
        <v>57</v>
      </c>
      <c r="BY7" s="142" t="s">
        <v>58</v>
      </c>
      <c r="BZ7" s="142" t="s">
        <v>59</v>
      </c>
      <c r="CA7" s="142" t="s">
        <v>60</v>
      </c>
      <c r="CB7" s="142" t="s">
        <v>61</v>
      </c>
      <c r="CC7" s="142" t="s">
        <v>62</v>
      </c>
      <c r="CD7" s="142" t="s">
        <v>63</v>
      </c>
      <c r="CE7" s="142" t="s">
        <v>64</v>
      </c>
      <c r="CF7" s="142" t="s">
        <v>65</v>
      </c>
      <c r="CG7" s="142" t="s">
        <v>66</v>
      </c>
      <c r="CH7" s="142" t="s">
        <v>67</v>
      </c>
      <c r="CI7" s="142" t="s">
        <v>11</v>
      </c>
      <c r="CJ7" s="142" t="s">
        <v>43</v>
      </c>
      <c r="CK7" s="142" t="s">
        <v>44</v>
      </c>
      <c r="CL7" s="142" t="s">
        <v>45</v>
      </c>
      <c r="CM7" s="142" t="s">
        <v>46</v>
      </c>
      <c r="CN7" s="142" t="s">
        <v>47</v>
      </c>
      <c r="CO7" s="142" t="s">
        <v>48</v>
      </c>
      <c r="CP7" s="142" t="s">
        <v>49</v>
      </c>
      <c r="CQ7" s="142" t="s">
        <v>50</v>
      </c>
      <c r="CR7" s="142" t="s">
        <v>51</v>
      </c>
      <c r="CS7" s="142" t="s">
        <v>52</v>
      </c>
      <c r="CT7" s="142" t="s">
        <v>53</v>
      </c>
      <c r="CU7" s="142" t="s">
        <v>54</v>
      </c>
      <c r="CV7" s="142" t="s">
        <v>55</v>
      </c>
      <c r="CW7" s="142" t="s">
        <v>56</v>
      </c>
      <c r="CX7" s="142" t="s">
        <v>57</v>
      </c>
      <c r="CY7" s="142" t="s">
        <v>58</v>
      </c>
      <c r="CZ7" s="142" t="s">
        <v>59</v>
      </c>
      <c r="DA7" s="142" t="s">
        <v>60</v>
      </c>
      <c r="DB7" s="142" t="s">
        <v>61</v>
      </c>
      <c r="DC7" s="142" t="s">
        <v>62</v>
      </c>
      <c r="DD7" s="142" t="s">
        <v>63</v>
      </c>
      <c r="DE7" s="142" t="s">
        <v>64</v>
      </c>
      <c r="DF7" s="142" t="s">
        <v>65</v>
      </c>
      <c r="DG7" s="142" t="s">
        <v>66</v>
      </c>
      <c r="DH7" s="142" t="s">
        <v>67</v>
      </c>
      <c r="DI7" s="142"/>
      <c r="DJ7" s="142"/>
      <c r="DK7" s="136"/>
      <c r="DL7" s="136"/>
      <c r="DM7" s="136"/>
      <c r="DN7" s="136" t="s">
        <v>11</v>
      </c>
      <c r="DO7" s="142" t="s">
        <v>43</v>
      </c>
      <c r="DP7" s="142" t="s">
        <v>44</v>
      </c>
      <c r="DQ7" s="142" t="s">
        <v>45</v>
      </c>
      <c r="DR7" s="142" t="s">
        <v>46</v>
      </c>
      <c r="DS7" s="142" t="s">
        <v>47</v>
      </c>
      <c r="DT7" s="142" t="s">
        <v>48</v>
      </c>
      <c r="DU7" s="142" t="s">
        <v>49</v>
      </c>
      <c r="DV7" s="142" t="s">
        <v>50</v>
      </c>
      <c r="DW7" s="142" t="s">
        <v>51</v>
      </c>
      <c r="DX7" s="142" t="s">
        <v>52</v>
      </c>
      <c r="DY7" s="142" t="s">
        <v>53</v>
      </c>
      <c r="DZ7" s="142" t="s">
        <v>54</v>
      </c>
      <c r="EA7" s="142" t="s">
        <v>55</v>
      </c>
      <c r="EB7" s="142" t="s">
        <v>56</v>
      </c>
      <c r="EC7" s="142" t="s">
        <v>57</v>
      </c>
      <c r="ED7" s="142" t="s">
        <v>58</v>
      </c>
      <c r="EE7" s="142" t="s">
        <v>59</v>
      </c>
      <c r="EF7" s="142" t="s">
        <v>60</v>
      </c>
      <c r="EG7" s="142" t="s">
        <v>61</v>
      </c>
      <c r="EH7" s="142" t="s">
        <v>62</v>
      </c>
      <c r="EI7" s="142" t="s">
        <v>63</v>
      </c>
      <c r="EJ7" s="142" t="s">
        <v>64</v>
      </c>
      <c r="EK7" s="142" t="s">
        <v>65</v>
      </c>
      <c r="EL7" s="142" t="s">
        <v>66</v>
      </c>
      <c r="EM7" s="142" t="s">
        <v>67</v>
      </c>
      <c r="EN7" s="136"/>
      <c r="EO7" s="136" t="s">
        <v>11</v>
      </c>
      <c r="EP7" s="142" t="s">
        <v>43</v>
      </c>
      <c r="EQ7" s="142" t="s">
        <v>44</v>
      </c>
      <c r="ER7" s="142" t="s">
        <v>45</v>
      </c>
      <c r="ES7" s="142" t="s">
        <v>46</v>
      </c>
      <c r="ET7" s="142" t="s">
        <v>47</v>
      </c>
      <c r="EU7" s="142" t="s">
        <v>48</v>
      </c>
      <c r="EV7" s="142" t="s">
        <v>49</v>
      </c>
      <c r="EW7" s="142" t="s">
        <v>50</v>
      </c>
      <c r="EX7" s="142" t="s">
        <v>51</v>
      </c>
      <c r="EY7" s="142" t="s">
        <v>52</v>
      </c>
      <c r="EZ7" s="142" t="s">
        <v>53</v>
      </c>
      <c r="FA7" s="142" t="s">
        <v>54</v>
      </c>
      <c r="FB7" s="142" t="s">
        <v>55</v>
      </c>
      <c r="FC7" s="142" t="s">
        <v>56</v>
      </c>
      <c r="FD7" s="142" t="s">
        <v>57</v>
      </c>
      <c r="FE7" s="142" t="s">
        <v>58</v>
      </c>
      <c r="FF7" s="142" t="s">
        <v>59</v>
      </c>
      <c r="FG7" s="142" t="s">
        <v>60</v>
      </c>
      <c r="FH7" s="142" t="s">
        <v>61</v>
      </c>
      <c r="FI7" s="142" t="s">
        <v>62</v>
      </c>
      <c r="FJ7" s="142" t="s">
        <v>63</v>
      </c>
      <c r="FK7" s="142" t="s">
        <v>64</v>
      </c>
      <c r="FL7" s="142" t="s">
        <v>65</v>
      </c>
      <c r="FM7" s="142" t="s">
        <v>66</v>
      </c>
      <c r="FN7" s="142" t="s">
        <v>67</v>
      </c>
      <c r="FO7" s="143" t="s">
        <v>11</v>
      </c>
      <c r="FP7" s="145" t="s">
        <v>43</v>
      </c>
      <c r="FQ7" s="145" t="s">
        <v>44</v>
      </c>
      <c r="FR7" s="145" t="s">
        <v>45</v>
      </c>
      <c r="FS7" s="145" t="s">
        <v>46</v>
      </c>
      <c r="FT7" s="145" t="s">
        <v>47</v>
      </c>
      <c r="FU7" s="145" t="s">
        <v>48</v>
      </c>
      <c r="FV7" s="145" t="s">
        <v>49</v>
      </c>
      <c r="FW7" s="145" t="s">
        <v>50</v>
      </c>
      <c r="FX7" s="145" t="s">
        <v>51</v>
      </c>
      <c r="FY7" s="145" t="s">
        <v>52</v>
      </c>
      <c r="FZ7" s="145" t="s">
        <v>53</v>
      </c>
      <c r="GA7" s="145" t="s">
        <v>54</v>
      </c>
      <c r="GB7" s="145" t="s">
        <v>55</v>
      </c>
      <c r="GC7" s="145" t="s">
        <v>56</v>
      </c>
      <c r="GD7" s="145" t="s">
        <v>57</v>
      </c>
      <c r="GE7" s="145" t="s">
        <v>58</v>
      </c>
      <c r="GF7" s="145" t="s">
        <v>59</v>
      </c>
      <c r="GG7" s="145" t="s">
        <v>60</v>
      </c>
      <c r="GH7" s="145" t="s">
        <v>61</v>
      </c>
      <c r="GI7" s="145" t="s">
        <v>62</v>
      </c>
      <c r="GJ7" s="145" t="s">
        <v>63</v>
      </c>
      <c r="GK7" s="145" t="s">
        <v>64</v>
      </c>
      <c r="GL7" s="145" t="s">
        <v>65</v>
      </c>
      <c r="GM7" s="145" t="s">
        <v>66</v>
      </c>
      <c r="GN7" s="145" t="s">
        <v>67</v>
      </c>
      <c r="GO7" s="136"/>
      <c r="GP7" s="136"/>
      <c r="GQ7" s="136" t="s">
        <v>11</v>
      </c>
      <c r="GR7" s="142" t="s">
        <v>43</v>
      </c>
      <c r="GS7" s="142" t="s">
        <v>44</v>
      </c>
      <c r="GT7" s="142" t="s">
        <v>45</v>
      </c>
      <c r="GU7" s="142" t="s">
        <v>46</v>
      </c>
      <c r="GV7" s="142" t="s">
        <v>47</v>
      </c>
      <c r="GW7" s="142" t="s">
        <v>48</v>
      </c>
      <c r="GX7" s="142" t="s">
        <v>49</v>
      </c>
      <c r="GY7" s="142" t="s">
        <v>50</v>
      </c>
      <c r="GZ7" s="142" t="s">
        <v>51</v>
      </c>
      <c r="HA7" s="142" t="s">
        <v>52</v>
      </c>
      <c r="HB7" s="142" t="s">
        <v>53</v>
      </c>
      <c r="HC7" s="142" t="s">
        <v>54</v>
      </c>
      <c r="HD7" s="142" t="s">
        <v>55</v>
      </c>
      <c r="HE7" s="142" t="s">
        <v>56</v>
      </c>
      <c r="HF7" s="142" t="s">
        <v>57</v>
      </c>
      <c r="HG7" s="142" t="s">
        <v>58</v>
      </c>
      <c r="HH7" s="142" t="s">
        <v>59</v>
      </c>
      <c r="HI7" s="142" t="s">
        <v>60</v>
      </c>
      <c r="HJ7" s="142" t="s">
        <v>61</v>
      </c>
      <c r="HK7" s="142" t="s">
        <v>62</v>
      </c>
      <c r="HL7" s="142" t="s">
        <v>63</v>
      </c>
      <c r="HM7" s="142" t="s">
        <v>64</v>
      </c>
      <c r="HN7" s="142" t="s">
        <v>65</v>
      </c>
      <c r="HO7" s="142" t="s">
        <v>66</v>
      </c>
      <c r="HP7" s="142" t="s">
        <v>67</v>
      </c>
      <c r="HQ7" s="136"/>
      <c r="HR7" s="136"/>
      <c r="HS7" s="136"/>
      <c r="HT7" s="136"/>
      <c r="HU7" s="136"/>
      <c r="HV7" s="136"/>
      <c r="HW7" s="136"/>
      <c r="HX7" s="136"/>
      <c r="HY7" s="136"/>
      <c r="HZ7" s="81"/>
      <c r="IA7" s="81" t="s">
        <v>11</v>
      </c>
      <c r="IB7" s="82" t="s">
        <v>43</v>
      </c>
      <c r="IC7" s="82" t="s">
        <v>44</v>
      </c>
      <c r="ID7" s="82" t="s">
        <v>45</v>
      </c>
      <c r="IE7" s="82" t="s">
        <v>46</v>
      </c>
      <c r="IF7" s="82" t="s">
        <v>47</v>
      </c>
      <c r="IG7" s="82" t="s">
        <v>48</v>
      </c>
      <c r="IH7" s="82" t="s">
        <v>49</v>
      </c>
      <c r="II7" s="82" t="s">
        <v>50</v>
      </c>
      <c r="IJ7" s="82" t="s">
        <v>51</v>
      </c>
      <c r="IK7" s="82" t="s">
        <v>52</v>
      </c>
      <c r="IL7" s="82" t="s">
        <v>53</v>
      </c>
      <c r="IM7" s="82" t="s">
        <v>54</v>
      </c>
      <c r="IN7" s="82" t="s">
        <v>55</v>
      </c>
      <c r="IO7" s="82" t="s">
        <v>56</v>
      </c>
      <c r="IP7" s="82" t="s">
        <v>57</v>
      </c>
      <c r="IQ7" s="82" t="s">
        <v>58</v>
      </c>
      <c r="IR7" s="82" t="s">
        <v>59</v>
      </c>
      <c r="IS7" s="82" t="s">
        <v>60</v>
      </c>
      <c r="IT7" s="82" t="s">
        <v>61</v>
      </c>
      <c r="IU7" s="82" t="s">
        <v>62</v>
      </c>
      <c r="IV7" s="82" t="s">
        <v>63</v>
      </c>
      <c r="IW7" s="82" t="s">
        <v>64</v>
      </c>
      <c r="IX7" s="82" t="s">
        <v>65</v>
      </c>
      <c r="IY7" s="82" t="s">
        <v>66</v>
      </c>
      <c r="IZ7" s="82" t="s">
        <v>67</v>
      </c>
      <c r="JA7" s="81"/>
      <c r="JB7" s="81" t="s">
        <v>11</v>
      </c>
      <c r="JC7" s="82" t="s">
        <v>43</v>
      </c>
      <c r="JD7" s="82" t="s">
        <v>44</v>
      </c>
      <c r="JE7" s="82" t="s">
        <v>45</v>
      </c>
      <c r="JF7" s="82" t="s">
        <v>46</v>
      </c>
      <c r="JG7" s="82" t="s">
        <v>47</v>
      </c>
      <c r="JH7" s="82" t="s">
        <v>48</v>
      </c>
      <c r="JI7" s="82" t="s">
        <v>49</v>
      </c>
      <c r="JJ7" s="82" t="s">
        <v>50</v>
      </c>
      <c r="JK7" s="82" t="s">
        <v>51</v>
      </c>
      <c r="JL7" s="82" t="s">
        <v>52</v>
      </c>
      <c r="JM7" s="82" t="s">
        <v>53</v>
      </c>
      <c r="JN7" s="82" t="s">
        <v>54</v>
      </c>
      <c r="JO7" s="82" t="s">
        <v>55</v>
      </c>
      <c r="JP7" s="82" t="s">
        <v>56</v>
      </c>
      <c r="JQ7" s="82" t="s">
        <v>57</v>
      </c>
      <c r="JR7" s="82" t="s">
        <v>58</v>
      </c>
      <c r="JS7" s="82" t="s">
        <v>59</v>
      </c>
      <c r="JT7" s="82" t="s">
        <v>60</v>
      </c>
      <c r="JU7" s="82" t="s">
        <v>61</v>
      </c>
      <c r="JV7" s="82" t="s">
        <v>62</v>
      </c>
      <c r="JW7" s="82" t="s">
        <v>63</v>
      </c>
      <c r="JX7" s="82" t="s">
        <v>64</v>
      </c>
      <c r="JY7" s="82" t="s">
        <v>65</v>
      </c>
      <c r="JZ7" s="82" t="s">
        <v>66</v>
      </c>
      <c r="KA7" s="82" t="s">
        <v>67</v>
      </c>
    </row>
    <row r="8" spans="1:288" s="137" customFormat="1" ht="29.85" customHeight="1">
      <c r="A8" s="19" t="s">
        <v>68</v>
      </c>
      <c r="B8" s="249" t="s">
        <v>69</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Title.mt</v>
      </c>
      <c r="T8" s="19" t="str">
        <f>CONCATENATE(B8,".",T7)</f>
        <v>Title.nl</v>
      </c>
      <c r="U8" s="19" t="str">
        <f>CONCATENATE(B8,".",U7)</f>
        <v>Title.no</v>
      </c>
      <c r="V8" s="19" t="str">
        <f>CONCATENATE(B8,".",V7)</f>
        <v>Title.pl</v>
      </c>
      <c r="W8" s="19" t="str">
        <f>CONCATENATE(B8,".",W7)</f>
        <v>Title.pt</v>
      </c>
      <c r="X8" s="19" t="str">
        <f>CONCATENATE(B8,".",X7)</f>
        <v>Title.ro</v>
      </c>
      <c r="Y8" s="19" t="str">
        <f>CONCATENATE(B8,".",Y7)</f>
        <v>Title.sk</v>
      </c>
      <c r="Z8" s="19" t="str">
        <f>CONCATENATE(B8,".",Z7)</f>
        <v>Title.sl</v>
      </c>
      <c r="AA8" s="19" t="str">
        <f>CONCATENATE(B8,".",AA7)</f>
        <v>Title.sv</v>
      </c>
      <c r="AB8" s="19" t="s">
        <v>871</v>
      </c>
      <c r="AC8" s="19" t="s">
        <v>872</v>
      </c>
      <c r="AD8" s="19" t="s">
        <v>70</v>
      </c>
      <c r="AE8" s="19" t="str">
        <f>CONCATENATE(AD8,".",AE7)</f>
        <v>Description.bg</v>
      </c>
      <c r="AF8" s="19" t="str">
        <f>CONCATENATE(AD8,".",AF7)</f>
        <v>Description.cs</v>
      </c>
      <c r="AG8" s="19" t="str">
        <f>CONCATENATE(AD8,".",AG7)</f>
        <v>Description.da</v>
      </c>
      <c r="AH8" s="19" t="str">
        <f>CONCATENATE(AD8,".",AH7)</f>
        <v>Description.de</v>
      </c>
      <c r="AI8" s="19" t="str">
        <f>CONCATENATE(AD8,".",AI7)</f>
        <v>Description.el</v>
      </c>
      <c r="AJ8" s="19" t="str">
        <f>CONCATENATE(AD8,".",AJ7)</f>
        <v>Description.es</v>
      </c>
      <c r="AK8" s="19" t="str">
        <f>CONCATENATE(AD8,".",AK7)</f>
        <v>Description.et</v>
      </c>
      <c r="AL8" s="19" t="str">
        <f>CONCATENATE(AD8,".",AL7)</f>
        <v>Description.fi</v>
      </c>
      <c r="AM8" s="19" t="str">
        <f>CONCATENATE(AD8,".",AM7)</f>
        <v>Description.fr</v>
      </c>
      <c r="AN8" s="19" t="str">
        <f>CONCATENATE(AD8,".",AN7)</f>
        <v>Description.ga</v>
      </c>
      <c r="AO8" s="19" t="str">
        <f>CONCATENATE(AD8,".",AO7)</f>
        <v>Description.hr</v>
      </c>
      <c r="AP8" s="19" t="str">
        <f>CONCATENATE(AD8,".",AP7)</f>
        <v>Description.hu</v>
      </c>
      <c r="AQ8" s="19" t="str">
        <f>CONCATENATE(AD8,".",AQ7)</f>
        <v>Description.is</v>
      </c>
      <c r="AR8" s="19" t="str">
        <f>CONCATENATE(AD8,".",AR7)</f>
        <v>Description.it</v>
      </c>
      <c r="AS8" s="19" t="str">
        <f>CONCATENATE(AD8,".",AS7)</f>
        <v>Description.lt</v>
      </c>
      <c r="AT8" s="19" t="str">
        <f>CONCATENATE(AD8,".",AT7)</f>
        <v>Description.lv</v>
      </c>
      <c r="AU8" s="19" t="str">
        <f>CONCATENATE(AD8,".",AU7)</f>
        <v>Description.mt</v>
      </c>
      <c r="AV8" s="19" t="str">
        <f>CONCATENATE(AD8,".",AV7)</f>
        <v>Description.nl</v>
      </c>
      <c r="AW8" s="19" t="str">
        <f>CONCATENATE(AD8,".",AW7)</f>
        <v>Description.no</v>
      </c>
      <c r="AX8" s="19" t="str">
        <f>CONCATENATE(AD8,".",AX7)</f>
        <v>Description.pl</v>
      </c>
      <c r="AY8" s="19" t="str">
        <f>CONCATENATE(AD8,".",AY7)</f>
        <v>Description.pt</v>
      </c>
      <c r="AZ8" s="19" t="str">
        <f>CONCATENATE(AD8,".",AZ7)</f>
        <v>Description.ro</v>
      </c>
      <c r="BA8" s="19" t="str">
        <f>CONCATENATE(AD8,".",BA7)</f>
        <v>Description.sk</v>
      </c>
      <c r="BB8" s="19" t="str">
        <f>CONCATENATE(AD8,".",BB7)</f>
        <v>Description.sl</v>
      </c>
      <c r="BC8" s="19" t="str">
        <f>CONCATENATE(AD8,".",BC7)</f>
        <v>Description.sv</v>
      </c>
      <c r="BD8" s="19" t="s">
        <v>873</v>
      </c>
      <c r="BE8" s="19" t="s">
        <v>874</v>
      </c>
      <c r="BF8" s="19" t="s">
        <v>875</v>
      </c>
      <c r="BG8" s="19" t="s">
        <v>876</v>
      </c>
      <c r="BH8" s="19"/>
      <c r="BI8" s="19" t="s">
        <v>328</v>
      </c>
      <c r="BJ8" s="19" t="str">
        <f>CONCATENATE(BI8,".",BJ7)</f>
        <v>Location Name.bg</v>
      </c>
      <c r="BK8" s="19" t="str">
        <f>CONCATENATE(BI8,".",BK7)</f>
        <v>Location Name.cs</v>
      </c>
      <c r="BL8" s="19" t="str">
        <f>CONCATENATE(BI8,".",BL7)</f>
        <v>Location Name.da</v>
      </c>
      <c r="BM8" s="19" t="str">
        <f>CONCATENATE(BI8,".",BM7)</f>
        <v>Location Name.de</v>
      </c>
      <c r="BN8" s="19" t="str">
        <f>CONCATENATE(BI8,".",BN7)</f>
        <v>Location Name.el</v>
      </c>
      <c r="BO8" s="19" t="str">
        <f>CONCATENATE(BI8,".",BO7)</f>
        <v>Location Name.es</v>
      </c>
      <c r="BP8" s="19" t="str">
        <f>CONCATENATE(BI8,".",BP7)</f>
        <v>Location Name.et</v>
      </c>
      <c r="BQ8" s="19" t="str">
        <f>CONCATENATE(BI8,".",BQ7)</f>
        <v>Location Name.fi</v>
      </c>
      <c r="BR8" s="19" t="str">
        <f>CONCATENATE(BI8,".",BR7)</f>
        <v>Location Name.fr</v>
      </c>
      <c r="BS8" s="19" t="str">
        <f>CONCATENATE(BI8,".",BS7)</f>
        <v>Location Name.ga</v>
      </c>
      <c r="BT8" s="19" t="str">
        <f>CONCATENATE(BI8,".",BT7)</f>
        <v>Location Name.hr</v>
      </c>
      <c r="BU8" s="19" t="str">
        <f>CONCATENATE(BI8,".",BU7)</f>
        <v>Location Name.hu</v>
      </c>
      <c r="BV8" s="19" t="str">
        <f>CONCATENATE(BI8,".",BV7)</f>
        <v>Location Name.is</v>
      </c>
      <c r="BW8" s="19" t="str">
        <f>CONCATENATE(BI8,".",BW7)</f>
        <v>Location Name.it</v>
      </c>
      <c r="BX8" s="19" t="str">
        <f>CONCATENATE(BI8,".",BX7)</f>
        <v>Location Name.lt</v>
      </c>
      <c r="BY8" s="19" t="str">
        <f>CONCATENATE(BI8,".",BY7)</f>
        <v>Location Name.lv</v>
      </c>
      <c r="BZ8" s="19" t="str">
        <f>CONCATENATE(BI8,".",BZ7)</f>
        <v>Location Name.mt</v>
      </c>
      <c r="CA8" s="19" t="str">
        <f>CONCATENATE(BI8,".",CA7)</f>
        <v>Location Name.nl</v>
      </c>
      <c r="CB8" s="19" t="str">
        <f>CONCATENATE(BI8,".",CB7)</f>
        <v>Location Name.no</v>
      </c>
      <c r="CC8" s="19" t="str">
        <f>CONCATENATE(BI8,".",CC7)</f>
        <v>Location Name.pl</v>
      </c>
      <c r="CD8" s="19" t="str">
        <f>CONCATENATE(BI8,".",CD7)</f>
        <v>Location Name.pt</v>
      </c>
      <c r="CE8" s="19" t="str">
        <f>CONCATENATE(BI8,".",CE7)</f>
        <v>Location Name.ro</v>
      </c>
      <c r="CF8" s="19" t="str">
        <f>CONCATENATE(BI8,".",CF7)</f>
        <v>Location Name.sk</v>
      </c>
      <c r="CG8" s="19" t="str">
        <f>CONCATENATE(BI8,".",CG7)</f>
        <v>Location Name.sl</v>
      </c>
      <c r="CH8" s="19" t="str">
        <f>CONCATENATE(BI8,".",CH7)</f>
        <v>Location Name.sv</v>
      </c>
      <c r="CI8" s="19" t="s">
        <v>219</v>
      </c>
      <c r="CJ8" s="19" t="str">
        <f>CONCATENATE(CI8,".",CJ7)</f>
        <v>Full Address.bg</v>
      </c>
      <c r="CK8" s="19" t="str">
        <f>CONCATENATE(CI8,".",CK7)</f>
        <v>Full Address.cs</v>
      </c>
      <c r="CL8" s="19" t="str">
        <f>CONCATENATE(CI8,".",CL7)</f>
        <v>Full Address.da</v>
      </c>
      <c r="CM8" s="19" t="str">
        <f>CONCATENATE(CI8,".",CM7)</f>
        <v>Full Address.de</v>
      </c>
      <c r="CN8" s="19" t="str">
        <f>CONCATENATE(CI8,".",CN7)</f>
        <v>Full Address.el</v>
      </c>
      <c r="CO8" s="19" t="str">
        <f>CONCATENATE(CI8,".",CO7)</f>
        <v>Full Address.es</v>
      </c>
      <c r="CP8" s="19" t="str">
        <f>CONCATENATE(CI8,".",CP7)</f>
        <v>Full Address.et</v>
      </c>
      <c r="CQ8" s="19" t="str">
        <f>CONCATENATE(CI8,".",CQ7)</f>
        <v>Full Address.fi</v>
      </c>
      <c r="CR8" s="19" t="str">
        <f>CONCATENATE(CI8,".",CR7)</f>
        <v>Full Address.fr</v>
      </c>
      <c r="CS8" s="19" t="str">
        <f>CONCATENATE(CI8,".",CS7)</f>
        <v>Full Address.ga</v>
      </c>
      <c r="CT8" s="19" t="str">
        <f>CONCATENATE(CI8,".",CT7)</f>
        <v>Full Address.hr</v>
      </c>
      <c r="CU8" s="19" t="str">
        <f>CONCATENATE(CI8,".",CU7)</f>
        <v>Full Address.hu</v>
      </c>
      <c r="CV8" s="19" t="str">
        <f>CONCATENATE(CI8,".",CV7)</f>
        <v>Full Address.is</v>
      </c>
      <c r="CW8" s="19" t="str">
        <f>CONCATENATE(CI8,".",CW7)</f>
        <v>Full Address.it</v>
      </c>
      <c r="CX8" s="19" t="str">
        <f>CONCATENATE(CI8,".",CX7)</f>
        <v>Full Address.lt</v>
      </c>
      <c r="CY8" s="19" t="str">
        <f>CONCATENATE(CI8,".",CY7)</f>
        <v>Full Address.lv</v>
      </c>
      <c r="CZ8" s="19" t="str">
        <f>CONCATENATE(CI8,".",CZ7)</f>
        <v>Full Address.mt</v>
      </c>
      <c r="DA8" s="19" t="str">
        <f>CONCATENATE(CI8,".",DA7)</f>
        <v>Full Address.nl</v>
      </c>
      <c r="DB8" s="19" t="str">
        <f>CONCATENATE(CI8,".",DB7)</f>
        <v>Full Address.no</v>
      </c>
      <c r="DC8" s="19" t="str">
        <f>CONCATENATE(CI8,".",DC7)</f>
        <v>Full Address.pl</v>
      </c>
      <c r="DD8" s="19" t="str">
        <f>CONCATENATE(CI8,".",DD7)</f>
        <v>Full Address.pt</v>
      </c>
      <c r="DE8" s="19" t="str">
        <f>CONCATENATE(CI8,".",DE7)</f>
        <v>Full Address.ro</v>
      </c>
      <c r="DF8" s="19" t="str">
        <f>CONCATENATE(CI8,".",DF7)</f>
        <v>Full Address.sk</v>
      </c>
      <c r="DG8" s="19" t="str">
        <f>CONCATENATE(CI8,".",DG7)</f>
        <v>Full Address.sl</v>
      </c>
      <c r="DH8" s="19" t="str">
        <f>CONCATENATE(CI8,".",DH7)</f>
        <v>Full Address.sv</v>
      </c>
      <c r="DI8" s="19" t="s">
        <v>329</v>
      </c>
      <c r="DJ8" s="19"/>
      <c r="DK8" s="19" t="s">
        <v>877</v>
      </c>
      <c r="DL8" s="19"/>
      <c r="DM8" s="19" t="s">
        <v>533</v>
      </c>
      <c r="DN8" s="19" t="s">
        <v>534</v>
      </c>
      <c r="DO8" s="19" t="str">
        <f>CONCATENATE(DN8,".",DO7)</f>
        <v>More Information Content.bg</v>
      </c>
      <c r="DP8" s="19" t="str">
        <f>CONCATENATE(DN8,".",DP7)</f>
        <v>More Information Content.cs</v>
      </c>
      <c r="DQ8" s="19" t="str">
        <f>CONCATENATE(DN8,".",DQ7)</f>
        <v>More Information Content.da</v>
      </c>
      <c r="DR8" s="19" t="str">
        <f>CONCATENATE(DN8,".",DR7)</f>
        <v>More Information Content.de</v>
      </c>
      <c r="DS8" s="19" t="str">
        <f>CONCATENATE(DN8,".",DS7)</f>
        <v>More Information Content.el</v>
      </c>
      <c r="DT8" s="19" t="str">
        <f>CONCATENATE(DN8,".",DT7)</f>
        <v>More Information Content.es</v>
      </c>
      <c r="DU8" s="19" t="str">
        <f>CONCATENATE(DN8,".",DU7)</f>
        <v>More Information Content.et</v>
      </c>
      <c r="DV8" s="19" t="str">
        <f>CONCATENATE(DN8,".",DV7)</f>
        <v>More Information Content.fi</v>
      </c>
      <c r="DW8" s="19" t="str">
        <f>CONCATENATE(DN8,".",DW7)</f>
        <v>More Information Content.fr</v>
      </c>
      <c r="DX8" s="19" t="str">
        <f>CONCATENATE(DN8,".",DX7)</f>
        <v>More Information Content.ga</v>
      </c>
      <c r="DY8" s="19" t="str">
        <f>CONCATENATE(DN8,".",DY7)</f>
        <v>More Information Content.hr</v>
      </c>
      <c r="DZ8" s="19" t="str">
        <f>CONCATENATE(DN8,".",DZ7)</f>
        <v>More Information Content.hu</v>
      </c>
      <c r="EA8" s="19" t="str">
        <f>CONCATENATE(DN8,".",EA7)</f>
        <v>More Information Content.is</v>
      </c>
      <c r="EB8" s="19" t="str">
        <f>CONCATENATE(DN8,".",EB7)</f>
        <v>More Information Content.it</v>
      </c>
      <c r="EC8" s="19" t="str">
        <f>CONCATENATE(DN8,".",EC7)</f>
        <v>More Information Content.lt</v>
      </c>
      <c r="ED8" s="19" t="str">
        <f>CONCATENATE(DN8,".",ED7)</f>
        <v>More Information Content.lv</v>
      </c>
      <c r="EE8" s="19" t="str">
        <f>CONCATENATE(DN8,".",EE7)</f>
        <v>More Information Content.mt</v>
      </c>
      <c r="EF8" s="19" t="str">
        <f>CONCATENATE(DN8,".",EF7)</f>
        <v>More Information Content.nl</v>
      </c>
      <c r="EG8" s="19" t="str">
        <f>CONCATENATE(DN8,".",EG7)</f>
        <v>More Information Content.no</v>
      </c>
      <c r="EH8" s="19" t="str">
        <f>CONCATENATE(DN8,".",EH7)</f>
        <v>More Information Content.pl</v>
      </c>
      <c r="EI8" s="19" t="str">
        <f>CONCATENATE(DN8,".",EI7)</f>
        <v>More Information Content.pt</v>
      </c>
      <c r="EJ8" s="19" t="str">
        <f>CONCATENATE(DN8,".",EJ7)</f>
        <v>More Information Content.ro</v>
      </c>
      <c r="EK8" s="19" t="str">
        <f>CONCATENATE(DN8,".",EK7)</f>
        <v>More Information Content.sk</v>
      </c>
      <c r="EL8" s="19" t="str">
        <f>CONCATENATE(DN8,".",EL7)</f>
        <v>More Information Content.sl</v>
      </c>
      <c r="EM8" s="19" t="str">
        <f>CONCATENATE(DN8,".",EM7)</f>
        <v>More Information Content.sv</v>
      </c>
      <c r="EN8" s="19" t="s">
        <v>535</v>
      </c>
      <c r="EO8" s="5" t="s">
        <v>536</v>
      </c>
      <c r="EP8" s="6" t="str">
        <f>CONCATENATE(EO8,".",EP7)</f>
        <v>Additional Field Content.bg</v>
      </c>
      <c r="EQ8" s="6" t="str">
        <f>CONCATENATE(EO8,".",EQ7)</f>
        <v>Additional Field Content.cs</v>
      </c>
      <c r="ER8" s="6" t="str">
        <f>CONCATENATE(EO8,".",ER7)</f>
        <v>Additional Field Content.da</v>
      </c>
      <c r="ES8" s="6" t="str">
        <f>CONCATENATE(EO8,".",ES7)</f>
        <v>Additional Field Content.de</v>
      </c>
      <c r="ET8" s="6" t="str">
        <f>CONCATENATE(EO8,".",ET7)</f>
        <v>Additional Field Content.el</v>
      </c>
      <c r="EU8" s="6" t="str">
        <f>CONCATENATE(EO8,".",EU7)</f>
        <v>Additional Field Content.es</v>
      </c>
      <c r="EV8" s="6" t="str">
        <f>CONCATENATE(EO8,".",EV7)</f>
        <v>Additional Field Content.et</v>
      </c>
      <c r="EW8" s="6" t="str">
        <f>CONCATENATE(EO8,".",EW7)</f>
        <v>Additional Field Content.fi</v>
      </c>
      <c r="EX8" s="6" t="str">
        <f>CONCATENATE(EO8,".",EX7)</f>
        <v>Additional Field Content.fr</v>
      </c>
      <c r="EY8" s="6" t="str">
        <f>CONCATENATE(EO8,".",EY7)</f>
        <v>Additional Field Content.ga</v>
      </c>
      <c r="EZ8" s="6" t="str">
        <f>CONCATENATE(EO8,".",EZ7)</f>
        <v>Additional Field Content.hr</v>
      </c>
      <c r="FA8" s="6" t="str">
        <f>CONCATENATE(EO8,".",FA7)</f>
        <v>Additional Field Content.hu</v>
      </c>
      <c r="FB8" s="6" t="str">
        <f>CONCATENATE(EO8,".",FB7)</f>
        <v>Additional Field Content.is</v>
      </c>
      <c r="FC8" s="6" t="str">
        <f>CONCATENATE(EO8,".",FC7)</f>
        <v>Additional Field Content.it</v>
      </c>
      <c r="FD8" s="6" t="str">
        <f>CONCATENATE(EO8,".",FD7)</f>
        <v>Additional Field Content.lt</v>
      </c>
      <c r="FE8" s="6" t="str">
        <f>CONCATENATE(EO8,".",FE7)</f>
        <v>Additional Field Content.lv</v>
      </c>
      <c r="FF8" s="6" t="str">
        <f>CONCATENATE(EO8,".",FF7)</f>
        <v>Additional Field Content.mt</v>
      </c>
      <c r="FG8" s="6" t="str">
        <f>CONCATENATE(EO8,".",FG7)</f>
        <v>Additional Field Content.nl</v>
      </c>
      <c r="FH8" s="6" t="str">
        <f>CONCATENATE(EO8,".",FH7)</f>
        <v>Additional Field Content.no</v>
      </c>
      <c r="FI8" s="6" t="str">
        <f>CONCATENATE(EO8,".",FI7)</f>
        <v>Additional Field Content.pl</v>
      </c>
      <c r="FJ8" s="6" t="str">
        <f>CONCATENATE(EO8,".",FJ7)</f>
        <v>Additional Field Content.pt</v>
      </c>
      <c r="FK8" s="6" t="str">
        <f>CONCATENATE(EO8,".",FK7)</f>
        <v>Additional Field Content.ro</v>
      </c>
      <c r="FL8" s="6" t="str">
        <f>CONCATENATE(EO8,".",FL7)</f>
        <v>Additional Field Content.sk</v>
      </c>
      <c r="FM8" s="6" t="str">
        <f>CONCATENATE(EO8,".",FM7)</f>
        <v>Additional Field Content.sl</v>
      </c>
      <c r="FN8" s="6" t="str">
        <f>CONCATENATE(EO8,".",FN7)</f>
        <v>Additional Field Content.sv</v>
      </c>
      <c r="FO8" s="223" t="s">
        <v>517</v>
      </c>
      <c r="FP8" s="200" t="str">
        <f>_xlfn.CONCAT(FO8,".",FP7)</f>
        <v>Specification Title.bg</v>
      </c>
      <c r="FQ8" s="200" t="str">
        <f>_xlfn.CONCAT(FO8,".",FQ7)</f>
        <v>Specification Title.cs</v>
      </c>
      <c r="FR8" s="200" t="str">
        <f>_xlfn.CONCAT(FO8,".",FR7)</f>
        <v>Specification Title.da</v>
      </c>
      <c r="FS8" s="200" t="str">
        <f>_xlfn.CONCAT(FO8,".",FS7)</f>
        <v>Specification Title.de</v>
      </c>
      <c r="FT8" s="200" t="str">
        <f>_xlfn.CONCAT(FO8,".",FT7)</f>
        <v>Specification Title.el</v>
      </c>
      <c r="FU8" s="200" t="str">
        <f>_xlfn.CONCAT(FO8,".",FU7)</f>
        <v>Specification Title.es</v>
      </c>
      <c r="FV8" s="200" t="str">
        <f>_xlfn.CONCAT(FO8,".",FV7)</f>
        <v>Specification Title.et</v>
      </c>
      <c r="FW8" s="200" t="str">
        <f>_xlfn.CONCAT(FO8,".",FW7)</f>
        <v>Specification Title.fi</v>
      </c>
      <c r="FX8" s="200" t="str">
        <f>_xlfn.CONCAT(FO8,".",FX7)</f>
        <v>Specification Title.fr</v>
      </c>
      <c r="FY8" s="200" t="str">
        <f>_xlfn.CONCAT(FO8,".",FY7)</f>
        <v>Specification Title.ga</v>
      </c>
      <c r="FZ8" s="200" t="str">
        <f>_xlfn.CONCAT(FO8,".",FZ7)</f>
        <v>Specification Title.hr</v>
      </c>
      <c r="GA8" s="200" t="str">
        <f>_xlfn.CONCAT(FO8,".",GA7)</f>
        <v>Specification Title.hu</v>
      </c>
      <c r="GB8" s="200" t="str">
        <f>_xlfn.CONCAT(FO8,".",GB7)</f>
        <v>Specification Title.is</v>
      </c>
      <c r="GC8" s="200" t="str">
        <f>_xlfn.CONCAT(FO8,".",GC7)</f>
        <v>Specification Title.it</v>
      </c>
      <c r="GD8" s="200" t="str">
        <f>_xlfn.CONCAT(FO8,".",GD7)</f>
        <v>Specification Title.lt</v>
      </c>
      <c r="GE8" s="200" t="str">
        <f>_xlfn.CONCAT(FO8,".",GE7)</f>
        <v>Specification Title.lv</v>
      </c>
      <c r="GF8" s="200" t="str">
        <f>_xlfn.CONCAT(FO8,".",GF7)</f>
        <v>Specification Title.mt</v>
      </c>
      <c r="GG8" s="200" t="str">
        <f>_xlfn.CONCAT(FO8,".",GG7)</f>
        <v>Specification Title.nl</v>
      </c>
      <c r="GH8" s="200" t="str">
        <f>_xlfn.CONCAT(FO8,".",GH7)</f>
        <v>Specification Title.no</v>
      </c>
      <c r="GI8" s="200" t="str">
        <f>_xlfn.CONCAT(FO8,".",GI7)</f>
        <v>Specification Title.pl</v>
      </c>
      <c r="GJ8" s="200" t="str">
        <f>_xlfn.CONCAT(FO8,".",GJ7)</f>
        <v>Specification Title.pt</v>
      </c>
      <c r="GK8" s="200" t="str">
        <f>_xlfn.CONCAT(FO8,".",GK7)</f>
        <v>Specification Title.ro</v>
      </c>
      <c r="GL8" s="200" t="str">
        <f>_xlfn.CONCAT(FO8,".",GL7)</f>
        <v>Specification Title.sk</v>
      </c>
      <c r="GM8" s="200" t="str">
        <f>_xlfn.CONCAT(FO8,".",GM7)</f>
        <v>Specification Title.sl</v>
      </c>
      <c r="GN8" s="200" t="str">
        <f>_xlfn.CONCAT(FO8,".",GN7)</f>
        <v>Specification Title.sv</v>
      </c>
      <c r="GO8" s="200" t="s">
        <v>878</v>
      </c>
      <c r="GP8" s="200" t="s">
        <v>879</v>
      </c>
      <c r="GQ8" s="5" t="s">
        <v>518</v>
      </c>
      <c r="GR8" s="5" t="str">
        <f>_xlfn.CONCAT(GQ8,".",GR7)</f>
        <v>Specification Description.bg</v>
      </c>
      <c r="GS8" s="5" t="str">
        <f>_xlfn.CONCAT(GQ8,".",GS7)</f>
        <v>Specification Description.cs</v>
      </c>
      <c r="GT8" s="5" t="str">
        <f>_xlfn.CONCAT(GQ8,".",GT7)</f>
        <v>Specification Description.da</v>
      </c>
      <c r="GU8" s="5" t="str">
        <f>_xlfn.CONCAT(GQ8,".",GU7)</f>
        <v>Specification Description.de</v>
      </c>
      <c r="GV8" s="5" t="str">
        <f>_xlfn.CONCAT(GQ8,".",GV7)</f>
        <v>Specification Description.el</v>
      </c>
      <c r="GW8" s="5" t="str">
        <f>_xlfn.CONCAT(GQ8,".",GW7)</f>
        <v>Specification Description.es</v>
      </c>
      <c r="GX8" s="5" t="str">
        <f>_xlfn.CONCAT(GQ8,".",GX7)</f>
        <v>Specification Description.et</v>
      </c>
      <c r="GY8" s="5" t="str">
        <f>_xlfn.CONCAT(GQ8,".",GY7)</f>
        <v>Specification Description.fi</v>
      </c>
      <c r="GZ8" s="5" t="str">
        <f>_xlfn.CONCAT(GQ8,".",GZ7)</f>
        <v>Specification Description.fr</v>
      </c>
      <c r="HA8" s="5" t="str">
        <f>_xlfn.CONCAT(GQ8,".",HA7)</f>
        <v>Specification Description.ga</v>
      </c>
      <c r="HB8" s="5" t="str">
        <f>_xlfn.CONCAT(GQ8,".",HB7)</f>
        <v>Specification Description.hr</v>
      </c>
      <c r="HC8" s="5" t="str">
        <f>_xlfn.CONCAT(GQ8,".",HC7)</f>
        <v>Specification Description.hu</v>
      </c>
      <c r="HD8" s="5" t="str">
        <f>_xlfn.CONCAT(GQ8,".",HD7)</f>
        <v>Specification Description.is</v>
      </c>
      <c r="HE8" s="5" t="str">
        <f>_xlfn.CONCAT(GQ8,".",HE7)</f>
        <v>Specification Description.it</v>
      </c>
      <c r="HF8" s="5" t="str">
        <f>_xlfn.CONCAT(GQ8,".",HF7)</f>
        <v>Specification Description.lt</v>
      </c>
      <c r="HG8" s="5" t="str">
        <f>_xlfn.CONCAT(GQ8,".",HG7)</f>
        <v>Specification Description.lv</v>
      </c>
      <c r="HH8" s="5" t="str">
        <f>_xlfn.CONCAT(GQ8,".",HH7)</f>
        <v>Specification Description.mt</v>
      </c>
      <c r="HI8" s="5" t="str">
        <f>_xlfn.CONCAT(GQ8,".",HI7)</f>
        <v>Specification Description.nl</v>
      </c>
      <c r="HJ8" s="5" t="str">
        <f>_xlfn.CONCAT(GQ8,".",HJ7)</f>
        <v>Specification Description.no</v>
      </c>
      <c r="HK8" s="5" t="str">
        <f>_xlfn.CONCAT(GQ8,".",HK7)</f>
        <v>Specification Description.pl</v>
      </c>
      <c r="HL8" s="5" t="str">
        <f>_xlfn.CONCAT(GQ8,".",HL7)</f>
        <v>Specification Description.pt</v>
      </c>
      <c r="HM8" s="5" t="str">
        <f>_xlfn.CONCAT(GQ8,".",HM7)</f>
        <v>Specification Description.ro</v>
      </c>
      <c r="HN8" s="5" t="str">
        <f>_xlfn.CONCAT(GQ8,".",HN7)</f>
        <v>Specification Description.sk</v>
      </c>
      <c r="HO8" s="5" t="str">
        <f>_xlfn.CONCAT(GQ8,".",HO7)</f>
        <v>Specification Description.sl</v>
      </c>
      <c r="HP8" s="5" t="str">
        <f>_xlfn.CONCAT(GQ8,".",HP7)</f>
        <v>Specification Description.sv</v>
      </c>
      <c r="HQ8" s="5" t="s">
        <v>880</v>
      </c>
      <c r="HR8" s="5" t="s">
        <v>881</v>
      </c>
      <c r="HS8" s="5"/>
      <c r="HT8" s="5" t="s">
        <v>527</v>
      </c>
      <c r="HU8" s="5"/>
      <c r="HV8" s="5" t="s">
        <v>523</v>
      </c>
      <c r="HW8" s="5" t="s">
        <v>528</v>
      </c>
      <c r="HX8" s="5"/>
      <c r="HY8" s="5" t="s">
        <v>532</v>
      </c>
      <c r="HZ8" s="5" t="s">
        <v>533</v>
      </c>
      <c r="IA8" s="5" t="s">
        <v>534</v>
      </c>
      <c r="IB8" s="5" t="str">
        <f>CONCATENATE(IA8,".",IB7)</f>
        <v>More Information Content.bg</v>
      </c>
      <c r="IC8" s="5" t="str">
        <f>CONCATENATE(IA8,".",IC7)</f>
        <v>More Information Content.cs</v>
      </c>
      <c r="ID8" s="5" t="str">
        <f>CONCATENATE(IA8,".",ID7)</f>
        <v>More Information Content.da</v>
      </c>
      <c r="IE8" s="5" t="str">
        <f>CONCATENATE(IA8,".",IE7)</f>
        <v>More Information Content.de</v>
      </c>
      <c r="IF8" s="5" t="str">
        <f>CONCATENATE(IA8,".",IF7)</f>
        <v>More Information Content.el</v>
      </c>
      <c r="IG8" s="5" t="str">
        <f>CONCATENATE(IA8,".",IG7)</f>
        <v>More Information Content.es</v>
      </c>
      <c r="IH8" s="5" t="str">
        <f>CONCATENATE(IA8,".",IH7)</f>
        <v>More Information Content.et</v>
      </c>
      <c r="II8" s="5" t="str">
        <f>CONCATENATE(IA8,".",II7)</f>
        <v>More Information Content.fi</v>
      </c>
      <c r="IJ8" s="5" t="str">
        <f>CONCATENATE(IA8,".",IJ7)</f>
        <v>More Information Content.fr</v>
      </c>
      <c r="IK8" s="5" t="str">
        <f>CONCATENATE(IA8,".",IK7)</f>
        <v>More Information Content.ga</v>
      </c>
      <c r="IL8" s="5" t="str">
        <f>CONCATENATE(IA8,".",IL7)</f>
        <v>More Information Content.hr</v>
      </c>
      <c r="IM8" s="5" t="str">
        <f>CONCATENATE(IA8,".",IM7)</f>
        <v>More Information Content.hu</v>
      </c>
      <c r="IN8" s="5" t="str">
        <f>CONCATENATE(IA8,".",IN7)</f>
        <v>More Information Content.is</v>
      </c>
      <c r="IO8" s="5" t="str">
        <f>CONCATENATE(IA8,".",IO7)</f>
        <v>More Information Content.it</v>
      </c>
      <c r="IP8" s="5" t="str">
        <f>CONCATENATE(IA8,".",IP7)</f>
        <v>More Information Content.lt</v>
      </c>
      <c r="IQ8" s="5" t="str">
        <f>CONCATENATE(IA8,".",IQ7)</f>
        <v>More Information Content.lv</v>
      </c>
      <c r="IR8" s="5" t="str">
        <f>CONCATENATE(IA8,".",IR7)</f>
        <v>More Information Content.mt</v>
      </c>
      <c r="IS8" s="5" t="str">
        <f>CONCATENATE(IA8,".",IS7)</f>
        <v>More Information Content.nl</v>
      </c>
      <c r="IT8" s="5" t="str">
        <f>CONCATENATE(IA8,".",IT7)</f>
        <v>More Information Content.no</v>
      </c>
      <c r="IU8" s="5" t="str">
        <f>CONCATENATE(IA8,".",IU7)</f>
        <v>More Information Content.pl</v>
      </c>
      <c r="IV8" s="5" t="str">
        <f>CONCATENATE(IA8,".",IV7)</f>
        <v>More Information Content.pt</v>
      </c>
      <c r="IW8" s="5" t="str">
        <f>CONCATENATE(IA8,".",IW7)</f>
        <v>More Information Content.ro</v>
      </c>
      <c r="IX8" s="5" t="str">
        <f>CONCATENATE(IA8,".",IX7)</f>
        <v>More Information Content.sk</v>
      </c>
      <c r="IY8" s="5" t="str">
        <f>CONCATENATE(IA8,".",IY7)</f>
        <v>More Information Content.sl</v>
      </c>
      <c r="IZ8" s="5" t="str">
        <f>CONCATENATE(IA8,".",IZ7)</f>
        <v>More Information Content.sv</v>
      </c>
      <c r="JA8" s="5" t="s">
        <v>535</v>
      </c>
      <c r="JB8" s="5" t="s">
        <v>536</v>
      </c>
      <c r="JC8" s="6" t="str">
        <f>CONCATENATE(JB8,".",JC7)</f>
        <v>Additional Field Content.bg</v>
      </c>
      <c r="JD8" s="6" t="str">
        <f>CONCATENATE(JB8,".",JD7)</f>
        <v>Additional Field Content.cs</v>
      </c>
      <c r="JE8" s="6" t="str">
        <f>CONCATENATE(JB8,".",JE7)</f>
        <v>Additional Field Content.da</v>
      </c>
      <c r="JF8" s="6" t="str">
        <f>CONCATENATE(JB8,".",JF7)</f>
        <v>Additional Field Content.de</v>
      </c>
      <c r="JG8" s="6" t="str">
        <f>CONCATENATE(JB8,".",JG7)</f>
        <v>Additional Field Content.el</v>
      </c>
      <c r="JH8" s="6" t="str">
        <f>CONCATENATE(JB8,".",JH7)</f>
        <v>Additional Field Content.es</v>
      </c>
      <c r="JI8" s="6" t="str">
        <f>CONCATENATE(JB8,".",JI7)</f>
        <v>Additional Field Content.et</v>
      </c>
      <c r="JJ8" s="6" t="str">
        <f>CONCATENATE(JB8,".",JJ7)</f>
        <v>Additional Field Content.fi</v>
      </c>
      <c r="JK8" s="6" t="str">
        <f>CONCATENATE(JB8,".",JK7)</f>
        <v>Additional Field Content.fr</v>
      </c>
      <c r="JL8" s="6" t="str">
        <f>CONCATENATE(JB8,".",JL7)</f>
        <v>Additional Field Content.ga</v>
      </c>
      <c r="JM8" s="6" t="str">
        <f>CONCATENATE(JB8,".",JM7)</f>
        <v>Additional Field Content.hr</v>
      </c>
      <c r="JN8" s="6" t="str">
        <f>CONCATENATE(JB8,".",JN7)</f>
        <v>Additional Field Content.hu</v>
      </c>
      <c r="JO8" s="6" t="str">
        <f>CONCATENATE(JB8,".",JO7)</f>
        <v>Additional Field Content.is</v>
      </c>
      <c r="JP8" s="6" t="str">
        <f>CONCATENATE(JB8,".",JP7)</f>
        <v>Additional Field Content.it</v>
      </c>
      <c r="JQ8" s="6" t="str">
        <f>CONCATENATE(JB8,".",JQ7)</f>
        <v>Additional Field Content.lt</v>
      </c>
      <c r="JR8" s="6" t="str">
        <f>CONCATENATE(JB8,".",JR7)</f>
        <v>Additional Field Content.lv</v>
      </c>
      <c r="JS8" s="6" t="str">
        <f>CONCATENATE(JB8,".",JS7)</f>
        <v>Additional Field Content.mt</v>
      </c>
      <c r="JT8" s="6" t="str">
        <f>CONCATENATE(JB8,".",JT7)</f>
        <v>Additional Field Content.nl</v>
      </c>
      <c r="JU8" s="6" t="str">
        <f>CONCATENATE(JB8,".",JU7)</f>
        <v>Additional Field Content.no</v>
      </c>
      <c r="JV8" s="6" t="str">
        <f>CONCATENATE(JB8,".",JV7)</f>
        <v>Additional Field Content.pl</v>
      </c>
      <c r="JW8" s="6" t="str">
        <f>CONCATENATE(JB8,".",JW7)</f>
        <v>Additional Field Content.pt</v>
      </c>
      <c r="JX8" s="6" t="str">
        <f>CONCATENATE(JB8,".",JX7)</f>
        <v>Additional Field Content.ro</v>
      </c>
      <c r="JY8" s="6" t="str">
        <f>CONCATENATE(JB8,".",JY7)</f>
        <v>Additional Field Content.sk</v>
      </c>
      <c r="JZ8" s="6" t="str">
        <f>CONCATENATE(JB8,".",JZ7)</f>
        <v>Additional Field Content.sl</v>
      </c>
      <c r="KA8" s="6" t="str">
        <f>CONCATENATE(JB8,".",KA7)</f>
        <v>Additional Field Content.sv</v>
      </c>
    </row>
    <row r="9" spans="1:288" s="137" customFormat="1" ht="95.1" customHeight="1">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7" t="s">
        <v>540</v>
      </c>
      <c r="AE9" s="7"/>
      <c r="AF9" s="26"/>
      <c r="AG9" s="26"/>
      <c r="AH9" s="26"/>
      <c r="AI9" s="26"/>
      <c r="AJ9" s="26"/>
      <c r="AK9" s="26"/>
      <c r="AL9" s="26"/>
      <c r="AM9" s="26"/>
      <c r="AN9" s="26"/>
      <c r="AO9" s="26"/>
      <c r="AP9" s="26"/>
      <c r="AQ9" s="26"/>
      <c r="AR9" s="26"/>
      <c r="AS9" s="26"/>
      <c r="AT9" s="26"/>
      <c r="AU9" s="26"/>
      <c r="AV9" s="26"/>
      <c r="AW9" s="26"/>
      <c r="AX9" s="26"/>
      <c r="AY9" s="26"/>
      <c r="AZ9" s="26"/>
      <c r="BA9" s="26"/>
      <c r="BB9" s="26"/>
      <c r="BC9" s="26"/>
      <c r="BD9" s="26" t="s">
        <v>882</v>
      </c>
      <c r="BE9" s="26" t="s">
        <v>883</v>
      </c>
      <c r="BF9" s="26" t="s">
        <v>884</v>
      </c>
      <c r="BG9" s="26" t="s">
        <v>885</v>
      </c>
      <c r="BH9" s="26"/>
      <c r="BI9" s="26" t="s">
        <v>886</v>
      </c>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t="s">
        <v>887</v>
      </c>
      <c r="DJ9" s="26"/>
      <c r="DK9" s="26" t="s">
        <v>888</v>
      </c>
      <c r="DL9" s="26"/>
      <c r="DM9" s="77"/>
      <c r="DN9" s="77" t="s">
        <v>540</v>
      </c>
      <c r="DO9" s="77"/>
      <c r="DP9" s="77"/>
      <c r="DQ9" s="77"/>
      <c r="DR9" s="77"/>
      <c r="DS9" s="77"/>
      <c r="DT9" s="77"/>
      <c r="DU9" s="77"/>
      <c r="DV9" s="77"/>
      <c r="DW9" s="77"/>
      <c r="DX9" s="77"/>
      <c r="DY9" s="77"/>
      <c r="DZ9" s="77"/>
      <c r="EA9" s="77"/>
      <c r="EB9" s="77"/>
      <c r="EC9" s="77"/>
      <c r="ED9" s="77"/>
      <c r="EE9" s="77"/>
      <c r="EF9" s="77"/>
      <c r="EG9" s="77"/>
      <c r="EH9" s="77"/>
      <c r="EI9" s="77"/>
      <c r="EJ9" s="77"/>
      <c r="EK9" s="77"/>
      <c r="EL9" s="77"/>
      <c r="EM9" s="77"/>
      <c r="EN9" s="77"/>
      <c r="EO9" s="77"/>
      <c r="EP9" s="77"/>
      <c r="EQ9" s="77"/>
      <c r="ER9" s="77"/>
      <c r="ES9" s="77"/>
      <c r="ET9" s="77"/>
      <c r="EU9" s="77"/>
      <c r="EV9" s="77"/>
      <c r="EW9" s="77"/>
      <c r="EX9" s="77"/>
      <c r="EY9" s="77"/>
      <c r="EZ9" s="77"/>
      <c r="FA9" s="77"/>
      <c r="FB9" s="77"/>
      <c r="FC9" s="77"/>
      <c r="FD9" s="77"/>
      <c r="FE9" s="77"/>
      <c r="FF9" s="77"/>
      <c r="FG9" s="77"/>
      <c r="FH9" s="77"/>
      <c r="FI9" s="77"/>
      <c r="FJ9" s="77"/>
      <c r="FK9" s="77"/>
      <c r="FL9" s="77"/>
      <c r="FM9" s="77"/>
      <c r="FN9" s="77"/>
      <c r="FO9" s="67"/>
      <c r="FP9" s="64"/>
      <c r="FQ9" s="64"/>
      <c r="FR9" s="64"/>
      <c r="FS9" s="64"/>
      <c r="FT9" s="64"/>
      <c r="FU9" s="64"/>
      <c r="FV9" s="64"/>
      <c r="FW9" s="64"/>
      <c r="FX9" s="64"/>
      <c r="FY9" s="64"/>
      <c r="FZ9" s="64"/>
      <c r="GA9" s="64"/>
      <c r="GB9" s="64"/>
      <c r="GC9" s="64"/>
      <c r="GD9" s="64"/>
      <c r="GE9" s="64"/>
      <c r="GF9" s="64"/>
      <c r="GG9" s="64"/>
      <c r="GH9" s="64"/>
      <c r="GI9" s="64"/>
      <c r="GJ9" s="64"/>
      <c r="GK9" s="64"/>
      <c r="GL9" s="64"/>
      <c r="GM9" s="64"/>
      <c r="GN9" s="64"/>
      <c r="GO9" s="7"/>
      <c r="GP9" s="7"/>
      <c r="GQ9" s="77" t="s">
        <v>540</v>
      </c>
      <c r="GR9" s="77"/>
      <c r="GS9" s="77"/>
      <c r="GT9" s="77"/>
      <c r="GU9" s="77"/>
      <c r="GV9" s="77"/>
      <c r="GW9" s="77"/>
      <c r="GX9" s="77"/>
      <c r="GY9" s="77"/>
      <c r="GZ9" s="77"/>
      <c r="HA9" s="77"/>
      <c r="HB9" s="77"/>
      <c r="HC9" s="77"/>
      <c r="HD9" s="77"/>
      <c r="HE9" s="77"/>
      <c r="HF9" s="77"/>
      <c r="HG9" s="77"/>
      <c r="HH9" s="77"/>
      <c r="HI9" s="77"/>
      <c r="HJ9" s="77"/>
      <c r="HK9" s="77"/>
      <c r="HL9" s="77"/>
      <c r="HM9" s="77"/>
      <c r="HN9" s="77"/>
      <c r="HO9" s="77"/>
      <c r="HP9" s="77"/>
      <c r="HQ9" s="77" t="s">
        <v>889</v>
      </c>
      <c r="HR9" s="77"/>
      <c r="HS9" s="77"/>
      <c r="HT9" s="77"/>
      <c r="HU9" s="77"/>
      <c r="HV9" s="77" t="s">
        <v>890</v>
      </c>
      <c r="HW9" s="77"/>
      <c r="HX9" s="77"/>
      <c r="HY9" s="77" t="s">
        <v>891</v>
      </c>
      <c r="HZ9" s="77"/>
      <c r="IA9" s="77" t="s">
        <v>540</v>
      </c>
      <c r="IB9" s="77"/>
      <c r="IC9" s="77"/>
      <c r="ID9" s="77"/>
      <c r="IE9" s="77"/>
      <c r="IF9" s="77"/>
      <c r="IG9" s="77"/>
      <c r="IH9" s="77"/>
      <c r="II9" s="77"/>
      <c r="IJ9" s="77"/>
      <c r="IK9" s="77"/>
      <c r="IL9" s="77"/>
      <c r="IM9" s="77"/>
      <c r="IN9" s="77"/>
      <c r="IO9" s="77"/>
      <c r="IP9" s="77"/>
      <c r="IQ9" s="77"/>
      <c r="IR9" s="77"/>
      <c r="IS9" s="77"/>
      <c r="IT9" s="77"/>
      <c r="IU9" s="77"/>
      <c r="IV9" s="77"/>
      <c r="IW9" s="77"/>
      <c r="IX9" s="77"/>
      <c r="IY9" s="77"/>
      <c r="IZ9" s="77"/>
      <c r="JA9" s="77"/>
      <c r="JB9" s="77"/>
      <c r="JC9" s="63"/>
      <c r="JD9" s="63"/>
      <c r="JE9" s="63"/>
      <c r="JF9" s="63"/>
      <c r="JG9" s="63"/>
      <c r="JH9" s="63"/>
      <c r="JI9" s="63"/>
      <c r="JJ9" s="63"/>
      <c r="JK9" s="63"/>
      <c r="JL9" s="63"/>
      <c r="JM9" s="63"/>
      <c r="JN9" s="63"/>
      <c r="JO9" s="63"/>
      <c r="JP9" s="63"/>
      <c r="JQ9" s="63"/>
      <c r="JR9" s="63"/>
      <c r="JS9" s="63"/>
      <c r="JT9" s="63"/>
      <c r="JU9" s="63"/>
      <c r="JV9" s="63"/>
      <c r="JW9" s="63"/>
      <c r="JX9" s="63"/>
      <c r="JY9" s="63"/>
      <c r="JZ9" s="63"/>
      <c r="KA9" s="63"/>
    </row>
    <row r="10" spans="1:288" ht="15.75"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t="s">
        <v>12</v>
      </c>
      <c r="AE10" s="86" t="s">
        <v>84</v>
      </c>
      <c r="AF10" s="109" t="s">
        <v>85</v>
      </c>
      <c r="AG10" s="86" t="s">
        <v>86</v>
      </c>
      <c r="AH10" s="86" t="s">
        <v>87</v>
      </c>
      <c r="AI10" s="86" t="s">
        <v>88</v>
      </c>
      <c r="AJ10" s="86" t="s">
        <v>89</v>
      </c>
      <c r="AK10" s="86" t="s">
        <v>90</v>
      </c>
      <c r="AL10" s="86" t="s">
        <v>91</v>
      </c>
      <c r="AM10" s="86" t="s">
        <v>92</v>
      </c>
      <c r="AN10" s="86" t="s">
        <v>93</v>
      </c>
      <c r="AO10" s="86" t="s">
        <v>94</v>
      </c>
      <c r="AP10" s="86" t="s">
        <v>95</v>
      </c>
      <c r="AQ10" s="86" t="s">
        <v>96</v>
      </c>
      <c r="AR10" s="86" t="s">
        <v>97</v>
      </c>
      <c r="AS10" s="86" t="s">
        <v>98</v>
      </c>
      <c r="AT10" s="86" t="s">
        <v>99</v>
      </c>
      <c r="AU10" s="86" t="s">
        <v>100</v>
      </c>
      <c r="AV10" s="86" t="s">
        <v>14</v>
      </c>
      <c r="AW10" s="86" t="s">
        <v>101</v>
      </c>
      <c r="AX10" s="86" t="s">
        <v>102</v>
      </c>
      <c r="AY10" s="86" t="s">
        <v>103</v>
      </c>
      <c r="AZ10" s="86" t="s">
        <v>104</v>
      </c>
      <c r="BA10" s="86" t="s">
        <v>105</v>
      </c>
      <c r="BB10" s="86" t="s">
        <v>106</v>
      </c>
      <c r="BC10" s="86" t="s">
        <v>107</v>
      </c>
      <c r="BD10" s="86"/>
      <c r="BE10" s="86"/>
      <c r="BF10" s="86"/>
      <c r="BG10" s="109"/>
      <c r="BH10" s="109"/>
      <c r="BI10" s="109" t="s">
        <v>12</v>
      </c>
      <c r="BJ10" s="109" t="s">
        <v>84</v>
      </c>
      <c r="BK10" s="109" t="s">
        <v>85</v>
      </c>
      <c r="BL10" s="109" t="s">
        <v>86</v>
      </c>
      <c r="BM10" s="109" t="s">
        <v>87</v>
      </c>
      <c r="BN10" s="109" t="s">
        <v>88</v>
      </c>
      <c r="BO10" s="109" t="s">
        <v>89</v>
      </c>
      <c r="BP10" s="109" t="s">
        <v>90</v>
      </c>
      <c r="BQ10" s="109" t="s">
        <v>91</v>
      </c>
      <c r="BR10" s="109" t="s">
        <v>92</v>
      </c>
      <c r="BS10" s="109" t="s">
        <v>93</v>
      </c>
      <c r="BT10" s="109" t="s">
        <v>94</v>
      </c>
      <c r="BU10" s="109" t="s">
        <v>95</v>
      </c>
      <c r="BV10" s="109" t="s">
        <v>96</v>
      </c>
      <c r="BW10" s="109" t="s">
        <v>97</v>
      </c>
      <c r="BX10" s="109" t="s">
        <v>98</v>
      </c>
      <c r="BY10" s="109" t="s">
        <v>99</v>
      </c>
      <c r="BZ10" s="109" t="s">
        <v>100</v>
      </c>
      <c r="CA10" s="109" t="s">
        <v>14</v>
      </c>
      <c r="CB10" s="109" t="s">
        <v>101</v>
      </c>
      <c r="CC10" s="109" t="s">
        <v>102</v>
      </c>
      <c r="CD10" s="109" t="s">
        <v>103</v>
      </c>
      <c r="CE10" s="109" t="s">
        <v>104</v>
      </c>
      <c r="CF10" s="109" t="s">
        <v>105</v>
      </c>
      <c r="CG10" s="109" t="s">
        <v>106</v>
      </c>
      <c r="CH10" s="109" t="s">
        <v>107</v>
      </c>
      <c r="CI10" s="109"/>
      <c r="CJ10" s="109" t="s">
        <v>84</v>
      </c>
      <c r="CK10" s="109" t="s">
        <v>85</v>
      </c>
      <c r="CL10" s="109" t="s">
        <v>86</v>
      </c>
      <c r="CM10" s="109" t="s">
        <v>87</v>
      </c>
      <c r="CN10" s="109" t="s">
        <v>88</v>
      </c>
      <c r="CO10" s="109" t="s">
        <v>89</v>
      </c>
      <c r="CP10" s="109" t="s">
        <v>90</v>
      </c>
      <c r="CQ10" s="109" t="s">
        <v>91</v>
      </c>
      <c r="CR10" s="109" t="s">
        <v>92</v>
      </c>
      <c r="CS10" s="109" t="s">
        <v>93</v>
      </c>
      <c r="CT10" s="109" t="s">
        <v>94</v>
      </c>
      <c r="CU10" s="109" t="s">
        <v>95</v>
      </c>
      <c r="CV10" s="109" t="s">
        <v>96</v>
      </c>
      <c r="CW10" s="109" t="s">
        <v>97</v>
      </c>
      <c r="CX10" s="109" t="s">
        <v>98</v>
      </c>
      <c r="CY10" s="109" t="s">
        <v>99</v>
      </c>
      <c r="CZ10" s="109" t="s">
        <v>100</v>
      </c>
      <c r="DA10" s="109" t="s">
        <v>14</v>
      </c>
      <c r="DB10" s="109" t="s">
        <v>101</v>
      </c>
      <c r="DC10" s="109" t="s">
        <v>102</v>
      </c>
      <c r="DD10" s="109" t="s">
        <v>103</v>
      </c>
      <c r="DE10" s="109" t="s">
        <v>104</v>
      </c>
      <c r="DF10" s="109" t="s">
        <v>105</v>
      </c>
      <c r="DG10" s="109" t="s">
        <v>106</v>
      </c>
      <c r="DH10" s="109" t="s">
        <v>107</v>
      </c>
      <c r="DI10" s="109"/>
      <c r="DJ10" s="109"/>
      <c r="DK10" s="109"/>
      <c r="DL10" s="109"/>
      <c r="DM10" s="86"/>
      <c r="DN10" s="86" t="s">
        <v>12</v>
      </c>
      <c r="DO10" s="86" t="s">
        <v>84</v>
      </c>
      <c r="DP10" s="86" t="s">
        <v>85</v>
      </c>
      <c r="DQ10" s="86" t="s">
        <v>86</v>
      </c>
      <c r="DR10" s="86" t="s">
        <v>87</v>
      </c>
      <c r="DS10" s="86" t="s">
        <v>88</v>
      </c>
      <c r="DT10" s="86" t="s">
        <v>89</v>
      </c>
      <c r="DU10" s="86" t="s">
        <v>90</v>
      </c>
      <c r="DV10" s="86" t="s">
        <v>91</v>
      </c>
      <c r="DW10" s="86" t="s">
        <v>92</v>
      </c>
      <c r="DX10" s="86" t="s">
        <v>93</v>
      </c>
      <c r="DY10" s="86" t="s">
        <v>94</v>
      </c>
      <c r="DZ10" s="86" t="s">
        <v>95</v>
      </c>
      <c r="EA10" s="86" t="s">
        <v>96</v>
      </c>
      <c r="EB10" s="86" t="s">
        <v>97</v>
      </c>
      <c r="EC10" s="86" t="s">
        <v>98</v>
      </c>
      <c r="ED10" s="86" t="s">
        <v>99</v>
      </c>
      <c r="EE10" s="86" t="s">
        <v>100</v>
      </c>
      <c r="EF10" s="86" t="s">
        <v>14</v>
      </c>
      <c r="EG10" s="86" t="s">
        <v>101</v>
      </c>
      <c r="EH10" s="86" t="s">
        <v>102</v>
      </c>
      <c r="EI10" s="86" t="s">
        <v>103</v>
      </c>
      <c r="EJ10" s="86" t="s">
        <v>104</v>
      </c>
      <c r="EK10" s="86" t="s">
        <v>105</v>
      </c>
      <c r="EL10" s="86" t="s">
        <v>106</v>
      </c>
      <c r="EM10" s="86" t="s">
        <v>107</v>
      </c>
      <c r="EN10" s="86" t="s">
        <v>12</v>
      </c>
      <c r="EO10" s="86"/>
      <c r="EP10" s="86" t="s">
        <v>84</v>
      </c>
      <c r="EQ10" s="86" t="s">
        <v>85</v>
      </c>
      <c r="ER10" s="86" t="s">
        <v>86</v>
      </c>
      <c r="ES10" s="86" t="s">
        <v>87</v>
      </c>
      <c r="ET10" s="86" t="s">
        <v>88</v>
      </c>
      <c r="EU10" s="86" t="s">
        <v>89</v>
      </c>
      <c r="EV10" s="86" t="s">
        <v>90</v>
      </c>
      <c r="EW10" s="86" t="s">
        <v>91</v>
      </c>
      <c r="EX10" s="86" t="s">
        <v>92</v>
      </c>
      <c r="EY10" s="86" t="s">
        <v>93</v>
      </c>
      <c r="EZ10" s="86" t="s">
        <v>94</v>
      </c>
      <c r="FA10" s="86" t="s">
        <v>95</v>
      </c>
      <c r="FB10" s="86" t="s">
        <v>96</v>
      </c>
      <c r="FC10" s="86" t="s">
        <v>97</v>
      </c>
      <c r="FD10" s="86" t="s">
        <v>98</v>
      </c>
      <c r="FE10" s="86" t="s">
        <v>99</v>
      </c>
      <c r="FF10" s="86" t="s">
        <v>100</v>
      </c>
      <c r="FG10" s="86" t="s">
        <v>14</v>
      </c>
      <c r="FH10" s="86" t="s">
        <v>101</v>
      </c>
      <c r="FI10" s="86" t="s">
        <v>102</v>
      </c>
      <c r="FJ10" s="86" t="s">
        <v>103</v>
      </c>
      <c r="FK10" s="86" t="s">
        <v>104</v>
      </c>
      <c r="FL10" s="86" t="s">
        <v>105</v>
      </c>
      <c r="FM10" s="86" t="s">
        <v>106</v>
      </c>
      <c r="FN10" s="86" t="s">
        <v>107</v>
      </c>
      <c r="FO10" s="146" t="s">
        <v>12</v>
      </c>
      <c r="FP10" s="86" t="s">
        <v>84</v>
      </c>
      <c r="FQ10" s="86" t="s">
        <v>85</v>
      </c>
      <c r="FR10" s="86" t="s">
        <v>86</v>
      </c>
      <c r="FS10" s="86" t="s">
        <v>87</v>
      </c>
      <c r="FT10" s="86" t="s">
        <v>88</v>
      </c>
      <c r="FU10" s="86" t="s">
        <v>89</v>
      </c>
      <c r="FV10" s="86" t="s">
        <v>90</v>
      </c>
      <c r="FW10" s="86" t="s">
        <v>91</v>
      </c>
      <c r="FX10" s="86" t="s">
        <v>92</v>
      </c>
      <c r="FY10" s="86" t="s">
        <v>93</v>
      </c>
      <c r="FZ10" s="86" t="s">
        <v>94</v>
      </c>
      <c r="GA10" s="86" t="s">
        <v>95</v>
      </c>
      <c r="GB10" s="86" t="s">
        <v>96</v>
      </c>
      <c r="GC10" s="86" t="s">
        <v>97</v>
      </c>
      <c r="GD10" s="86" t="s">
        <v>98</v>
      </c>
      <c r="GE10" s="86" t="s">
        <v>99</v>
      </c>
      <c r="GF10" s="86" t="s">
        <v>100</v>
      </c>
      <c r="GG10" s="86" t="s">
        <v>14</v>
      </c>
      <c r="GH10" s="86" t="s">
        <v>101</v>
      </c>
      <c r="GI10" s="86" t="s">
        <v>102</v>
      </c>
      <c r="GJ10" s="86" t="s">
        <v>103</v>
      </c>
      <c r="GK10" s="86" t="s">
        <v>104</v>
      </c>
      <c r="GL10" s="86" t="s">
        <v>105</v>
      </c>
      <c r="GM10" s="86" t="s">
        <v>106</v>
      </c>
      <c r="GN10" s="86" t="s">
        <v>107</v>
      </c>
      <c r="GO10" s="86"/>
      <c r="GP10" s="86"/>
      <c r="GQ10" s="86"/>
      <c r="GR10" s="86" t="s">
        <v>84</v>
      </c>
      <c r="GS10" s="86" t="s">
        <v>85</v>
      </c>
      <c r="GT10" s="86" t="s">
        <v>86</v>
      </c>
      <c r="GU10" s="86" t="s">
        <v>87</v>
      </c>
      <c r="GV10" s="86" t="s">
        <v>88</v>
      </c>
      <c r="GW10" s="86" t="s">
        <v>89</v>
      </c>
      <c r="GX10" s="86" t="s">
        <v>90</v>
      </c>
      <c r="GY10" s="86" t="s">
        <v>91</v>
      </c>
      <c r="GZ10" s="86" t="s">
        <v>92</v>
      </c>
      <c r="HA10" s="86" t="s">
        <v>93</v>
      </c>
      <c r="HB10" s="86" t="s">
        <v>94</v>
      </c>
      <c r="HC10" s="86" t="s">
        <v>95</v>
      </c>
      <c r="HD10" s="86" t="s">
        <v>96</v>
      </c>
      <c r="HE10" s="86" t="s">
        <v>97</v>
      </c>
      <c r="HF10" s="86" t="s">
        <v>98</v>
      </c>
      <c r="HG10" s="86" t="s">
        <v>99</v>
      </c>
      <c r="HH10" s="86" t="s">
        <v>100</v>
      </c>
      <c r="HI10" s="86" t="s">
        <v>14</v>
      </c>
      <c r="HJ10" s="86" t="s">
        <v>101</v>
      </c>
      <c r="HK10" s="86" t="s">
        <v>102</v>
      </c>
      <c r="HL10" s="86" t="s">
        <v>103</v>
      </c>
      <c r="HM10" s="86" t="s">
        <v>104</v>
      </c>
      <c r="HN10" s="86" t="s">
        <v>105</v>
      </c>
      <c r="HO10" s="86" t="s">
        <v>106</v>
      </c>
      <c r="HP10" s="86" t="s">
        <v>107</v>
      </c>
      <c r="HQ10" s="86"/>
      <c r="HR10" s="86"/>
      <c r="HS10" s="86"/>
      <c r="HT10" s="86"/>
      <c r="HU10" s="86"/>
      <c r="HV10" s="86"/>
      <c r="HW10" s="86"/>
      <c r="HX10" s="86"/>
      <c r="HY10" s="86"/>
      <c r="HZ10" s="86"/>
      <c r="IA10" s="86" t="s">
        <v>12</v>
      </c>
      <c r="IB10" s="86" t="s">
        <v>84</v>
      </c>
      <c r="IC10" s="86" t="s">
        <v>85</v>
      </c>
      <c r="ID10" s="86" t="s">
        <v>86</v>
      </c>
      <c r="IE10" s="86" t="s">
        <v>87</v>
      </c>
      <c r="IF10" s="86" t="s">
        <v>88</v>
      </c>
      <c r="IG10" s="86" t="s">
        <v>89</v>
      </c>
      <c r="IH10" s="86" t="s">
        <v>90</v>
      </c>
      <c r="II10" s="86" t="s">
        <v>91</v>
      </c>
      <c r="IJ10" s="86" t="s">
        <v>92</v>
      </c>
      <c r="IK10" s="86" t="s">
        <v>93</v>
      </c>
      <c r="IL10" s="86" t="s">
        <v>94</v>
      </c>
      <c r="IM10" s="86" t="s">
        <v>95</v>
      </c>
      <c r="IN10" s="86" t="s">
        <v>96</v>
      </c>
      <c r="IO10" s="86" t="s">
        <v>97</v>
      </c>
      <c r="IP10" s="86" t="s">
        <v>98</v>
      </c>
      <c r="IQ10" s="86" t="s">
        <v>99</v>
      </c>
      <c r="IR10" s="86" t="s">
        <v>100</v>
      </c>
      <c r="IS10" s="86" t="s">
        <v>14</v>
      </c>
      <c r="IT10" s="86" t="s">
        <v>101</v>
      </c>
      <c r="IU10" s="86" t="s">
        <v>102</v>
      </c>
      <c r="IV10" s="86" t="s">
        <v>103</v>
      </c>
      <c r="IW10" s="86" t="s">
        <v>104</v>
      </c>
      <c r="IX10" s="86" t="s">
        <v>105</v>
      </c>
      <c r="IY10" s="86" t="s">
        <v>106</v>
      </c>
      <c r="IZ10" s="86" t="s">
        <v>107</v>
      </c>
      <c r="JA10" s="86"/>
      <c r="JB10" s="86"/>
      <c r="JC10" s="86" t="s">
        <v>84</v>
      </c>
      <c r="JD10" s="86" t="s">
        <v>85</v>
      </c>
      <c r="JE10" s="86" t="s">
        <v>86</v>
      </c>
      <c r="JF10" s="86" t="s">
        <v>87</v>
      </c>
      <c r="JG10" s="86" t="s">
        <v>88</v>
      </c>
      <c r="JH10" s="86" t="s">
        <v>89</v>
      </c>
      <c r="JI10" s="86" t="s">
        <v>90</v>
      </c>
      <c r="JJ10" s="86" t="s">
        <v>91</v>
      </c>
      <c r="JK10" s="86" t="s">
        <v>92</v>
      </c>
      <c r="JL10" s="86" t="s">
        <v>93</v>
      </c>
      <c r="JM10" s="86" t="s">
        <v>94</v>
      </c>
      <c r="JN10" s="86" t="s">
        <v>95</v>
      </c>
      <c r="JO10" s="86" t="s">
        <v>96</v>
      </c>
      <c r="JP10" s="86" t="s">
        <v>97</v>
      </c>
      <c r="JQ10" s="86" t="s">
        <v>98</v>
      </c>
      <c r="JR10" s="86" t="s">
        <v>99</v>
      </c>
      <c r="JS10" s="86" t="s">
        <v>100</v>
      </c>
      <c r="JT10" s="86" t="s">
        <v>14</v>
      </c>
      <c r="JU10" s="86" t="s">
        <v>101</v>
      </c>
      <c r="JV10" s="86" t="s">
        <v>102</v>
      </c>
      <c r="JW10" s="86" t="s">
        <v>103</v>
      </c>
      <c r="JX10" s="86" t="s">
        <v>104</v>
      </c>
      <c r="JY10" s="86" t="s">
        <v>105</v>
      </c>
      <c r="JZ10" s="86" t="s">
        <v>106</v>
      </c>
      <c r="KA10" s="86" t="s">
        <v>107</v>
      </c>
    </row>
    <row r="11" spans="1:288" s="144"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3"/>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187" t="s">
        <v>5368</v>
      </c>
      <c r="BH11" s="206"/>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206"/>
      <c r="DK11" s="206"/>
      <c r="DL11" s="206"/>
      <c r="DM11" s="186"/>
      <c r="DN11" s="185"/>
      <c r="DO11" s="185"/>
      <c r="DP11" s="185"/>
      <c r="DQ11" s="185"/>
      <c r="DR11" s="185"/>
      <c r="DS11" s="185"/>
      <c r="DT11" s="185"/>
      <c r="DU11" s="185"/>
      <c r="DV11" s="185"/>
      <c r="DW11" s="185"/>
      <c r="DX11" s="185"/>
      <c r="DY11" s="185"/>
      <c r="DZ11" s="185"/>
      <c r="EA11" s="185"/>
      <c r="EB11" s="185"/>
      <c r="EC11" s="185"/>
      <c r="ED11" s="185"/>
      <c r="EE11" s="185"/>
      <c r="EF11" s="185"/>
      <c r="EG11" s="185"/>
      <c r="EH11" s="185"/>
      <c r="EI11" s="185"/>
      <c r="EJ11" s="185"/>
      <c r="EK11" s="185"/>
      <c r="EL11" s="185"/>
      <c r="EM11" s="185"/>
      <c r="EN11" s="185"/>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8"/>
      <c r="FP11" s="206"/>
      <c r="FQ11" s="206"/>
      <c r="FR11" s="206"/>
      <c r="FS11" s="206"/>
      <c r="FT11" s="206"/>
      <c r="FU11" s="206"/>
      <c r="FV11" s="206"/>
      <c r="FW11" s="206"/>
      <c r="FX11" s="206"/>
      <c r="FY11" s="206"/>
      <c r="FZ11" s="206"/>
      <c r="GA11" s="206"/>
      <c r="GB11" s="206"/>
      <c r="GC11" s="206"/>
      <c r="GD11" s="206"/>
      <c r="GE11" s="206"/>
      <c r="GF11" s="206"/>
      <c r="GG11" s="206"/>
      <c r="GH11" s="206"/>
      <c r="GI11" s="206"/>
      <c r="GJ11" s="206"/>
      <c r="GK11" s="206"/>
      <c r="GL11" s="206"/>
      <c r="GM11" s="206"/>
      <c r="GN11" s="206"/>
      <c r="GO11" s="183"/>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183"/>
      <c r="HS11" s="206"/>
      <c r="HT11" s="185"/>
      <c r="HU11" s="206"/>
      <c r="HV11" s="206"/>
      <c r="HW11" s="185"/>
      <c r="HX11" s="206"/>
      <c r="HY11" s="212"/>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86"/>
      <c r="JA11" s="185"/>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row>
    <row r="12" spans="1:288" s="119" customFormat="1" ht="29.1" hidden="1" customHeight="1">
      <c r="A12" s="99"/>
      <c r="B12" s="81" t="s">
        <v>892</v>
      </c>
      <c r="C12" s="81" t="s">
        <v>893</v>
      </c>
      <c r="D12" s="81" t="s">
        <v>894</v>
      </c>
      <c r="E12" s="81" t="s">
        <v>895</v>
      </c>
      <c r="F12" s="81" t="s">
        <v>896</v>
      </c>
      <c r="G12" s="81" t="s">
        <v>897</v>
      </c>
      <c r="H12" s="81" t="s">
        <v>898</v>
      </c>
      <c r="I12" s="81" t="s">
        <v>899</v>
      </c>
      <c r="J12" s="81" t="s">
        <v>900</v>
      </c>
      <c r="K12" s="81" t="s">
        <v>901</v>
      </c>
      <c r="L12" s="81" t="s">
        <v>902</v>
      </c>
      <c r="M12" s="81" t="s">
        <v>903</v>
      </c>
      <c r="N12" s="81" t="s">
        <v>904</v>
      </c>
      <c r="O12" s="81" t="s">
        <v>905</v>
      </c>
      <c r="P12" s="81" t="s">
        <v>906</v>
      </c>
      <c r="Q12" s="81" t="s">
        <v>907</v>
      </c>
      <c r="R12" s="81" t="s">
        <v>908</v>
      </c>
      <c r="S12" s="81" t="s">
        <v>909</v>
      </c>
      <c r="T12" s="81" t="s">
        <v>910</v>
      </c>
      <c r="U12" s="81" t="s">
        <v>911</v>
      </c>
      <c r="V12" s="81" t="s">
        <v>912</v>
      </c>
      <c r="W12" s="81" t="s">
        <v>913</v>
      </c>
      <c r="X12" s="81" t="s">
        <v>914</v>
      </c>
      <c r="Y12" s="81" t="s">
        <v>915</v>
      </c>
      <c r="Z12" s="81" t="s">
        <v>916</v>
      </c>
      <c r="AA12" s="81" t="s">
        <v>917</v>
      </c>
      <c r="AB12" s="120" t="s">
        <v>918</v>
      </c>
      <c r="AC12" s="111" t="s">
        <v>919</v>
      </c>
      <c r="AD12" s="81" t="s">
        <v>920</v>
      </c>
      <c r="AE12" s="81" t="s">
        <v>921</v>
      </c>
      <c r="AF12" s="81" t="s">
        <v>922</v>
      </c>
      <c r="AG12" s="81" t="s">
        <v>923</v>
      </c>
      <c r="AH12" s="81" t="s">
        <v>924</v>
      </c>
      <c r="AI12" s="81" t="s">
        <v>925</v>
      </c>
      <c r="AJ12" s="81" t="s">
        <v>926</v>
      </c>
      <c r="AK12" s="81" t="s">
        <v>927</v>
      </c>
      <c r="AL12" s="81" t="s">
        <v>928</v>
      </c>
      <c r="AM12" s="81" t="s">
        <v>929</v>
      </c>
      <c r="AN12" s="81" t="s">
        <v>930</v>
      </c>
      <c r="AO12" s="81" t="s">
        <v>931</v>
      </c>
      <c r="AP12" s="81" t="s">
        <v>932</v>
      </c>
      <c r="AQ12" s="81" t="s">
        <v>933</v>
      </c>
      <c r="AR12" s="81" t="s">
        <v>934</v>
      </c>
      <c r="AS12" s="81" t="s">
        <v>935</v>
      </c>
      <c r="AT12" s="81" t="s">
        <v>936</v>
      </c>
      <c r="AU12" s="81" t="s">
        <v>937</v>
      </c>
      <c r="AV12" s="81" t="s">
        <v>938</v>
      </c>
      <c r="AW12" s="81" t="s">
        <v>939</v>
      </c>
      <c r="AX12" s="81" t="s">
        <v>940</v>
      </c>
      <c r="AY12" s="81" t="s">
        <v>941</v>
      </c>
      <c r="AZ12" s="81" t="s">
        <v>942</v>
      </c>
      <c r="BA12" s="81" t="s">
        <v>943</v>
      </c>
      <c r="BB12" s="81" t="s">
        <v>944</v>
      </c>
      <c r="BC12" s="81" t="s">
        <v>945</v>
      </c>
      <c r="BD12" s="81" t="s">
        <v>946</v>
      </c>
      <c r="BE12" s="81" t="s">
        <v>947</v>
      </c>
      <c r="BF12" s="81" t="s">
        <v>948</v>
      </c>
      <c r="BG12" s="89" t="s">
        <v>949</v>
      </c>
      <c r="BH12" s="81" t="s">
        <v>950</v>
      </c>
      <c r="BI12" s="81" t="s">
        <v>951</v>
      </c>
      <c r="BJ12" s="81" t="s">
        <v>952</v>
      </c>
      <c r="BK12" s="81" t="s">
        <v>953</v>
      </c>
      <c r="BL12" s="81" t="s">
        <v>954</v>
      </c>
      <c r="BM12" s="81" t="s">
        <v>955</v>
      </c>
      <c r="BN12" s="81" t="s">
        <v>956</v>
      </c>
      <c r="BO12" s="81" t="s">
        <v>957</v>
      </c>
      <c r="BP12" s="81" t="s">
        <v>958</v>
      </c>
      <c r="BQ12" s="81" t="s">
        <v>959</v>
      </c>
      <c r="BR12" s="81" t="s">
        <v>960</v>
      </c>
      <c r="BS12" s="81" t="s">
        <v>961</v>
      </c>
      <c r="BT12" s="81" t="s">
        <v>962</v>
      </c>
      <c r="BU12" s="81" t="s">
        <v>963</v>
      </c>
      <c r="BV12" s="81" t="s">
        <v>964</v>
      </c>
      <c r="BW12" s="81" t="s">
        <v>965</v>
      </c>
      <c r="BX12" s="81" t="s">
        <v>966</v>
      </c>
      <c r="BY12" s="81" t="s">
        <v>967</v>
      </c>
      <c r="BZ12" s="81" t="s">
        <v>968</v>
      </c>
      <c r="CA12" s="81" t="s">
        <v>969</v>
      </c>
      <c r="CB12" s="81" t="s">
        <v>970</v>
      </c>
      <c r="CC12" s="81" t="s">
        <v>971</v>
      </c>
      <c r="CD12" s="81" t="s">
        <v>972</v>
      </c>
      <c r="CE12" s="81" t="s">
        <v>973</v>
      </c>
      <c r="CF12" s="81" t="s">
        <v>974</v>
      </c>
      <c r="CG12" s="81" t="s">
        <v>975</v>
      </c>
      <c r="CH12" s="81" t="s">
        <v>976</v>
      </c>
      <c r="CI12" s="81" t="s">
        <v>977</v>
      </c>
      <c r="CJ12" s="81" t="s">
        <v>978</v>
      </c>
      <c r="CK12" s="81" t="s">
        <v>979</v>
      </c>
      <c r="CL12" s="81" t="s">
        <v>980</v>
      </c>
      <c r="CM12" s="81" t="s">
        <v>981</v>
      </c>
      <c r="CN12" s="81" t="s">
        <v>982</v>
      </c>
      <c r="CO12" s="81" t="s">
        <v>983</v>
      </c>
      <c r="CP12" s="81" t="s">
        <v>984</v>
      </c>
      <c r="CQ12" s="81" t="s">
        <v>985</v>
      </c>
      <c r="CR12" s="81" t="s">
        <v>986</v>
      </c>
      <c r="CS12" s="81" t="s">
        <v>987</v>
      </c>
      <c r="CT12" s="81" t="s">
        <v>988</v>
      </c>
      <c r="CU12" s="81" t="s">
        <v>989</v>
      </c>
      <c r="CV12" s="81" t="s">
        <v>990</v>
      </c>
      <c r="CW12" s="81" t="s">
        <v>991</v>
      </c>
      <c r="CX12" s="81" t="s">
        <v>992</v>
      </c>
      <c r="CY12" s="81" t="s">
        <v>993</v>
      </c>
      <c r="CZ12" s="81" t="s">
        <v>994</v>
      </c>
      <c r="DA12" s="81" t="s">
        <v>995</v>
      </c>
      <c r="DB12" s="81" t="s">
        <v>996</v>
      </c>
      <c r="DC12" s="81" t="s">
        <v>997</v>
      </c>
      <c r="DD12" s="81" t="s">
        <v>998</v>
      </c>
      <c r="DE12" s="81" t="s">
        <v>999</v>
      </c>
      <c r="DF12" s="81" t="s">
        <v>1000</v>
      </c>
      <c r="DG12" s="81" t="s">
        <v>1001</v>
      </c>
      <c r="DH12" s="81" t="s">
        <v>1002</v>
      </c>
      <c r="DI12" s="81" t="s">
        <v>1003</v>
      </c>
      <c r="DJ12" s="81" t="s">
        <v>1004</v>
      </c>
      <c r="DK12" s="81" t="s">
        <v>1005</v>
      </c>
      <c r="DL12" s="81" t="s">
        <v>1006</v>
      </c>
      <c r="DM12" s="81" t="s">
        <v>1007</v>
      </c>
      <c r="DN12" s="81" t="s">
        <v>1008</v>
      </c>
      <c r="DO12" s="81" t="s">
        <v>1009</v>
      </c>
      <c r="DP12" s="81" t="s">
        <v>1010</v>
      </c>
      <c r="DQ12" s="81" t="s">
        <v>1011</v>
      </c>
      <c r="DR12" s="81" t="s">
        <v>1012</v>
      </c>
      <c r="DS12" s="81" t="s">
        <v>1013</v>
      </c>
      <c r="DT12" s="81" t="s">
        <v>1014</v>
      </c>
      <c r="DU12" s="81" t="s">
        <v>1015</v>
      </c>
      <c r="DV12" s="81" t="s">
        <v>1016</v>
      </c>
      <c r="DW12" s="81" t="s">
        <v>1017</v>
      </c>
      <c r="DX12" s="81" t="s">
        <v>1018</v>
      </c>
      <c r="DY12" s="81" t="s">
        <v>1019</v>
      </c>
      <c r="DZ12" s="81" t="s">
        <v>1020</v>
      </c>
      <c r="EA12" s="81" t="s">
        <v>1021</v>
      </c>
      <c r="EB12" s="81" t="s">
        <v>1022</v>
      </c>
      <c r="EC12" s="81" t="s">
        <v>1023</v>
      </c>
      <c r="ED12" s="81" t="s">
        <v>1024</v>
      </c>
      <c r="EE12" s="81" t="s">
        <v>1025</v>
      </c>
      <c r="EF12" s="81" t="s">
        <v>1026</v>
      </c>
      <c r="EG12" s="81" t="s">
        <v>1027</v>
      </c>
      <c r="EH12" s="81" t="s">
        <v>1028</v>
      </c>
      <c r="EI12" s="81" t="s">
        <v>1029</v>
      </c>
      <c r="EJ12" s="81" t="s">
        <v>1030</v>
      </c>
      <c r="EK12" s="81" t="s">
        <v>1031</v>
      </c>
      <c r="EL12" s="81" t="s">
        <v>1032</v>
      </c>
      <c r="EM12" s="81" t="s">
        <v>1033</v>
      </c>
      <c r="EN12" s="81" t="s">
        <v>1034</v>
      </c>
      <c r="EO12" s="81" t="s">
        <v>1035</v>
      </c>
      <c r="EP12" s="81" t="s">
        <v>1036</v>
      </c>
      <c r="EQ12" s="81" t="s">
        <v>1037</v>
      </c>
      <c r="ER12" s="81" t="s">
        <v>1038</v>
      </c>
      <c r="ES12" s="81" t="s">
        <v>1039</v>
      </c>
      <c r="ET12" s="81" t="s">
        <v>1040</v>
      </c>
      <c r="EU12" s="81" t="s">
        <v>1041</v>
      </c>
      <c r="EV12" s="81" t="s">
        <v>1042</v>
      </c>
      <c r="EW12" s="81" t="s">
        <v>1043</v>
      </c>
      <c r="EX12" s="81" t="s">
        <v>1044</v>
      </c>
      <c r="EY12" s="81" t="s">
        <v>1045</v>
      </c>
      <c r="EZ12" s="81" t="s">
        <v>1046</v>
      </c>
      <c r="FA12" s="81" t="s">
        <v>1047</v>
      </c>
      <c r="FB12" s="81" t="s">
        <v>1048</v>
      </c>
      <c r="FC12" s="81" t="s">
        <v>1049</v>
      </c>
      <c r="FD12" s="81" t="s">
        <v>1050</v>
      </c>
      <c r="FE12" s="81" t="s">
        <v>1051</v>
      </c>
      <c r="FF12" s="81" t="s">
        <v>1052</v>
      </c>
      <c r="FG12" s="81" t="s">
        <v>1053</v>
      </c>
      <c r="FH12" s="81" t="s">
        <v>1054</v>
      </c>
      <c r="FI12" s="81" t="s">
        <v>1055</v>
      </c>
      <c r="FJ12" s="81" t="s">
        <v>1056</v>
      </c>
      <c r="FK12" s="81" t="s">
        <v>1057</v>
      </c>
      <c r="FL12" s="81" t="s">
        <v>1058</v>
      </c>
      <c r="FM12" s="81" t="s">
        <v>1059</v>
      </c>
      <c r="FN12" s="81" t="s">
        <v>1060</v>
      </c>
      <c r="FO12" s="81" t="s">
        <v>1061</v>
      </c>
      <c r="FP12" s="81" t="s">
        <v>1062</v>
      </c>
      <c r="FQ12" s="81" t="s">
        <v>1063</v>
      </c>
      <c r="FR12" s="81" t="s">
        <v>1064</v>
      </c>
      <c r="FS12" s="81" t="s">
        <v>1065</v>
      </c>
      <c r="FT12" s="81" t="s">
        <v>1066</v>
      </c>
      <c r="FU12" s="81" t="s">
        <v>1067</v>
      </c>
      <c r="FV12" s="81" t="s">
        <v>1068</v>
      </c>
      <c r="FW12" s="81" t="s">
        <v>1069</v>
      </c>
      <c r="FX12" s="81" t="s">
        <v>1070</v>
      </c>
      <c r="FY12" s="81" t="s">
        <v>1071</v>
      </c>
      <c r="FZ12" s="81" t="s">
        <v>1072</v>
      </c>
      <c r="GA12" s="81" t="s">
        <v>1073</v>
      </c>
      <c r="GB12" s="81" t="s">
        <v>1074</v>
      </c>
      <c r="GC12" s="81" t="s">
        <v>1075</v>
      </c>
      <c r="GD12" s="81" t="s">
        <v>1076</v>
      </c>
      <c r="GE12" s="81" t="s">
        <v>1077</v>
      </c>
      <c r="GF12" s="81" t="s">
        <v>1078</v>
      </c>
      <c r="GG12" s="81" t="s">
        <v>1079</v>
      </c>
      <c r="GH12" s="81" t="s">
        <v>1080</v>
      </c>
      <c r="GI12" s="81" t="s">
        <v>1081</v>
      </c>
      <c r="GJ12" s="81" t="s">
        <v>1082</v>
      </c>
      <c r="GK12" s="81" t="s">
        <v>1083</v>
      </c>
      <c r="GL12" s="81" t="s">
        <v>1084</v>
      </c>
      <c r="GM12" s="81" t="s">
        <v>1085</v>
      </c>
      <c r="GN12" s="81" t="s">
        <v>1086</v>
      </c>
      <c r="GO12" s="111" t="s">
        <v>1087</v>
      </c>
      <c r="GP12" s="111" t="s">
        <v>1088</v>
      </c>
      <c r="GQ12" s="81" t="s">
        <v>1089</v>
      </c>
      <c r="GR12" s="81" t="s">
        <v>1090</v>
      </c>
      <c r="GS12" s="81" t="s">
        <v>1091</v>
      </c>
      <c r="GT12" s="81" t="s">
        <v>1092</v>
      </c>
      <c r="GU12" s="81" t="s">
        <v>1093</v>
      </c>
      <c r="GV12" s="81" t="s">
        <v>1094</v>
      </c>
      <c r="GW12" s="81" t="s">
        <v>1095</v>
      </c>
      <c r="GX12" s="81" t="s">
        <v>1096</v>
      </c>
      <c r="GY12" s="81" t="s">
        <v>1097</v>
      </c>
      <c r="GZ12" s="81" t="s">
        <v>1098</v>
      </c>
      <c r="HA12" s="81" t="s">
        <v>1099</v>
      </c>
      <c r="HB12" s="81" t="s">
        <v>1100</v>
      </c>
      <c r="HC12" s="81" t="s">
        <v>1101</v>
      </c>
      <c r="HD12" s="81" t="s">
        <v>1102</v>
      </c>
      <c r="HE12" s="81" t="s">
        <v>1103</v>
      </c>
      <c r="HF12" s="81" t="s">
        <v>1104</v>
      </c>
      <c r="HG12" s="81" t="s">
        <v>1105</v>
      </c>
      <c r="HH12" s="81" t="s">
        <v>1106</v>
      </c>
      <c r="HI12" s="81" t="s">
        <v>1107</v>
      </c>
      <c r="HJ12" s="81" t="s">
        <v>1108</v>
      </c>
      <c r="HK12" s="81" t="s">
        <v>1109</v>
      </c>
      <c r="HL12" s="81" t="s">
        <v>1110</v>
      </c>
      <c r="HM12" s="81" t="s">
        <v>1111</v>
      </c>
      <c r="HN12" s="81" t="s">
        <v>1112</v>
      </c>
      <c r="HO12" s="81" t="s">
        <v>1113</v>
      </c>
      <c r="HP12" s="81" t="s">
        <v>1114</v>
      </c>
      <c r="HQ12" s="81" t="s">
        <v>1115</v>
      </c>
      <c r="HR12" s="81" t="s">
        <v>1116</v>
      </c>
      <c r="HS12" s="81" t="s">
        <v>1117</v>
      </c>
      <c r="HT12" s="81" t="s">
        <v>1118</v>
      </c>
      <c r="HU12" s="81" t="s">
        <v>1119</v>
      </c>
      <c r="HV12" s="81" t="s">
        <v>1120</v>
      </c>
      <c r="HW12" s="81" t="s">
        <v>1121</v>
      </c>
      <c r="HX12" s="81" t="s">
        <v>1122</v>
      </c>
      <c r="HY12" s="81" t="s">
        <v>1123</v>
      </c>
      <c r="HZ12" s="148" t="s">
        <v>1124</v>
      </c>
      <c r="IA12" s="111" t="s">
        <v>1125</v>
      </c>
      <c r="IB12" s="111" t="s">
        <v>1126</v>
      </c>
      <c r="IC12" s="111" t="s">
        <v>1127</v>
      </c>
      <c r="ID12" s="111" t="s">
        <v>1128</v>
      </c>
      <c r="IE12" s="111" t="s">
        <v>1129</v>
      </c>
      <c r="IF12" s="111" t="s">
        <v>1130</v>
      </c>
      <c r="IG12" s="111" t="s">
        <v>1131</v>
      </c>
      <c r="IH12" s="111" t="s">
        <v>1132</v>
      </c>
      <c r="II12" s="111" t="s">
        <v>1133</v>
      </c>
      <c r="IJ12" s="111" t="s">
        <v>1134</v>
      </c>
      <c r="IK12" s="111" t="s">
        <v>1135</v>
      </c>
      <c r="IL12" s="111" t="s">
        <v>1136</v>
      </c>
      <c r="IM12" s="111" t="s">
        <v>1137</v>
      </c>
      <c r="IN12" s="111" t="s">
        <v>1138</v>
      </c>
      <c r="IO12" s="111" t="s">
        <v>1139</v>
      </c>
      <c r="IP12" s="111" t="s">
        <v>1140</v>
      </c>
      <c r="IQ12" s="111" t="s">
        <v>1141</v>
      </c>
      <c r="IR12" s="111" t="s">
        <v>1142</v>
      </c>
      <c r="IS12" s="111" t="s">
        <v>1143</v>
      </c>
      <c r="IT12" s="111" t="s">
        <v>1144</v>
      </c>
      <c r="IU12" s="111" t="s">
        <v>1145</v>
      </c>
      <c r="IV12" s="111" t="s">
        <v>1146</v>
      </c>
      <c r="IW12" s="111" t="s">
        <v>1147</v>
      </c>
      <c r="IX12" s="111" t="s">
        <v>1148</v>
      </c>
      <c r="IY12" s="111" t="s">
        <v>1149</v>
      </c>
      <c r="IZ12" s="111" t="s">
        <v>1150</v>
      </c>
      <c r="JA12" s="111" t="s">
        <v>1151</v>
      </c>
      <c r="JB12" s="111" t="s">
        <v>1152</v>
      </c>
      <c r="JC12" s="120" t="s">
        <v>1153</v>
      </c>
      <c r="JD12" s="120" t="s">
        <v>1154</v>
      </c>
      <c r="JE12" s="120" t="s">
        <v>1155</v>
      </c>
      <c r="JF12" s="120" t="s">
        <v>1156</v>
      </c>
      <c r="JG12" s="120" t="s">
        <v>1157</v>
      </c>
      <c r="JH12" s="120" t="s">
        <v>1158</v>
      </c>
      <c r="JI12" s="120" t="s">
        <v>1159</v>
      </c>
      <c r="JJ12" s="120" t="s">
        <v>1160</v>
      </c>
      <c r="JK12" s="120" t="s">
        <v>1161</v>
      </c>
      <c r="JL12" s="120" t="s">
        <v>1162</v>
      </c>
      <c r="JM12" s="120" t="s">
        <v>1163</v>
      </c>
      <c r="JN12" s="120" t="s">
        <v>1164</v>
      </c>
      <c r="JO12" s="120" t="s">
        <v>1165</v>
      </c>
      <c r="JP12" s="120" t="s">
        <v>1166</v>
      </c>
      <c r="JQ12" s="120" t="s">
        <v>1167</v>
      </c>
      <c r="JR12" s="120" t="s">
        <v>1168</v>
      </c>
      <c r="JS12" s="120" t="s">
        <v>1169</v>
      </c>
      <c r="JT12" s="120" t="s">
        <v>1170</v>
      </c>
      <c r="JU12" s="120" t="s">
        <v>1171</v>
      </c>
      <c r="JV12" s="120" t="s">
        <v>1172</v>
      </c>
      <c r="JW12" s="120" t="s">
        <v>1173</v>
      </c>
      <c r="JX12" s="120" t="s">
        <v>1174</v>
      </c>
      <c r="JY12" s="120" t="s">
        <v>1175</v>
      </c>
      <c r="JZ12" s="120" t="s">
        <v>1176</v>
      </c>
      <c r="KA12" s="120" t="s">
        <v>1177</v>
      </c>
    </row>
    <row r="13" spans="1:288" ht="29.1" customHeight="1">
      <c r="B13" s="248" t="s">
        <v>5381</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
      </c>
      <c r="AC13" s="89"/>
      <c r="AD13" s="89" t="s">
        <v>5382</v>
      </c>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90">
        <v>43831</v>
      </c>
      <c r="BE13" s="90">
        <v>43921</v>
      </c>
      <c r="BF13" s="192">
        <v>100</v>
      </c>
      <c r="BG13" s="89" t="str">
        <f>IF(ISBLANK(BG$11),"",BG$11)</f>
        <v>Awesome University for Music Lovers</v>
      </c>
      <c r="BH13" s="81" t="str" cm="1">
        <f t="array" ref="BH13">MultiMatch(Activities[[#This Row],[LearningActivity.Directedby.Reference.Organisation.]],OrganisationNames,0)</f>
        <v>13</v>
      </c>
      <c r="BI13" s="89" t="str">
        <f>IF(ISBLANK(BI$11),"",BI$11)</f>
        <v/>
      </c>
      <c r="BJ13" s="92" t="str">
        <f t="shared" ref="BJ13" si="1">IF(ISBLANK(BJ$11),"",BJ$11)</f>
        <v/>
      </c>
      <c r="BK13" s="92" t="str">
        <f t="shared" ref="BK13" si="2">IF(ISBLANK(BK$11),"",BK$11)</f>
        <v/>
      </c>
      <c r="BL13" s="92" t="str">
        <f t="shared" ref="BL13" si="3">IF(ISBLANK(BL$11),"",BL$11)</f>
        <v/>
      </c>
      <c r="BM13" s="92" t="str">
        <f t="shared" ref="BM13" si="4">IF(ISBLANK(BM$11),"",BM$11)</f>
        <v/>
      </c>
      <c r="BN13" s="92" t="str">
        <f t="shared" ref="BN13" si="5">IF(ISBLANK(BN$11),"",BN$11)</f>
        <v/>
      </c>
      <c r="BO13" s="92" t="str">
        <f t="shared" ref="BO13" si="6">IF(ISBLANK(BO$11),"",BO$11)</f>
        <v/>
      </c>
      <c r="BP13" s="92" t="str">
        <f t="shared" ref="BP13" si="7">IF(ISBLANK(BP$11),"",BP$11)</f>
        <v/>
      </c>
      <c r="BQ13" s="92" t="str">
        <f t="shared" ref="BQ13" si="8">IF(ISBLANK(BQ$11),"",BQ$11)</f>
        <v/>
      </c>
      <c r="BR13" s="92" t="str">
        <f t="shared" ref="BR13" si="9">IF(ISBLANK(BR$11),"",BR$11)</f>
        <v/>
      </c>
      <c r="BS13" s="92" t="str">
        <f t="shared" ref="BS13" si="10">IF(ISBLANK(BS$11),"",BS$11)</f>
        <v/>
      </c>
      <c r="BT13" s="92" t="str">
        <f t="shared" ref="BT13" si="11">IF(ISBLANK(BT$11),"",BT$11)</f>
        <v/>
      </c>
      <c r="BU13" s="92" t="str">
        <f t="shared" ref="BU13" si="12">IF(ISBLANK(BU$11),"",BU$11)</f>
        <v/>
      </c>
      <c r="BV13" s="92" t="str">
        <f t="shared" ref="BV13" si="13">IF(ISBLANK(BV$11),"",BV$11)</f>
        <v/>
      </c>
      <c r="BW13" s="92" t="str">
        <f t="shared" ref="BW13" si="14">IF(ISBLANK(BW$11),"",BW$11)</f>
        <v/>
      </c>
      <c r="BX13" s="92" t="str">
        <f t="shared" ref="BX13" si="15">IF(ISBLANK(BX$11),"",BX$11)</f>
        <v/>
      </c>
      <c r="BY13" s="92" t="str">
        <f t="shared" ref="BY13" si="16">IF(ISBLANK(BY$11),"",BY$11)</f>
        <v/>
      </c>
      <c r="BZ13" s="92" t="str">
        <f t="shared" ref="BZ13" si="17">IF(ISBLANK(BZ$11),"",BZ$11)</f>
        <v/>
      </c>
      <c r="CA13" s="92" t="str">
        <f t="shared" ref="CA13" si="18">IF(ISBLANK(CA$11),"",CA$11)</f>
        <v/>
      </c>
      <c r="CB13" s="92" t="str">
        <f t="shared" ref="CB13" si="19">IF(ISBLANK(CB$11),"",CB$11)</f>
        <v/>
      </c>
      <c r="CC13" s="92" t="str">
        <f t="shared" ref="CC13" si="20">IF(ISBLANK(CC$11),"",CC$11)</f>
        <v/>
      </c>
      <c r="CD13" s="92" t="str">
        <f t="shared" ref="CD13" si="21">IF(ISBLANK(CD$11),"",CD$11)</f>
        <v/>
      </c>
      <c r="CE13" s="92" t="str">
        <f t="shared" ref="CE13" si="22">IF(ISBLANK(CE$11),"",CE$11)</f>
        <v/>
      </c>
      <c r="CF13" s="92" t="str">
        <f t="shared" ref="CF13" si="23">IF(ISBLANK(CF$11),"",CF$11)</f>
        <v/>
      </c>
      <c r="CG13" s="92" t="str">
        <f t="shared" ref="CG13" si="24">IF(ISBLANK(CG$11),"",CG$11)</f>
        <v/>
      </c>
      <c r="CH13" s="92" t="str">
        <f t="shared" ref="CH13" si="25">IF(ISBLANK(CH$11),"",CH$11)</f>
        <v/>
      </c>
      <c r="CI13" s="132" t="str">
        <f>IF(ISBLANK(CI$11),"",CI$11)</f>
        <v/>
      </c>
      <c r="CJ13" s="92" t="str">
        <f t="shared" ref="CJ13" si="26">IF(ISBLANK(CJ$11),"",CJ$11)</f>
        <v/>
      </c>
      <c r="CK13" s="92" t="str">
        <f t="shared" ref="CK13" si="27">IF(ISBLANK(CK$11),"",CK$11)</f>
        <v/>
      </c>
      <c r="CL13" s="92" t="str">
        <f t="shared" ref="CL13" si="28">IF(ISBLANK(CL$11),"",CL$11)</f>
        <v/>
      </c>
      <c r="CM13" s="92" t="str">
        <f t="shared" ref="CM13" si="29">IF(ISBLANK(CM$11),"",CM$11)</f>
        <v/>
      </c>
      <c r="CN13" s="92" t="str">
        <f t="shared" ref="CN13" si="30">IF(ISBLANK(CN$11),"",CN$11)</f>
        <v/>
      </c>
      <c r="CO13" s="92" t="str">
        <f t="shared" ref="CO13" si="31">IF(ISBLANK(CO$11),"",CO$11)</f>
        <v/>
      </c>
      <c r="CP13" s="92" t="str">
        <f t="shared" ref="CP13" si="32">IF(ISBLANK(CP$11),"",CP$11)</f>
        <v/>
      </c>
      <c r="CQ13" s="92" t="str">
        <f t="shared" ref="CQ13" si="33">IF(ISBLANK(CQ$11),"",CQ$11)</f>
        <v/>
      </c>
      <c r="CR13" s="92" t="str">
        <f t="shared" ref="CR13" si="34">IF(ISBLANK(CR$11),"",CR$11)</f>
        <v/>
      </c>
      <c r="CS13" s="92" t="str">
        <f t="shared" ref="CS13" si="35">IF(ISBLANK(CS$11),"",CS$11)</f>
        <v/>
      </c>
      <c r="CT13" s="92" t="str">
        <f t="shared" ref="CT13" si="36">IF(ISBLANK(CT$11),"",CT$11)</f>
        <v/>
      </c>
      <c r="CU13" s="92" t="str">
        <f t="shared" ref="CU13" si="37">IF(ISBLANK(CU$11),"",CU$11)</f>
        <v/>
      </c>
      <c r="CV13" s="92" t="str">
        <f t="shared" ref="CV13" si="38">IF(ISBLANK(CV$11),"",CV$11)</f>
        <v/>
      </c>
      <c r="CW13" s="92" t="str">
        <f t="shared" ref="CW13" si="39">IF(ISBLANK(CW$11),"",CW$11)</f>
        <v/>
      </c>
      <c r="CX13" s="92" t="str">
        <f t="shared" ref="CX13" si="40">IF(ISBLANK(CX$11),"",CX$11)</f>
        <v/>
      </c>
      <c r="CY13" s="92" t="str">
        <f t="shared" ref="CY13" si="41">IF(ISBLANK(CY$11),"",CY$11)</f>
        <v/>
      </c>
      <c r="CZ13" s="92" t="str">
        <f t="shared" ref="CZ13" si="42">IF(ISBLANK(CZ$11),"",CZ$11)</f>
        <v/>
      </c>
      <c r="DA13" s="92" t="str">
        <f t="shared" ref="DA13" si="43">IF(ISBLANK(DA$11),"",DA$11)</f>
        <v/>
      </c>
      <c r="DB13" s="92" t="str">
        <f t="shared" ref="DB13" si="44">IF(ISBLANK(DB$11),"",DB$11)</f>
        <v/>
      </c>
      <c r="DC13" s="92" t="str">
        <f t="shared" ref="DC13" si="45">IF(ISBLANK(DC$11),"",DC$11)</f>
        <v/>
      </c>
      <c r="DD13" s="92" t="str">
        <f t="shared" ref="DD13" si="46">IF(ISBLANK(DD$11),"",DD$11)</f>
        <v/>
      </c>
      <c r="DE13" s="92" t="str">
        <f t="shared" ref="DE13" si="47">IF(ISBLANK(DE$11),"",DE$11)</f>
        <v/>
      </c>
      <c r="DF13" s="92" t="str">
        <f t="shared" ref="DF13" si="48">IF(ISBLANK(DF$11),"",DF$11)</f>
        <v/>
      </c>
      <c r="DG13" s="92" t="str">
        <f t="shared" ref="DG13" si="49">IF(ISBLANK(DG$11),"",DG$11)</f>
        <v/>
      </c>
      <c r="DH13" s="92" t="str">
        <f t="shared" ref="DH13" si="50">IF(ISBLANK(DH$11),"",DH$11)</f>
        <v/>
      </c>
      <c r="DI13" s="132" t="str">
        <f>IF(ISBLANK(DI$11),"",(DI$11))</f>
        <v/>
      </c>
      <c r="DJ13" s="81" t="str" cm="1">
        <f t="array" ref="DJ13">MultiMatch(Activities[[#This Row],[LearningActivity.location'#1.hasAddress'#1.countryCode.Reference.]],Vocabularies[name],0)</f>
        <v/>
      </c>
      <c r="DK13" s="89"/>
      <c r="DL13" s="81" t="str" cm="1">
        <f t="array" ref="DL13">MultiMatch(Activities[[#This Row],[LearningActivity.hasPart.MultiReference.LearningAchievement.]],ActivityNames,0)</f>
        <v/>
      </c>
      <c r="DM13" s="107" t="str">
        <f>IF(ISBLANK(DM$11),"",DM$11)</f>
        <v/>
      </c>
      <c r="DN13" s="89" t="str">
        <f t="shared" ref="DN13:EM13" si="51">IF(ISBLANK(DN$11),"",DN$11)</f>
        <v/>
      </c>
      <c r="DO13" s="89" t="str">
        <f t="shared" si="51"/>
        <v/>
      </c>
      <c r="DP13" s="89" t="str">
        <f t="shared" si="51"/>
        <v/>
      </c>
      <c r="DQ13" s="89" t="str">
        <f t="shared" si="51"/>
        <v/>
      </c>
      <c r="DR13" s="89" t="str">
        <f t="shared" si="51"/>
        <v/>
      </c>
      <c r="DS13" s="89" t="str">
        <f t="shared" si="51"/>
        <v/>
      </c>
      <c r="DT13" s="89" t="str">
        <f t="shared" si="51"/>
        <v/>
      </c>
      <c r="DU13" s="89" t="str">
        <f t="shared" si="51"/>
        <v/>
      </c>
      <c r="DV13" s="89" t="str">
        <f t="shared" si="51"/>
        <v/>
      </c>
      <c r="DW13" s="89" t="str">
        <f t="shared" si="51"/>
        <v/>
      </c>
      <c r="DX13" s="89" t="str">
        <f t="shared" si="51"/>
        <v/>
      </c>
      <c r="DY13" s="89" t="str">
        <f t="shared" si="51"/>
        <v/>
      </c>
      <c r="DZ13" s="89" t="str">
        <f t="shared" si="51"/>
        <v/>
      </c>
      <c r="EA13" s="89" t="str">
        <f t="shared" si="51"/>
        <v/>
      </c>
      <c r="EB13" s="89" t="str">
        <f t="shared" si="51"/>
        <v/>
      </c>
      <c r="EC13" s="89" t="str">
        <f t="shared" si="51"/>
        <v/>
      </c>
      <c r="ED13" s="89" t="str">
        <f t="shared" si="51"/>
        <v/>
      </c>
      <c r="EE13" s="89" t="str">
        <f t="shared" si="51"/>
        <v/>
      </c>
      <c r="EF13" s="89" t="str">
        <f t="shared" si="51"/>
        <v/>
      </c>
      <c r="EG13" s="89" t="str">
        <f t="shared" si="51"/>
        <v/>
      </c>
      <c r="EH13" s="89" t="str">
        <f t="shared" si="51"/>
        <v/>
      </c>
      <c r="EI13" s="89" t="str">
        <f t="shared" si="51"/>
        <v/>
      </c>
      <c r="EJ13" s="89" t="str">
        <f t="shared" si="51"/>
        <v/>
      </c>
      <c r="EK13" s="89" t="str">
        <f t="shared" si="51"/>
        <v/>
      </c>
      <c r="EL13" s="89" t="str">
        <f t="shared" si="51"/>
        <v/>
      </c>
      <c r="EM13" s="89" t="str">
        <f t="shared" si="51"/>
        <v/>
      </c>
      <c r="EN13" s="92" t="str">
        <f t="shared" ref="EN13" si="52">IF(ISBLANK(EN$11),"",EN$11)</f>
        <v/>
      </c>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89"/>
      <c r="FO13" s="147" t="str">
        <f>IF(ISBLANK(Activities[[#This Row],[LearningActivity.title.Property.content.en]]),"",Activities[[#This Row],[LearningActivity.title.Property.content.en]])</f>
        <v>Music Technology Foundations</v>
      </c>
      <c r="FP13" s="120" t="str">
        <f>IF(ISBLANK(Activities[[#This Row],[LearningActivity.title.Property.content.bg]]),"",Activities[[#This Row],[LearningActivity.title.Property.content.bg]])</f>
        <v/>
      </c>
      <c r="FQ13" s="120" t="str">
        <f>IF(ISBLANK(Activities[[#This Row],[LearningActivity.title.Property.content.cs]]),"",Activities[[#This Row],[LearningActivity.title.Property.content.cs]])</f>
        <v/>
      </c>
      <c r="FR13" s="120" t="str">
        <f>IF(ISBLANK(Activities[[#This Row],[LearningActivity.title.Property.content.da]]),"",Activities[[#This Row],[LearningActivity.title.Property.content.da]])</f>
        <v/>
      </c>
      <c r="FS13" s="120" t="str">
        <f>IF(ISBLANK(Activities[[#This Row],[LearningActivity.title.Property.content.de]]),"",Activities[[#This Row],[LearningActivity.title.Property.content.de]])</f>
        <v/>
      </c>
      <c r="FT13" s="120" t="str">
        <f>IF(ISBLANK(Activities[[#This Row],[LearningActivity.title.Property.content.el]]),"",Activities[[#This Row],[LearningActivity.title.Property.content.el]])</f>
        <v/>
      </c>
      <c r="FU13" s="120" t="str">
        <f>IF(ISBLANK(Activities[[#This Row],[LearningActivity.title.Property.content.es]]),"",Activities[[#This Row],[LearningActivity.title.Property.content.es]])</f>
        <v/>
      </c>
      <c r="FV13" s="120" t="str">
        <f>IF(ISBLANK(Activities[[#This Row],[LearningActivity.title.Property.content.et]]),"",Activities[[#This Row],[LearningActivity.title.Property.content.et]])</f>
        <v/>
      </c>
      <c r="FW13" s="120" t="str">
        <f>IF(ISBLANK(Activities[[#This Row],[LearningActivity.title.Property.content.fi]]),"",Activities[[#This Row],[LearningActivity.title.Property.content.fi]])</f>
        <v/>
      </c>
      <c r="FX13" s="120" t="str">
        <f>IF(ISBLANK(Activities[[#This Row],[LearningActivity.title.Property.content.fr]]),"",Activities[[#This Row],[LearningActivity.title.Property.content.fr]])</f>
        <v/>
      </c>
      <c r="FY13" s="120" t="str">
        <f>IF(ISBLANK(Activities[[#This Row],[LearningActivity.title.Property.content.ga]]),"",Activities[[#This Row],[LearningActivity.title.Property.content.ga]])</f>
        <v/>
      </c>
      <c r="FZ13" s="120" t="str">
        <f>IF(ISBLANK(Activities[[#This Row],[LearningActivity.title.Property.content.hr]]),"",Activities[[#This Row],[LearningActivity.title.Property.content.hr]])</f>
        <v/>
      </c>
      <c r="GA13" s="120" t="str">
        <f>IF(ISBLANK(Activities[[#This Row],[LearningActivity.title.Property.content.hu]]),"",Activities[[#This Row],[LearningActivity.title.Property.content.hu]])</f>
        <v/>
      </c>
      <c r="GB13" s="120" t="str">
        <f>IF(ISBLANK(Activities[[#This Row],[LearningActivity.title.Property.content.is]]),"",Activities[[#This Row],[LearningActivity.title.Property.content.is]])</f>
        <v/>
      </c>
      <c r="GC13" s="120" t="str">
        <f>IF(ISBLANK(Activities[[#This Row],[LearningActivity.title.Property.content.it]]),"",Activities[[#This Row],[LearningActivity.title.Property.content.it]])</f>
        <v/>
      </c>
      <c r="GD13" s="120" t="str">
        <f>IF(ISBLANK(Activities[[#This Row],[LearningActivity.title.Property.content.lt]]),"",Activities[[#This Row],[LearningActivity.title.Property.content.lt]])</f>
        <v/>
      </c>
      <c r="GE13" s="120" t="str">
        <f>IF(ISBLANK(Activities[[#This Row],[LearningActivity.title.Property.content.lv]]),"",Activities[[#This Row],[LearningActivity.title.Property.content.lv]])</f>
        <v/>
      </c>
      <c r="GF13" s="120" t="str">
        <f>IF(ISBLANK(Activities[[#This Row],[LearningActivity.title.Property.content.mt]]),"",Activities[[#This Row],[LearningActivity.title.Property.content.mt]])</f>
        <v/>
      </c>
      <c r="GG13" s="120" t="str">
        <f>IF(ISBLANK(Activities[[#This Row],[LearningActivity.title.Property.content.nl]]),"",Activities[[#This Row],[LearningActivity.title.Property.content.nl]])</f>
        <v/>
      </c>
      <c r="GH13" s="120" t="str">
        <f>IF(ISBLANK(Activities[[#This Row],[LearningActivity.title.Property.content.no]]),"",Activities[[#This Row],[LearningActivity.title.Property.content.no]])</f>
        <v/>
      </c>
      <c r="GI13" s="120" t="str">
        <f>IF(ISBLANK(Activities[[#This Row],[LearningActivity.title.Property.content.pl]]),"",Activities[[#This Row],[LearningActivity.title.Property.content.pl]])</f>
        <v/>
      </c>
      <c r="GJ13" s="120" t="str">
        <f>IF(ISBLANK(Activities[[#This Row],[LearningActivity.title.Property.content.pt]]),"",Activities[[#This Row],[LearningActivity.title.Property.content.pt]])</f>
        <v/>
      </c>
      <c r="GK13" s="120" t="str">
        <f>IF(ISBLANK(Activities[[#This Row],[LearningActivity.title.Property.content.ro]]),"",Activities[[#This Row],[LearningActivity.title.Property.content.ro]])</f>
        <v/>
      </c>
      <c r="GL13" s="120" t="str">
        <f>IF(ISBLANK(Activities[[#This Row],[LearningActivity.title.Property.content.sk]]),"",Activities[[#This Row],[LearningActivity.title.Property.content.sk]])</f>
        <v/>
      </c>
      <c r="GM13" s="120" t="str">
        <f>IF(ISBLANK(Activities[[#This Row],[LearningActivity.title.Property.content.sl]]),"",Activities[[#This Row],[LearningActivity.title.Property.content.sl]])</f>
        <v/>
      </c>
      <c r="GN13" s="120" t="str">
        <f>IF(ISBLANK(Activities[[#This Row],[LearningActivity.title.Property.content.sv]]),"",Activities[[#This Row],[LearningActivity.title.Property.content.sv]])</f>
        <v/>
      </c>
      <c r="GO13" s="89" t="str">
        <f t="shared" ref="GO13" si="53">IF(ISBLANK(GO$11),"",GO$11)</f>
        <v/>
      </c>
      <c r="GP13" s="89"/>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c r="HQ13" s="106"/>
      <c r="HR13" s="92" t="str">
        <f t="shared" ref="HR13:HT13" si="54">IF(ISBLANK(HR$11),"",HR$11)</f>
        <v/>
      </c>
      <c r="HS13" s="92" t="str" cm="1">
        <f t="array" ref="HS13">MultiMatch(Activities[[#This Row],[LearningActivity.specifiedBy.learningActivityType.Reference.]],Vocabularies[name],0)</f>
        <v/>
      </c>
      <c r="HT13" s="92" t="str">
        <f t="shared" si="54"/>
        <v/>
      </c>
      <c r="HU13" s="92" t="str" cm="1">
        <f t="array" ref="HU13">MultiMatch(Activities[[#This Row],[LearningActivity.specifiedBy.mode.Reference.]],Vocabularies[name],0)</f>
        <v/>
      </c>
      <c r="HV13" s="192"/>
      <c r="HW13" s="89" t="str">
        <f t="shared" ref="HW13" si="55">IF(ISBLANK(HW$11),"",HW$11)</f>
        <v/>
      </c>
      <c r="HX13" s="89" t="str" cm="1">
        <f t="array" ref="HX13">MultiMatch(Activities[[#This Row],[LearningActivity.specifiedBy.language.MultiReference.]],Vocabularies[name],0)</f>
        <v/>
      </c>
      <c r="HY13" s="219" t="str">
        <f t="shared" ref="HY13" si="56">IF(ISBLANK(HY$11),"",HY$11)</f>
        <v/>
      </c>
      <c r="HZ13" s="92" t="str">
        <f>IF(ISBLANK(HZ$11),"",(HZ$11))</f>
        <v/>
      </c>
      <c r="IA13" s="92" t="str">
        <f t="shared" ref="IA13:JA13" si="57">IF(ISBLANK(IA$11),"",(IA$11))</f>
        <v/>
      </c>
      <c r="IB13" s="92" t="str">
        <f t="shared" si="57"/>
        <v/>
      </c>
      <c r="IC13" s="92" t="str">
        <f t="shared" si="57"/>
        <v/>
      </c>
      <c r="ID13" s="92" t="str">
        <f t="shared" si="57"/>
        <v/>
      </c>
      <c r="IE13" s="92" t="str">
        <f t="shared" si="57"/>
        <v/>
      </c>
      <c r="IF13" s="92" t="str">
        <f t="shared" si="57"/>
        <v/>
      </c>
      <c r="IG13" s="92" t="str">
        <f t="shared" si="57"/>
        <v/>
      </c>
      <c r="IH13" s="92" t="str">
        <f t="shared" si="57"/>
        <v/>
      </c>
      <c r="II13" s="92" t="str">
        <f t="shared" si="57"/>
        <v/>
      </c>
      <c r="IJ13" s="92" t="str">
        <f t="shared" si="57"/>
        <v/>
      </c>
      <c r="IK13" s="92" t="str">
        <f t="shared" si="57"/>
        <v/>
      </c>
      <c r="IL13" s="92" t="str">
        <f t="shared" si="57"/>
        <v/>
      </c>
      <c r="IM13" s="92" t="str">
        <f t="shared" si="57"/>
        <v/>
      </c>
      <c r="IN13" s="92" t="str">
        <f t="shared" si="57"/>
        <v/>
      </c>
      <c r="IO13" s="92" t="str">
        <f t="shared" si="57"/>
        <v/>
      </c>
      <c r="IP13" s="92" t="str">
        <f t="shared" si="57"/>
        <v/>
      </c>
      <c r="IQ13" s="92" t="str">
        <f t="shared" si="57"/>
        <v/>
      </c>
      <c r="IR13" s="92" t="str">
        <f t="shared" si="57"/>
        <v/>
      </c>
      <c r="IS13" s="92" t="str">
        <f t="shared" si="57"/>
        <v/>
      </c>
      <c r="IT13" s="92" t="str">
        <f t="shared" si="57"/>
        <v/>
      </c>
      <c r="IU13" s="92" t="str">
        <f t="shared" si="57"/>
        <v/>
      </c>
      <c r="IV13" s="92" t="str">
        <f t="shared" si="57"/>
        <v/>
      </c>
      <c r="IW13" s="92" t="str">
        <f t="shared" si="57"/>
        <v/>
      </c>
      <c r="IX13" s="92" t="str">
        <f t="shared" si="57"/>
        <v/>
      </c>
      <c r="IY13" s="92" t="str">
        <f t="shared" si="57"/>
        <v/>
      </c>
      <c r="IZ13" s="92" t="str">
        <f t="shared" si="57"/>
        <v/>
      </c>
      <c r="JA13" s="92" t="str">
        <f t="shared" si="57"/>
        <v/>
      </c>
      <c r="JB13" s="92"/>
      <c r="JC13" s="92"/>
      <c r="JD13" s="92"/>
      <c r="JE13" s="92"/>
      <c r="JF13" s="92"/>
      <c r="JG13" s="92"/>
      <c r="JH13" s="92"/>
      <c r="JI13" s="92"/>
      <c r="JJ13" s="92"/>
      <c r="JK13" s="92"/>
      <c r="JL13" s="92"/>
      <c r="JM13" s="92"/>
      <c r="JN13" s="92"/>
      <c r="JO13" s="92"/>
      <c r="JP13" s="92"/>
      <c r="JQ13" s="92"/>
      <c r="JR13" s="92"/>
      <c r="JS13" s="92"/>
      <c r="JT13" s="92"/>
      <c r="JU13" s="92"/>
      <c r="JV13" s="92"/>
      <c r="JW13" s="92"/>
      <c r="JX13" s="92"/>
      <c r="JY13" s="92"/>
      <c r="JZ13" s="92"/>
      <c r="KA13" s="92"/>
    </row>
  </sheetData>
  <sheetProtection formatColumns="0"/>
  <mergeCells count="1">
    <mergeCell ref="FO1:KA1"/>
  </mergeCells>
  <phoneticPr fontId="12" type="noConversion"/>
  <dataValidations count="10">
    <dataValidation type="list" allowBlank="1" showInputMessage="1" showErrorMessage="1" sqref="BG11 BJ13:CH13 CJ13:DH13 BG13">
      <formula1>OrganisationNames</formula1>
    </dataValidation>
    <dataValidation type="list" allowBlank="1" showInputMessage="1" showErrorMessage="1" sqref="DI11 DI13">
      <formula1>CountryNames</formula1>
    </dataValidation>
    <dataValidation type="list" allowBlank="1" showInputMessage="1" showErrorMessage="1" sqref="HT11 HT13">
      <formula1>ModeOfLearningNames</formula1>
    </dataValidation>
    <dataValidation type="list" allowBlank="1" showInputMessage="1" showErrorMessage="1" sqref="HW11 HW13">
      <formula1>LanguageNames</formula1>
    </dataValidation>
    <dataValidation type="list" allowBlank="1" showInputMessage="1" showErrorMessage="1" sqref="DK13">
      <formula1>ActivityNames</formula1>
    </dataValidation>
    <dataValidation type="list" allowBlank="1" showInputMessage="1" showErrorMessage="1" sqref="EN13">
      <formula1>LearningOpportunityTypeNames</formula1>
    </dataValidation>
    <dataValidation type="list" allowBlank="1" showInputMessage="1" showErrorMessage="1" sqref="HR11:HR13">
      <formula1>LearningActivityTypeNames</formula1>
    </dataValidation>
    <dataValidation type="whole" operator="greaterThan" allowBlank="1" showErrorMessage="1" errorTitle="No decimals" error="Only positive whole numbers are accepted" sqref="HV13 BF13">
      <formula1>0</formula1>
    </dataValidation>
    <dataValidation type="date" operator="greaterThan" allowBlank="1" showInputMessage="1" showErrorMessage="1" sqref="BD13">
      <formula1>1</formula1>
    </dataValidation>
    <dataValidation type="date" operator="greaterThanOrEqual" allowBlank="1" showInputMessage="1" showErrorMessage="1" sqref="BE13">
      <formula1>BD13</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Z13"/>
  <sheetViews>
    <sheetView zoomScale="80" zoomScaleNormal="80" workbookViewId="0">
      <pane xSplit="27" ySplit="12" topLeftCell="AB13" activePane="bottomRight" state="frozen"/>
      <selection pane="topRight" activeCell="AB1" sqref="AB1"/>
      <selection pane="bottomLeft" activeCell="A13" sqref="A13"/>
      <selection pane="bottomRight" activeCell="B13" sqref="B13"/>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8" width="25.85546875" style="81" customWidth="1"/>
    <col min="29" max="29" width="20.85546875" style="81" customWidth="1"/>
    <col min="30" max="30" width="30.85546875" style="81" customWidth="1"/>
    <col min="31" max="55" width="30.85546875" style="81" hidden="1" customWidth="1"/>
    <col min="56" max="56" width="25.85546875" style="81" customWidth="1"/>
    <col min="57" max="57" width="10.85546875" style="81" hidden="1" customWidth="1"/>
    <col min="58" max="58" width="25.85546875" style="81" customWidth="1"/>
    <col min="59" max="59" width="10.85546875" style="81" hidden="1" customWidth="1"/>
    <col min="60" max="60" width="19.140625" style="81" customWidth="1"/>
    <col min="61" max="61" width="32.85546875" style="81" bestFit="1" customWidth="1"/>
    <col min="62" max="62" width="10.85546875" style="81" hidden="1" customWidth="1"/>
    <col min="63" max="64" width="30.85546875" style="81" customWidth="1"/>
    <col min="65" max="89" width="30.85546875" style="81" hidden="1" customWidth="1"/>
    <col min="90" max="90" width="25.85546875" style="149" customWidth="1"/>
    <col min="91" max="115" width="25.85546875" style="81" hidden="1" customWidth="1"/>
    <col min="116" max="116" width="20.85546875" style="81" customWidth="1"/>
    <col min="117" max="117" width="25.85546875" style="81" customWidth="1"/>
    <col min="118" max="118" width="30.85546875" style="81" customWidth="1"/>
    <col min="119" max="143" width="30.85546875" style="81" hidden="1" customWidth="1"/>
    <col min="144" max="144" width="30.85546875" style="81" customWidth="1"/>
    <col min="145" max="145" width="15.85546875" style="81" customWidth="1"/>
    <col min="146" max="146" width="10.85546875" style="81" hidden="1" customWidth="1"/>
    <col min="147" max="147" width="20.85546875" style="81" customWidth="1"/>
    <col min="148" max="148" width="10.85546875" style="81" hidden="1" customWidth="1"/>
    <col min="149" max="149" width="20.85546875" style="81" customWidth="1"/>
    <col min="150" max="150" width="10.85546875" style="81" hidden="1" customWidth="1"/>
    <col min="151" max="151" width="30.85546875" style="81" customWidth="1"/>
    <col min="152" max="152" width="25.85546875" style="81" customWidth="1"/>
    <col min="153" max="153" width="30.5703125" style="81" customWidth="1"/>
    <col min="154" max="178" width="30.5703125" style="81" hidden="1" customWidth="1"/>
    <col min="179" max="180" width="30.5703125" style="81" customWidth="1"/>
    <col min="181" max="205" width="30.5703125" style="81" hidden="1" customWidth="1"/>
    <col min="206" max="206" width="30.5703125" style="81" customWidth="1"/>
    <col min="207" max="231" width="30.5703125" style="81" hidden="1" customWidth="1"/>
    <col min="232" max="232" width="25.85546875" style="81" customWidth="1"/>
    <col min="233" max="233" width="24.5703125" style="81" bestFit="1" customWidth="1"/>
    <col min="234" max="234" width="30.5703125" style="81" customWidth="1"/>
    <col min="235" max="259" width="30.5703125" style="81" hidden="1" customWidth="1"/>
    <col min="260" max="260" width="9.140625" style="117"/>
    <col min="261" max="16384" width="9.140625" style="111"/>
  </cols>
  <sheetData>
    <row r="1" spans="1:260" s="135" customFormat="1" ht="23.85" customHeight="1">
      <c r="A1" s="102" t="s">
        <v>1178</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c r="CK1" s="134"/>
      <c r="CL1" s="177"/>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288" t="s">
        <v>1179</v>
      </c>
      <c r="EW1" s="288"/>
      <c r="EX1" s="288"/>
      <c r="EY1" s="288"/>
      <c r="EZ1" s="288"/>
      <c r="FA1" s="288"/>
      <c r="FB1" s="288"/>
      <c r="FC1" s="288"/>
      <c r="FD1" s="288"/>
      <c r="FE1" s="288"/>
      <c r="FF1" s="288"/>
      <c r="FG1" s="288"/>
      <c r="FH1" s="288"/>
      <c r="FI1" s="288"/>
      <c r="FJ1" s="288"/>
      <c r="FK1" s="288"/>
      <c r="FL1" s="288"/>
      <c r="FM1" s="288"/>
      <c r="FN1" s="288"/>
      <c r="FO1" s="288"/>
      <c r="FP1" s="288"/>
      <c r="FQ1" s="288"/>
      <c r="FR1" s="288"/>
      <c r="FS1" s="288"/>
      <c r="FT1" s="288"/>
      <c r="FU1" s="288"/>
      <c r="FV1" s="288"/>
      <c r="FW1" s="288"/>
      <c r="FX1" s="288"/>
      <c r="FY1" s="288"/>
      <c r="FZ1" s="288"/>
      <c r="GA1" s="288"/>
      <c r="GB1" s="288"/>
      <c r="GC1" s="288"/>
      <c r="GD1" s="288"/>
      <c r="GE1" s="288"/>
      <c r="GF1" s="288"/>
      <c r="GG1" s="288"/>
      <c r="GH1" s="288"/>
      <c r="GI1" s="288"/>
      <c r="GJ1" s="288"/>
      <c r="GK1" s="288"/>
      <c r="GL1" s="288"/>
      <c r="GM1" s="288"/>
      <c r="GN1" s="288"/>
      <c r="GO1" s="288"/>
      <c r="GP1" s="288"/>
      <c r="GQ1" s="288"/>
      <c r="GR1" s="288"/>
      <c r="GS1" s="288"/>
      <c r="GT1" s="288"/>
      <c r="GU1" s="288"/>
      <c r="GV1" s="288"/>
      <c r="GW1" s="288"/>
      <c r="GX1" s="289" t="s">
        <v>1180</v>
      </c>
      <c r="GY1" s="289"/>
      <c r="GZ1" s="289"/>
      <c r="HA1" s="289"/>
      <c r="HB1" s="289"/>
      <c r="HC1" s="289"/>
      <c r="HD1" s="289"/>
      <c r="HE1" s="289"/>
      <c r="HF1" s="289"/>
      <c r="HG1" s="289"/>
      <c r="HH1" s="289"/>
      <c r="HI1" s="289"/>
      <c r="HJ1" s="289"/>
      <c r="HK1" s="289"/>
      <c r="HL1" s="289"/>
      <c r="HM1" s="289"/>
      <c r="HN1" s="289"/>
      <c r="HO1" s="289"/>
      <c r="HP1" s="289"/>
      <c r="HQ1" s="289"/>
      <c r="HR1" s="289"/>
      <c r="HS1" s="289"/>
      <c r="HT1" s="289"/>
      <c r="HU1" s="289"/>
      <c r="HV1" s="289"/>
      <c r="HW1" s="289"/>
      <c r="HX1" s="289"/>
      <c r="HY1" s="289"/>
      <c r="HZ1" s="289"/>
      <c r="IA1" s="289"/>
      <c r="IB1" s="289"/>
      <c r="IC1" s="289"/>
      <c r="ID1" s="289"/>
      <c r="IE1" s="289"/>
      <c r="IF1" s="289"/>
      <c r="IG1" s="289"/>
      <c r="IH1" s="289"/>
      <c r="II1" s="289"/>
      <c r="IJ1" s="289"/>
      <c r="IK1" s="289"/>
      <c r="IL1" s="289"/>
      <c r="IM1" s="289"/>
      <c r="IN1" s="289"/>
      <c r="IO1" s="289"/>
      <c r="IP1" s="289"/>
      <c r="IQ1" s="289"/>
      <c r="IR1" s="289"/>
      <c r="IS1" s="289"/>
      <c r="IT1" s="289"/>
      <c r="IU1" s="289"/>
      <c r="IV1" s="289"/>
      <c r="IW1" s="289"/>
      <c r="IX1" s="289"/>
      <c r="IY1" s="289"/>
      <c r="IZ1" s="289"/>
    </row>
    <row r="2" spans="1:260" ht="31.35" hidden="1" customHeight="1">
      <c r="A2" s="82" t="s">
        <v>16</v>
      </c>
      <c r="B2" s="112" t="s">
        <v>502</v>
      </c>
      <c r="C2" s="112" t="s">
        <v>502</v>
      </c>
      <c r="D2" s="112" t="s">
        <v>502</v>
      </c>
      <c r="E2" s="112" t="s">
        <v>502</v>
      </c>
      <c r="F2" s="112" t="s">
        <v>502</v>
      </c>
      <c r="G2" s="112" t="s">
        <v>502</v>
      </c>
      <c r="H2" s="112" t="s">
        <v>502</v>
      </c>
      <c r="I2" s="112" t="s">
        <v>502</v>
      </c>
      <c r="J2" s="112" t="s">
        <v>502</v>
      </c>
      <c r="K2" s="112" t="s">
        <v>502</v>
      </c>
      <c r="L2" s="112" t="s">
        <v>502</v>
      </c>
      <c r="M2" s="112" t="s">
        <v>502</v>
      </c>
      <c r="N2" s="112" t="s">
        <v>502</v>
      </c>
      <c r="O2" s="112" t="s">
        <v>502</v>
      </c>
      <c r="P2" s="112" t="s">
        <v>502</v>
      </c>
      <c r="Q2" s="112" t="s">
        <v>502</v>
      </c>
      <c r="R2" s="112" t="s">
        <v>502</v>
      </c>
      <c r="S2" s="112" t="s">
        <v>502</v>
      </c>
      <c r="T2" s="112" t="s">
        <v>502</v>
      </c>
      <c r="U2" s="112" t="s">
        <v>502</v>
      </c>
      <c r="V2" s="112" t="s">
        <v>502</v>
      </c>
      <c r="W2" s="112" t="s">
        <v>502</v>
      </c>
      <c r="X2" s="112" t="s">
        <v>502</v>
      </c>
      <c r="Y2" s="112" t="s">
        <v>502</v>
      </c>
      <c r="Z2" s="112" t="s">
        <v>502</v>
      </c>
      <c r="AA2" s="112" t="s">
        <v>502</v>
      </c>
      <c r="AB2" s="112" t="s">
        <v>1181</v>
      </c>
      <c r="AC2" s="112" t="s">
        <v>1181</v>
      </c>
      <c r="AD2" s="112" t="s">
        <v>502</v>
      </c>
      <c r="AE2" s="112" t="s">
        <v>502</v>
      </c>
      <c r="AF2" s="112" t="s">
        <v>502</v>
      </c>
      <c r="AG2" s="112" t="s">
        <v>502</v>
      </c>
      <c r="AH2" s="112" t="s">
        <v>502</v>
      </c>
      <c r="AI2" s="112" t="s">
        <v>502</v>
      </c>
      <c r="AJ2" s="112" t="s">
        <v>502</v>
      </c>
      <c r="AK2" s="112" t="s">
        <v>502</v>
      </c>
      <c r="AL2" s="112" t="s">
        <v>502</v>
      </c>
      <c r="AM2" s="112" t="s">
        <v>502</v>
      </c>
      <c r="AN2" s="112" t="s">
        <v>502</v>
      </c>
      <c r="AO2" s="112" t="s">
        <v>502</v>
      </c>
      <c r="AP2" s="112" t="s">
        <v>502</v>
      </c>
      <c r="AQ2" s="112" t="s">
        <v>502</v>
      </c>
      <c r="AR2" s="112" t="s">
        <v>502</v>
      </c>
      <c r="AS2" s="112" t="s">
        <v>502</v>
      </c>
      <c r="AT2" s="112" t="s">
        <v>502</v>
      </c>
      <c r="AU2" s="112" t="s">
        <v>502</v>
      </c>
      <c r="AV2" s="112" t="s">
        <v>502</v>
      </c>
      <c r="AW2" s="112" t="s">
        <v>502</v>
      </c>
      <c r="AX2" s="112" t="s">
        <v>502</v>
      </c>
      <c r="AY2" s="112" t="s">
        <v>502</v>
      </c>
      <c r="AZ2" s="112" t="s">
        <v>502</v>
      </c>
      <c r="BA2" s="112" t="s">
        <v>502</v>
      </c>
      <c r="BB2" s="112" t="s">
        <v>502</v>
      </c>
      <c r="BC2" s="112" t="s">
        <v>502</v>
      </c>
      <c r="BD2" s="112" t="s">
        <v>502</v>
      </c>
      <c r="BE2" s="112" t="s">
        <v>502</v>
      </c>
      <c r="BF2" s="112" t="s">
        <v>502</v>
      </c>
      <c r="BG2" s="112" t="s">
        <v>502</v>
      </c>
      <c r="BH2" s="112" t="s">
        <v>502</v>
      </c>
      <c r="BI2" s="112" t="s">
        <v>502</v>
      </c>
      <c r="BJ2" s="112" t="s">
        <v>502</v>
      </c>
      <c r="BK2" s="113" t="s">
        <v>502</v>
      </c>
      <c r="BL2" s="113" t="s">
        <v>502</v>
      </c>
      <c r="BM2" s="113" t="s">
        <v>502</v>
      </c>
      <c r="BN2" s="113" t="s">
        <v>502</v>
      </c>
      <c r="BO2" s="113" t="s">
        <v>502</v>
      </c>
      <c r="BP2" s="113" t="s">
        <v>502</v>
      </c>
      <c r="BQ2" s="113" t="s">
        <v>502</v>
      </c>
      <c r="BR2" s="113" t="s">
        <v>502</v>
      </c>
      <c r="BS2" s="113" t="s">
        <v>502</v>
      </c>
      <c r="BT2" s="113" t="s">
        <v>502</v>
      </c>
      <c r="BU2" s="113" t="s">
        <v>502</v>
      </c>
      <c r="BV2" s="113" t="s">
        <v>502</v>
      </c>
      <c r="BW2" s="113" t="s">
        <v>502</v>
      </c>
      <c r="BX2" s="113" t="s">
        <v>502</v>
      </c>
      <c r="BY2" s="113" t="s">
        <v>502</v>
      </c>
      <c r="BZ2" s="113" t="s">
        <v>502</v>
      </c>
      <c r="CA2" s="113" t="s">
        <v>502</v>
      </c>
      <c r="CB2" s="113" t="s">
        <v>502</v>
      </c>
      <c r="CC2" s="113" t="s">
        <v>502</v>
      </c>
      <c r="CD2" s="113" t="s">
        <v>502</v>
      </c>
      <c r="CE2" s="113" t="s">
        <v>502</v>
      </c>
      <c r="CF2" s="113" t="s">
        <v>502</v>
      </c>
      <c r="CG2" s="113" t="s">
        <v>502</v>
      </c>
      <c r="CH2" s="113" t="s">
        <v>502</v>
      </c>
      <c r="CI2" s="113" t="s">
        <v>502</v>
      </c>
      <c r="CJ2" s="113" t="s">
        <v>502</v>
      </c>
      <c r="CK2" s="113" t="s">
        <v>502</v>
      </c>
      <c r="CL2" s="140" t="s">
        <v>1182</v>
      </c>
      <c r="CM2" s="112" t="s">
        <v>1182</v>
      </c>
      <c r="CN2" s="112" t="s">
        <v>1182</v>
      </c>
      <c r="CO2" s="112" t="s">
        <v>1182</v>
      </c>
      <c r="CP2" s="112" t="s">
        <v>1182</v>
      </c>
      <c r="CQ2" s="112" t="s">
        <v>1182</v>
      </c>
      <c r="CR2" s="112" t="s">
        <v>1182</v>
      </c>
      <c r="CS2" s="112" t="s">
        <v>1182</v>
      </c>
      <c r="CT2" s="112" t="s">
        <v>1182</v>
      </c>
      <c r="CU2" s="112" t="s">
        <v>1182</v>
      </c>
      <c r="CV2" s="112" t="s">
        <v>1182</v>
      </c>
      <c r="CW2" s="112" t="s">
        <v>1182</v>
      </c>
      <c r="CX2" s="112" t="s">
        <v>1182</v>
      </c>
      <c r="CY2" s="112" t="s">
        <v>1182</v>
      </c>
      <c r="CZ2" s="112" t="s">
        <v>1182</v>
      </c>
      <c r="DA2" s="112" t="s">
        <v>1182</v>
      </c>
      <c r="DB2" s="112" t="s">
        <v>1182</v>
      </c>
      <c r="DC2" s="112" t="s">
        <v>1182</v>
      </c>
      <c r="DD2" s="112" t="s">
        <v>1182</v>
      </c>
      <c r="DE2" s="112" t="s">
        <v>1182</v>
      </c>
      <c r="DF2" s="112" t="s">
        <v>1182</v>
      </c>
      <c r="DG2" s="112" t="s">
        <v>1182</v>
      </c>
      <c r="DH2" s="112" t="s">
        <v>1182</v>
      </c>
      <c r="DI2" s="112" t="s">
        <v>1182</v>
      </c>
      <c r="DJ2" s="112" t="s">
        <v>1182</v>
      </c>
      <c r="DK2" s="112" t="s">
        <v>1182</v>
      </c>
      <c r="DL2" s="112" t="s">
        <v>1183</v>
      </c>
      <c r="DM2" s="112" t="s">
        <v>1183</v>
      </c>
      <c r="DN2" s="112" t="s">
        <v>1182</v>
      </c>
      <c r="DO2" s="112" t="s">
        <v>1182</v>
      </c>
      <c r="DP2" s="112" t="s">
        <v>1182</v>
      </c>
      <c r="DQ2" s="112" t="s">
        <v>1182</v>
      </c>
      <c r="DR2" s="112" t="s">
        <v>1182</v>
      </c>
      <c r="DS2" s="112" t="s">
        <v>1182</v>
      </c>
      <c r="DT2" s="112" t="s">
        <v>1182</v>
      </c>
      <c r="DU2" s="112" t="s">
        <v>1182</v>
      </c>
      <c r="DV2" s="112" t="s">
        <v>1182</v>
      </c>
      <c r="DW2" s="112" t="s">
        <v>1182</v>
      </c>
      <c r="DX2" s="112" t="s">
        <v>1182</v>
      </c>
      <c r="DY2" s="112" t="s">
        <v>1182</v>
      </c>
      <c r="DZ2" s="112" t="s">
        <v>1182</v>
      </c>
      <c r="EA2" s="112" t="s">
        <v>1182</v>
      </c>
      <c r="EB2" s="112" t="s">
        <v>1182</v>
      </c>
      <c r="EC2" s="112" t="s">
        <v>1182</v>
      </c>
      <c r="ED2" s="112" t="s">
        <v>1182</v>
      </c>
      <c r="EE2" s="112" t="s">
        <v>1182</v>
      </c>
      <c r="EF2" s="112" t="s">
        <v>1182</v>
      </c>
      <c r="EG2" s="112" t="s">
        <v>1182</v>
      </c>
      <c r="EH2" s="112" t="s">
        <v>1182</v>
      </c>
      <c r="EI2" s="112" t="s">
        <v>1182</v>
      </c>
      <c r="EJ2" s="112" t="s">
        <v>1182</v>
      </c>
      <c r="EK2" s="112" t="s">
        <v>1182</v>
      </c>
      <c r="EL2" s="112" t="s">
        <v>1182</v>
      </c>
      <c r="EM2" s="112" t="s">
        <v>1182</v>
      </c>
      <c r="EN2" s="112" t="s">
        <v>1184</v>
      </c>
      <c r="EO2" s="114" t="s">
        <v>1182</v>
      </c>
      <c r="EP2" s="114" t="s">
        <v>1182</v>
      </c>
      <c r="EQ2" s="114" t="s">
        <v>1182</v>
      </c>
      <c r="ER2" s="114" t="s">
        <v>1182</v>
      </c>
      <c r="ES2" s="114" t="s">
        <v>1182</v>
      </c>
      <c r="ET2" s="114" t="s">
        <v>1182</v>
      </c>
      <c r="EU2" s="113" t="s">
        <v>1185</v>
      </c>
      <c r="EV2" s="113" t="s">
        <v>1182</v>
      </c>
      <c r="EW2" s="113" t="s">
        <v>1182</v>
      </c>
      <c r="EX2" s="113" t="s">
        <v>1182</v>
      </c>
      <c r="EY2" s="113" t="s">
        <v>1182</v>
      </c>
      <c r="EZ2" s="113" t="s">
        <v>1182</v>
      </c>
      <c r="FA2" s="113" t="s">
        <v>1182</v>
      </c>
      <c r="FB2" s="113" t="s">
        <v>1182</v>
      </c>
      <c r="FC2" s="113" t="s">
        <v>1182</v>
      </c>
      <c r="FD2" s="113" t="s">
        <v>1182</v>
      </c>
      <c r="FE2" s="113" t="s">
        <v>1182</v>
      </c>
      <c r="FF2" s="113" t="s">
        <v>1182</v>
      </c>
      <c r="FG2" s="113" t="s">
        <v>1182</v>
      </c>
      <c r="FH2" s="113" t="s">
        <v>1182</v>
      </c>
      <c r="FI2" s="113" t="s">
        <v>1182</v>
      </c>
      <c r="FJ2" s="113" t="s">
        <v>1182</v>
      </c>
      <c r="FK2" s="113" t="s">
        <v>1182</v>
      </c>
      <c r="FL2" s="113" t="s">
        <v>1182</v>
      </c>
      <c r="FM2" s="113" t="s">
        <v>1182</v>
      </c>
      <c r="FN2" s="113" t="s">
        <v>1182</v>
      </c>
      <c r="FO2" s="113" t="s">
        <v>1182</v>
      </c>
      <c r="FP2" s="113" t="s">
        <v>1182</v>
      </c>
      <c r="FQ2" s="113" t="s">
        <v>1182</v>
      </c>
      <c r="FR2" s="113" t="s">
        <v>1182</v>
      </c>
      <c r="FS2" s="113" t="s">
        <v>1182</v>
      </c>
      <c r="FT2" s="113" t="s">
        <v>1182</v>
      </c>
      <c r="FU2" s="113" t="s">
        <v>1182</v>
      </c>
      <c r="FV2" s="113" t="s">
        <v>1182</v>
      </c>
      <c r="FW2" s="113" t="s">
        <v>1182</v>
      </c>
      <c r="FX2" s="113" t="s">
        <v>1182</v>
      </c>
      <c r="FY2" s="113" t="s">
        <v>1182</v>
      </c>
      <c r="FZ2" s="113" t="s">
        <v>1182</v>
      </c>
      <c r="GA2" s="113" t="s">
        <v>1182</v>
      </c>
      <c r="GB2" s="113" t="s">
        <v>1182</v>
      </c>
      <c r="GC2" s="113" t="s">
        <v>1182</v>
      </c>
      <c r="GD2" s="113" t="s">
        <v>1182</v>
      </c>
      <c r="GE2" s="113" t="s">
        <v>1182</v>
      </c>
      <c r="GF2" s="113" t="s">
        <v>1182</v>
      </c>
      <c r="GG2" s="113" t="s">
        <v>1182</v>
      </c>
      <c r="GH2" s="113" t="s">
        <v>1182</v>
      </c>
      <c r="GI2" s="113" t="s">
        <v>1182</v>
      </c>
      <c r="GJ2" s="113" t="s">
        <v>1182</v>
      </c>
      <c r="GK2" s="113" t="s">
        <v>1182</v>
      </c>
      <c r="GL2" s="113" t="s">
        <v>1182</v>
      </c>
      <c r="GM2" s="113" t="s">
        <v>1182</v>
      </c>
      <c r="GN2" s="113" t="s">
        <v>1182</v>
      </c>
      <c r="GO2" s="113" t="s">
        <v>1182</v>
      </c>
      <c r="GP2" s="113" t="s">
        <v>1182</v>
      </c>
      <c r="GQ2" s="113" t="s">
        <v>1182</v>
      </c>
      <c r="GR2" s="113" t="s">
        <v>1182</v>
      </c>
      <c r="GS2" s="113" t="s">
        <v>1182</v>
      </c>
      <c r="GT2" s="113" t="s">
        <v>1182</v>
      </c>
      <c r="GU2" s="113" t="s">
        <v>1182</v>
      </c>
      <c r="GV2" s="113" t="s">
        <v>1182</v>
      </c>
      <c r="GW2" s="113" t="s">
        <v>1182</v>
      </c>
      <c r="GX2" s="112" t="s">
        <v>1186</v>
      </c>
      <c r="GY2" s="112" t="s">
        <v>1186</v>
      </c>
      <c r="GZ2" s="112" t="s">
        <v>1186</v>
      </c>
      <c r="HA2" s="112" t="s">
        <v>1186</v>
      </c>
      <c r="HB2" s="112" t="s">
        <v>1186</v>
      </c>
      <c r="HC2" s="112" t="s">
        <v>1186</v>
      </c>
      <c r="HD2" s="112" t="s">
        <v>1186</v>
      </c>
      <c r="HE2" s="112" t="s">
        <v>1186</v>
      </c>
      <c r="HF2" s="112" t="s">
        <v>1186</v>
      </c>
      <c r="HG2" s="112" t="s">
        <v>1186</v>
      </c>
      <c r="HH2" s="112" t="s">
        <v>1186</v>
      </c>
      <c r="HI2" s="112" t="s">
        <v>1186</v>
      </c>
      <c r="HJ2" s="112" t="s">
        <v>1186</v>
      </c>
      <c r="HK2" s="112" t="s">
        <v>1186</v>
      </c>
      <c r="HL2" s="112" t="s">
        <v>1186</v>
      </c>
      <c r="HM2" s="112" t="s">
        <v>1186</v>
      </c>
      <c r="HN2" s="112" t="s">
        <v>1186</v>
      </c>
      <c r="HO2" s="112" t="s">
        <v>1186</v>
      </c>
      <c r="HP2" s="112" t="s">
        <v>1186</v>
      </c>
      <c r="HQ2" s="112" t="s">
        <v>1186</v>
      </c>
      <c r="HR2" s="112" t="s">
        <v>1186</v>
      </c>
      <c r="HS2" s="112" t="s">
        <v>1186</v>
      </c>
      <c r="HT2" s="112" t="s">
        <v>1186</v>
      </c>
      <c r="HU2" s="112" t="s">
        <v>1186</v>
      </c>
      <c r="HV2" s="112" t="s">
        <v>1186</v>
      </c>
      <c r="HW2" s="112" t="s">
        <v>1186</v>
      </c>
      <c r="HX2" s="112" t="s">
        <v>1187</v>
      </c>
      <c r="HY2" s="112" t="s">
        <v>1187</v>
      </c>
      <c r="HZ2" s="112" t="s">
        <v>1186</v>
      </c>
      <c r="IA2" s="112" t="s">
        <v>1186</v>
      </c>
      <c r="IB2" s="112" t="s">
        <v>1186</v>
      </c>
      <c r="IC2" s="112" t="s">
        <v>1186</v>
      </c>
      <c r="ID2" s="112" t="s">
        <v>1186</v>
      </c>
      <c r="IE2" s="112" t="s">
        <v>1186</v>
      </c>
      <c r="IF2" s="112" t="s">
        <v>1186</v>
      </c>
      <c r="IG2" s="112" t="s">
        <v>1186</v>
      </c>
      <c r="IH2" s="112" t="s">
        <v>1186</v>
      </c>
      <c r="II2" s="112" t="s">
        <v>1186</v>
      </c>
      <c r="IJ2" s="112" t="s">
        <v>1186</v>
      </c>
      <c r="IK2" s="112" t="s">
        <v>1186</v>
      </c>
      <c r="IL2" s="112" t="s">
        <v>1186</v>
      </c>
      <c r="IM2" s="112" t="s">
        <v>1186</v>
      </c>
      <c r="IN2" s="112" t="s">
        <v>1186</v>
      </c>
      <c r="IO2" s="112" t="s">
        <v>1186</v>
      </c>
      <c r="IP2" s="112" t="s">
        <v>1186</v>
      </c>
      <c r="IQ2" s="112" t="s">
        <v>1186</v>
      </c>
      <c r="IR2" s="112" t="s">
        <v>1186</v>
      </c>
      <c r="IS2" s="112" t="s">
        <v>1186</v>
      </c>
      <c r="IT2" s="112" t="s">
        <v>1186</v>
      </c>
      <c r="IU2" s="112" t="s">
        <v>1186</v>
      </c>
      <c r="IV2" s="112" t="s">
        <v>1186</v>
      </c>
      <c r="IW2" s="112" t="s">
        <v>1186</v>
      </c>
      <c r="IX2" s="112" t="s">
        <v>1186</v>
      </c>
      <c r="IY2" s="112" t="s">
        <v>1186</v>
      </c>
    </row>
    <row r="3" spans="1:260" ht="31.35"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96" t="s">
        <v>190</v>
      </c>
      <c r="AC3" s="96" t="s">
        <v>35</v>
      </c>
      <c r="AD3" s="96" t="s">
        <v>21</v>
      </c>
      <c r="AE3" s="96" t="s">
        <v>21</v>
      </c>
      <c r="AF3" s="96" t="s">
        <v>21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1188</v>
      </c>
      <c r="BE3" s="96" t="s">
        <v>1188</v>
      </c>
      <c r="BF3" s="96" t="s">
        <v>1189</v>
      </c>
      <c r="BG3" s="96" t="s">
        <v>1189</v>
      </c>
      <c r="BH3" s="96" t="s">
        <v>1190</v>
      </c>
      <c r="BI3" s="96" t="s">
        <v>485</v>
      </c>
      <c r="BJ3" s="96" t="s">
        <v>485</v>
      </c>
      <c r="BK3" s="96" t="s">
        <v>499</v>
      </c>
      <c r="BL3" s="96" t="s">
        <v>499</v>
      </c>
      <c r="BM3" s="96" t="s">
        <v>499</v>
      </c>
      <c r="BN3" s="96" t="s">
        <v>499</v>
      </c>
      <c r="BO3" s="96" t="s">
        <v>499</v>
      </c>
      <c r="BP3" s="96" t="s">
        <v>499</v>
      </c>
      <c r="BQ3" s="96" t="s">
        <v>499</v>
      </c>
      <c r="BR3" s="96" t="s">
        <v>499</v>
      </c>
      <c r="BS3" s="96" t="s">
        <v>499</v>
      </c>
      <c r="BT3" s="96" t="s">
        <v>499</v>
      </c>
      <c r="BU3" s="96" t="s">
        <v>499</v>
      </c>
      <c r="BV3" s="96" t="s">
        <v>499</v>
      </c>
      <c r="BW3" s="96" t="s">
        <v>499</v>
      </c>
      <c r="BX3" s="96" t="s">
        <v>499</v>
      </c>
      <c r="BY3" s="96" t="s">
        <v>499</v>
      </c>
      <c r="BZ3" s="96" t="s">
        <v>499</v>
      </c>
      <c r="CA3" s="96" t="s">
        <v>499</v>
      </c>
      <c r="CB3" s="96" t="s">
        <v>499</v>
      </c>
      <c r="CC3" s="96" t="s">
        <v>499</v>
      </c>
      <c r="CD3" s="96" t="s">
        <v>499</v>
      </c>
      <c r="CE3" s="96" t="s">
        <v>499</v>
      </c>
      <c r="CF3" s="96" t="s">
        <v>499</v>
      </c>
      <c r="CG3" s="96" t="s">
        <v>499</v>
      </c>
      <c r="CH3" s="96" t="s">
        <v>499</v>
      </c>
      <c r="CI3" s="96" t="s">
        <v>499</v>
      </c>
      <c r="CJ3" s="96" t="s">
        <v>499</v>
      </c>
      <c r="CK3" s="96" t="s">
        <v>499</v>
      </c>
      <c r="CL3" s="141" t="s">
        <v>20</v>
      </c>
      <c r="CM3" s="96" t="s">
        <v>20</v>
      </c>
      <c r="CN3" s="96" t="s">
        <v>20</v>
      </c>
      <c r="CO3" s="96" t="s">
        <v>20</v>
      </c>
      <c r="CP3" s="96" t="s">
        <v>20</v>
      </c>
      <c r="CQ3" s="96" t="s">
        <v>20</v>
      </c>
      <c r="CR3" s="96" t="s">
        <v>20</v>
      </c>
      <c r="CS3" s="96" t="s">
        <v>20</v>
      </c>
      <c r="CT3" s="96" t="s">
        <v>20</v>
      </c>
      <c r="CU3" s="96" t="s">
        <v>20</v>
      </c>
      <c r="CV3" s="96" t="s">
        <v>20</v>
      </c>
      <c r="CW3" s="96" t="s">
        <v>20</v>
      </c>
      <c r="CX3" s="96" t="s">
        <v>20</v>
      </c>
      <c r="CY3" s="96" t="s">
        <v>20</v>
      </c>
      <c r="CZ3" s="96" t="s">
        <v>20</v>
      </c>
      <c r="DA3" s="96" t="s">
        <v>20</v>
      </c>
      <c r="DB3" s="96" t="s">
        <v>20</v>
      </c>
      <c r="DC3" s="96" t="s">
        <v>20</v>
      </c>
      <c r="DD3" s="96" t="s">
        <v>20</v>
      </c>
      <c r="DE3" s="96" t="s">
        <v>20</v>
      </c>
      <c r="DF3" s="96" t="s">
        <v>20</v>
      </c>
      <c r="DG3" s="96" t="s">
        <v>20</v>
      </c>
      <c r="DH3" s="96" t="s">
        <v>20</v>
      </c>
      <c r="DI3" s="96" t="s">
        <v>20</v>
      </c>
      <c r="DJ3" s="96" t="s">
        <v>20</v>
      </c>
      <c r="DK3" s="96" t="s">
        <v>20</v>
      </c>
      <c r="DL3" s="96" t="s">
        <v>190</v>
      </c>
      <c r="DM3" s="96" t="s">
        <v>35</v>
      </c>
      <c r="DN3" s="96" t="s">
        <v>21</v>
      </c>
      <c r="DO3" s="96" t="s">
        <v>21</v>
      </c>
      <c r="DP3" s="96" t="s">
        <v>21</v>
      </c>
      <c r="DQ3" s="96" t="s">
        <v>21</v>
      </c>
      <c r="DR3" s="96" t="s">
        <v>21</v>
      </c>
      <c r="DS3" s="96" t="s">
        <v>21</v>
      </c>
      <c r="DT3" s="96" t="s">
        <v>21</v>
      </c>
      <c r="DU3" s="96" t="s">
        <v>21</v>
      </c>
      <c r="DV3" s="96" t="s">
        <v>21</v>
      </c>
      <c r="DW3" s="96" t="s">
        <v>21</v>
      </c>
      <c r="DX3" s="96" t="s">
        <v>21</v>
      </c>
      <c r="DY3" s="96" t="s">
        <v>21</v>
      </c>
      <c r="DZ3" s="96" t="s">
        <v>21</v>
      </c>
      <c r="EA3" s="96" t="s">
        <v>21</v>
      </c>
      <c r="EB3" s="96" t="s">
        <v>21</v>
      </c>
      <c r="EC3" s="96" t="s">
        <v>21</v>
      </c>
      <c r="ED3" s="96" t="s">
        <v>21</v>
      </c>
      <c r="EE3" s="96" t="s">
        <v>21</v>
      </c>
      <c r="EF3" s="96" t="s">
        <v>21</v>
      </c>
      <c r="EG3" s="96" t="s">
        <v>21</v>
      </c>
      <c r="EH3" s="96" t="s">
        <v>21</v>
      </c>
      <c r="EI3" s="96" t="s">
        <v>21</v>
      </c>
      <c r="EJ3" s="96" t="s">
        <v>21</v>
      </c>
      <c r="EK3" s="96" t="s">
        <v>21</v>
      </c>
      <c r="EL3" s="96" t="s">
        <v>21</v>
      </c>
      <c r="EM3" s="96" t="s">
        <v>21</v>
      </c>
      <c r="EN3" s="96" t="s">
        <v>192</v>
      </c>
      <c r="EO3" s="96" t="s">
        <v>495</v>
      </c>
      <c r="EP3" s="96" t="s">
        <v>495</v>
      </c>
      <c r="EQ3" s="96" t="s">
        <v>494</v>
      </c>
      <c r="ER3" s="96" t="s">
        <v>494</v>
      </c>
      <c r="ES3" s="96" t="s">
        <v>1191</v>
      </c>
      <c r="ET3" s="96" t="s">
        <v>1191</v>
      </c>
      <c r="EU3" s="96" t="s">
        <v>192</v>
      </c>
      <c r="EV3" s="96" t="s">
        <v>499</v>
      </c>
      <c r="EW3" s="96" t="s">
        <v>499</v>
      </c>
      <c r="EX3" s="96" t="s">
        <v>499</v>
      </c>
      <c r="EY3" s="96" t="s">
        <v>499</v>
      </c>
      <c r="EZ3" s="96" t="s">
        <v>499</v>
      </c>
      <c r="FA3" s="96" t="s">
        <v>499</v>
      </c>
      <c r="FB3" s="96" t="s">
        <v>499</v>
      </c>
      <c r="FC3" s="96" t="s">
        <v>499</v>
      </c>
      <c r="FD3" s="96" t="s">
        <v>499</v>
      </c>
      <c r="FE3" s="96" t="s">
        <v>499</v>
      </c>
      <c r="FF3" s="96" t="s">
        <v>499</v>
      </c>
      <c r="FG3" s="96" t="s">
        <v>499</v>
      </c>
      <c r="FH3" s="96" t="s">
        <v>499</v>
      </c>
      <c r="FI3" s="96" t="s">
        <v>499</v>
      </c>
      <c r="FJ3" s="96" t="s">
        <v>499</v>
      </c>
      <c r="FK3" s="96" t="s">
        <v>499</v>
      </c>
      <c r="FL3" s="96" t="s">
        <v>499</v>
      </c>
      <c r="FM3" s="96" t="s">
        <v>499</v>
      </c>
      <c r="FN3" s="96" t="s">
        <v>499</v>
      </c>
      <c r="FO3" s="96" t="s">
        <v>499</v>
      </c>
      <c r="FP3" s="96" t="s">
        <v>499</v>
      </c>
      <c r="FQ3" s="96" t="s">
        <v>499</v>
      </c>
      <c r="FR3" s="96" t="s">
        <v>499</v>
      </c>
      <c r="FS3" s="96" t="s">
        <v>499</v>
      </c>
      <c r="FT3" s="96" t="s">
        <v>499</v>
      </c>
      <c r="FU3" s="96" t="s">
        <v>499</v>
      </c>
      <c r="FV3" s="96" t="s">
        <v>499</v>
      </c>
      <c r="FW3" s="96" t="s">
        <v>499</v>
      </c>
      <c r="FX3" s="96" t="s">
        <v>499</v>
      </c>
      <c r="FY3" s="96" t="s">
        <v>499</v>
      </c>
      <c r="FZ3" s="96" t="s">
        <v>499</v>
      </c>
      <c r="GA3" s="96" t="s">
        <v>499</v>
      </c>
      <c r="GB3" s="96" t="s">
        <v>499</v>
      </c>
      <c r="GC3" s="96" t="s">
        <v>499</v>
      </c>
      <c r="GD3" s="96" t="s">
        <v>499</v>
      </c>
      <c r="GE3" s="96" t="s">
        <v>499</v>
      </c>
      <c r="GF3" s="96" t="s">
        <v>499</v>
      </c>
      <c r="GG3" s="96" t="s">
        <v>499</v>
      </c>
      <c r="GH3" s="96" t="s">
        <v>499</v>
      </c>
      <c r="GI3" s="96" t="s">
        <v>499</v>
      </c>
      <c r="GJ3" s="96" t="s">
        <v>499</v>
      </c>
      <c r="GK3" s="96" t="s">
        <v>499</v>
      </c>
      <c r="GL3" s="96" t="s">
        <v>499</v>
      </c>
      <c r="GM3" s="96" t="s">
        <v>499</v>
      </c>
      <c r="GN3" s="96" t="s">
        <v>499</v>
      </c>
      <c r="GO3" s="96" t="s">
        <v>499</v>
      </c>
      <c r="GP3" s="96" t="s">
        <v>499</v>
      </c>
      <c r="GQ3" s="96" t="s">
        <v>499</v>
      </c>
      <c r="GR3" s="96" t="s">
        <v>499</v>
      </c>
      <c r="GS3" s="96" t="s">
        <v>499</v>
      </c>
      <c r="GT3" s="96" t="s">
        <v>499</v>
      </c>
      <c r="GU3" s="96" t="s">
        <v>499</v>
      </c>
      <c r="GV3" s="96" t="s">
        <v>499</v>
      </c>
      <c r="GW3" s="96" t="s">
        <v>499</v>
      </c>
      <c r="GX3" s="96" t="s">
        <v>20</v>
      </c>
      <c r="GY3" s="96" t="s">
        <v>20</v>
      </c>
      <c r="GZ3" s="96" t="s">
        <v>20</v>
      </c>
      <c r="HA3" s="96" t="s">
        <v>20</v>
      </c>
      <c r="HB3" s="96" t="s">
        <v>20</v>
      </c>
      <c r="HC3" s="96" t="s">
        <v>20</v>
      </c>
      <c r="HD3" s="96" t="s">
        <v>20</v>
      </c>
      <c r="HE3" s="96" t="s">
        <v>20</v>
      </c>
      <c r="HF3" s="96" t="s">
        <v>20</v>
      </c>
      <c r="HG3" s="96" t="s">
        <v>20</v>
      </c>
      <c r="HH3" s="96" t="s">
        <v>20</v>
      </c>
      <c r="HI3" s="96" t="s">
        <v>20</v>
      </c>
      <c r="HJ3" s="96" t="s">
        <v>20</v>
      </c>
      <c r="HK3" s="96" t="s">
        <v>20</v>
      </c>
      <c r="HL3" s="96" t="s">
        <v>20</v>
      </c>
      <c r="HM3" s="96" t="s">
        <v>20</v>
      </c>
      <c r="HN3" s="96" t="s">
        <v>20</v>
      </c>
      <c r="HO3" s="96" t="s">
        <v>20</v>
      </c>
      <c r="HP3" s="96" t="s">
        <v>20</v>
      </c>
      <c r="HQ3" s="96" t="s">
        <v>20</v>
      </c>
      <c r="HR3" s="96" t="s">
        <v>20</v>
      </c>
      <c r="HS3" s="96" t="s">
        <v>20</v>
      </c>
      <c r="HT3" s="96" t="s">
        <v>20</v>
      </c>
      <c r="HU3" s="96" t="s">
        <v>20</v>
      </c>
      <c r="HV3" s="96" t="s">
        <v>20</v>
      </c>
      <c r="HW3" s="96" t="s">
        <v>20</v>
      </c>
      <c r="HX3" s="96" t="s">
        <v>190</v>
      </c>
      <c r="HY3" s="96" t="s">
        <v>35</v>
      </c>
      <c r="HZ3" s="96" t="s">
        <v>21</v>
      </c>
      <c r="IA3" s="96" t="s">
        <v>21</v>
      </c>
      <c r="IB3" s="96" t="s">
        <v>21</v>
      </c>
      <c r="IC3" s="96" t="s">
        <v>21</v>
      </c>
      <c r="ID3" s="96" t="s">
        <v>21</v>
      </c>
      <c r="IE3" s="96" t="s">
        <v>21</v>
      </c>
      <c r="IF3" s="96" t="s">
        <v>21</v>
      </c>
      <c r="IG3" s="96" t="s">
        <v>21</v>
      </c>
      <c r="IH3" s="96" t="s">
        <v>21</v>
      </c>
      <c r="II3" s="96" t="s">
        <v>21</v>
      </c>
      <c r="IJ3" s="96" t="s">
        <v>21</v>
      </c>
      <c r="IK3" s="96" t="s">
        <v>21</v>
      </c>
      <c r="IL3" s="96" t="s">
        <v>21</v>
      </c>
      <c r="IM3" s="96" t="s">
        <v>21</v>
      </c>
      <c r="IN3" s="96" t="s">
        <v>21</v>
      </c>
      <c r="IO3" s="96" t="s">
        <v>21</v>
      </c>
      <c r="IP3" s="96" t="s">
        <v>21</v>
      </c>
      <c r="IQ3" s="96" t="s">
        <v>21</v>
      </c>
      <c r="IR3" s="96" t="s">
        <v>21</v>
      </c>
      <c r="IS3" s="96" t="s">
        <v>21</v>
      </c>
      <c r="IT3" s="96" t="s">
        <v>21</v>
      </c>
      <c r="IU3" s="96" t="s">
        <v>21</v>
      </c>
      <c r="IV3" s="96" t="s">
        <v>21</v>
      </c>
      <c r="IW3" s="96" t="s">
        <v>21</v>
      </c>
      <c r="IX3" s="96" t="s">
        <v>21</v>
      </c>
      <c r="IY3" s="96" t="s">
        <v>21</v>
      </c>
    </row>
    <row r="4" spans="1:260" ht="31.35" hidden="1" customHeight="1">
      <c r="A4" s="82" t="s">
        <v>29</v>
      </c>
      <c r="B4" s="81" t="s">
        <v>30</v>
      </c>
      <c r="C4" s="81" t="s">
        <v>30</v>
      </c>
      <c r="D4" s="81" t="s">
        <v>30</v>
      </c>
      <c r="E4" s="81" t="s">
        <v>30</v>
      </c>
      <c r="F4" s="81" t="s">
        <v>30</v>
      </c>
      <c r="G4" s="81" t="s">
        <v>30</v>
      </c>
      <c r="H4" s="81" t="s">
        <v>30</v>
      </c>
      <c r="I4" s="81" t="s">
        <v>30</v>
      </c>
      <c r="J4" s="81" t="s">
        <v>30</v>
      </c>
      <c r="K4" s="81" t="s">
        <v>30</v>
      </c>
      <c r="L4" s="81" t="s">
        <v>30</v>
      </c>
      <c r="M4" s="81" t="s">
        <v>30</v>
      </c>
      <c r="N4" s="81" t="s">
        <v>30</v>
      </c>
      <c r="O4" s="81" t="s">
        <v>30</v>
      </c>
      <c r="P4" s="81" t="s">
        <v>30</v>
      </c>
      <c r="Q4" s="81" t="s">
        <v>30</v>
      </c>
      <c r="R4" s="81" t="s">
        <v>30</v>
      </c>
      <c r="S4" s="81" t="s">
        <v>30</v>
      </c>
      <c r="T4" s="81" t="s">
        <v>30</v>
      </c>
      <c r="U4" s="81" t="s">
        <v>30</v>
      </c>
      <c r="V4" s="81" t="s">
        <v>30</v>
      </c>
      <c r="W4" s="81" t="s">
        <v>30</v>
      </c>
      <c r="X4" s="81" t="s">
        <v>30</v>
      </c>
      <c r="Y4" s="81" t="s">
        <v>30</v>
      </c>
      <c r="Z4" s="81" t="s">
        <v>30</v>
      </c>
      <c r="AA4" s="81" t="s">
        <v>30</v>
      </c>
      <c r="AB4" s="81" t="s">
        <v>33</v>
      </c>
      <c r="AC4" s="81" t="s">
        <v>33</v>
      </c>
      <c r="AD4" s="81" t="s">
        <v>30</v>
      </c>
      <c r="AE4" s="81" t="s">
        <v>30</v>
      </c>
      <c r="AF4" s="81" t="s">
        <v>30</v>
      </c>
      <c r="AG4" s="81" t="s">
        <v>30</v>
      </c>
      <c r="AH4" s="81" t="s">
        <v>30</v>
      </c>
      <c r="AI4" s="81" t="s">
        <v>30</v>
      </c>
      <c r="AJ4" s="81" t="s">
        <v>30</v>
      </c>
      <c r="AK4" s="81" t="s">
        <v>30</v>
      </c>
      <c r="AL4" s="81" t="s">
        <v>30</v>
      </c>
      <c r="AM4" s="81" t="s">
        <v>30</v>
      </c>
      <c r="AN4" s="81" t="s">
        <v>30</v>
      </c>
      <c r="AO4" s="81" t="s">
        <v>30</v>
      </c>
      <c r="AP4" s="81" t="s">
        <v>30</v>
      </c>
      <c r="AQ4" s="81" t="s">
        <v>30</v>
      </c>
      <c r="AR4" s="81" t="s">
        <v>30</v>
      </c>
      <c r="AS4" s="81" t="s">
        <v>30</v>
      </c>
      <c r="AT4" s="81" t="s">
        <v>30</v>
      </c>
      <c r="AU4" s="81" t="s">
        <v>30</v>
      </c>
      <c r="AV4" s="81" t="s">
        <v>30</v>
      </c>
      <c r="AW4" s="81" t="s">
        <v>30</v>
      </c>
      <c r="AX4" s="81" t="s">
        <v>30</v>
      </c>
      <c r="AY4" s="81" t="s">
        <v>30</v>
      </c>
      <c r="AZ4" s="81" t="s">
        <v>30</v>
      </c>
      <c r="BA4" s="81" t="s">
        <v>30</v>
      </c>
      <c r="BB4" s="81" t="s">
        <v>30</v>
      </c>
      <c r="BC4" s="81" t="s">
        <v>30</v>
      </c>
      <c r="BD4" s="81" t="s">
        <v>31</v>
      </c>
      <c r="BE4" s="81" t="s">
        <v>32</v>
      </c>
      <c r="BF4" s="81" t="s">
        <v>31</v>
      </c>
      <c r="BG4" s="81" t="s">
        <v>32</v>
      </c>
      <c r="BH4" s="81" t="s">
        <v>30</v>
      </c>
      <c r="BI4" s="81" t="s">
        <v>199</v>
      </c>
      <c r="BJ4" s="81" t="s">
        <v>32</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149" t="s">
        <v>33</v>
      </c>
      <c r="CM4" s="81" t="s">
        <v>33</v>
      </c>
      <c r="CN4" s="81" t="s">
        <v>33</v>
      </c>
      <c r="CO4" s="81" t="s">
        <v>33</v>
      </c>
      <c r="CP4" s="81" t="s">
        <v>33</v>
      </c>
      <c r="CQ4" s="81" t="s">
        <v>33</v>
      </c>
      <c r="CR4" s="81" t="s">
        <v>33</v>
      </c>
      <c r="CS4" s="81" t="s">
        <v>33</v>
      </c>
      <c r="CT4" s="81" t="s">
        <v>33</v>
      </c>
      <c r="CU4" s="81" t="s">
        <v>33</v>
      </c>
      <c r="CV4" s="81" t="s">
        <v>33</v>
      </c>
      <c r="CW4" s="81" t="s">
        <v>33</v>
      </c>
      <c r="CX4" s="81" t="s">
        <v>33</v>
      </c>
      <c r="CY4" s="81" t="s">
        <v>33</v>
      </c>
      <c r="CZ4" s="81" t="s">
        <v>33</v>
      </c>
      <c r="DA4" s="81" t="s">
        <v>33</v>
      </c>
      <c r="DB4" s="81" t="s">
        <v>33</v>
      </c>
      <c r="DC4" s="81" t="s">
        <v>33</v>
      </c>
      <c r="DD4" s="81" t="s">
        <v>33</v>
      </c>
      <c r="DE4" s="81" t="s">
        <v>33</v>
      </c>
      <c r="DF4" s="81" t="s">
        <v>33</v>
      </c>
      <c r="DG4" s="81" t="s">
        <v>33</v>
      </c>
      <c r="DH4" s="81" t="s">
        <v>33</v>
      </c>
      <c r="DI4" s="81" t="s">
        <v>33</v>
      </c>
      <c r="DJ4" s="81" t="s">
        <v>33</v>
      </c>
      <c r="DK4" s="81" t="s">
        <v>33</v>
      </c>
      <c r="DL4" s="81" t="s">
        <v>33</v>
      </c>
      <c r="DM4" s="81" t="s">
        <v>33</v>
      </c>
      <c r="DN4" s="81" t="s">
        <v>33</v>
      </c>
      <c r="DO4" s="81" t="s">
        <v>33</v>
      </c>
      <c r="DP4" s="81" t="s">
        <v>33</v>
      </c>
      <c r="DQ4" s="81" t="s">
        <v>33</v>
      </c>
      <c r="DR4" s="81" t="s">
        <v>33</v>
      </c>
      <c r="DS4" s="81" t="s">
        <v>33</v>
      </c>
      <c r="DT4" s="81" t="s">
        <v>33</v>
      </c>
      <c r="DU4" s="81" t="s">
        <v>33</v>
      </c>
      <c r="DV4" s="81" t="s">
        <v>33</v>
      </c>
      <c r="DW4" s="81" t="s">
        <v>33</v>
      </c>
      <c r="DX4" s="81" t="s">
        <v>33</v>
      </c>
      <c r="DY4" s="81" t="s">
        <v>33</v>
      </c>
      <c r="DZ4" s="81" t="s">
        <v>33</v>
      </c>
      <c r="EA4" s="81" t="s">
        <v>33</v>
      </c>
      <c r="EB4" s="81" t="s">
        <v>33</v>
      </c>
      <c r="EC4" s="81" t="s">
        <v>33</v>
      </c>
      <c r="ED4" s="81" t="s">
        <v>33</v>
      </c>
      <c r="EE4" s="81" t="s">
        <v>33</v>
      </c>
      <c r="EF4" s="81" t="s">
        <v>33</v>
      </c>
      <c r="EG4" s="81" t="s">
        <v>33</v>
      </c>
      <c r="EH4" s="81" t="s">
        <v>33</v>
      </c>
      <c r="EI4" s="81" t="s">
        <v>33</v>
      </c>
      <c r="EJ4" s="81" t="s">
        <v>33</v>
      </c>
      <c r="EK4" s="81" t="s">
        <v>33</v>
      </c>
      <c r="EL4" s="81" t="s">
        <v>33</v>
      </c>
      <c r="EM4" s="81" t="s">
        <v>33</v>
      </c>
      <c r="EN4" s="82" t="s">
        <v>33</v>
      </c>
      <c r="EO4" s="81" t="s">
        <v>1192</v>
      </c>
      <c r="EP4" s="81" t="s">
        <v>198</v>
      </c>
      <c r="EQ4" s="81" t="s">
        <v>1192</v>
      </c>
      <c r="ER4" s="81" t="s">
        <v>198</v>
      </c>
      <c r="ES4" s="81" t="s">
        <v>1192</v>
      </c>
      <c r="ET4" s="81" t="s">
        <v>198</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82" t="s">
        <v>33</v>
      </c>
      <c r="FP4" s="82" t="s">
        <v>33</v>
      </c>
      <c r="FQ4" s="82" t="s">
        <v>33</v>
      </c>
      <c r="FR4" s="82" t="s">
        <v>33</v>
      </c>
      <c r="FS4" s="82" t="s">
        <v>33</v>
      </c>
      <c r="FT4" s="82" t="s">
        <v>33</v>
      </c>
      <c r="FU4" s="82" t="s">
        <v>33</v>
      </c>
      <c r="FV4" s="82" t="s">
        <v>33</v>
      </c>
      <c r="FW4" s="82" t="s">
        <v>33</v>
      </c>
      <c r="FX4" s="82" t="s">
        <v>33</v>
      </c>
      <c r="FY4" s="82" t="s">
        <v>33</v>
      </c>
      <c r="FZ4" s="82" t="s">
        <v>33</v>
      </c>
      <c r="GA4" s="82" t="s">
        <v>33</v>
      </c>
      <c r="GB4" s="82" t="s">
        <v>33</v>
      </c>
      <c r="GC4" s="82" t="s">
        <v>33</v>
      </c>
      <c r="GD4" s="82" t="s">
        <v>33</v>
      </c>
      <c r="GE4" s="82" t="s">
        <v>33</v>
      </c>
      <c r="GF4" s="82" t="s">
        <v>33</v>
      </c>
      <c r="GG4" s="82" t="s">
        <v>33</v>
      </c>
      <c r="GH4" s="82" t="s">
        <v>33</v>
      </c>
      <c r="GI4" s="82" t="s">
        <v>33</v>
      </c>
      <c r="GJ4" s="82" t="s">
        <v>33</v>
      </c>
      <c r="GK4" s="82" t="s">
        <v>33</v>
      </c>
      <c r="GL4" s="82" t="s">
        <v>33</v>
      </c>
      <c r="GM4" s="82" t="s">
        <v>33</v>
      </c>
      <c r="GN4" s="82" t="s">
        <v>33</v>
      </c>
      <c r="GO4" s="82" t="s">
        <v>33</v>
      </c>
      <c r="GP4" s="82" t="s">
        <v>33</v>
      </c>
      <c r="GQ4" s="82" t="s">
        <v>33</v>
      </c>
      <c r="GR4" s="82" t="s">
        <v>33</v>
      </c>
      <c r="GS4" s="82" t="s">
        <v>33</v>
      </c>
      <c r="GT4" s="82" t="s">
        <v>33</v>
      </c>
      <c r="GU4" s="82" t="s">
        <v>33</v>
      </c>
      <c r="GV4" s="82" t="s">
        <v>33</v>
      </c>
      <c r="GW4" s="82" t="s">
        <v>33</v>
      </c>
      <c r="GX4" s="81" t="s">
        <v>33</v>
      </c>
      <c r="GY4" s="81" t="s">
        <v>33</v>
      </c>
      <c r="GZ4" s="81" t="s">
        <v>33</v>
      </c>
      <c r="HA4" s="81" t="s">
        <v>33</v>
      </c>
      <c r="HB4" s="81" t="s">
        <v>33</v>
      </c>
      <c r="HC4" s="81" t="s">
        <v>33</v>
      </c>
      <c r="HD4" s="81" t="s">
        <v>33</v>
      </c>
      <c r="HE4" s="81" t="s">
        <v>33</v>
      </c>
      <c r="HF4" s="81" t="s">
        <v>33</v>
      </c>
      <c r="HG4" s="81" t="s">
        <v>33</v>
      </c>
      <c r="HH4" s="81" t="s">
        <v>33</v>
      </c>
      <c r="HI4" s="81" t="s">
        <v>33</v>
      </c>
      <c r="HJ4" s="81" t="s">
        <v>33</v>
      </c>
      <c r="HK4" s="81" t="s">
        <v>33</v>
      </c>
      <c r="HL4" s="81" t="s">
        <v>33</v>
      </c>
      <c r="HM4" s="81" t="s">
        <v>33</v>
      </c>
      <c r="HN4" s="81" t="s">
        <v>33</v>
      </c>
      <c r="HO4" s="81" t="s">
        <v>33</v>
      </c>
      <c r="HP4" s="81" t="s">
        <v>33</v>
      </c>
      <c r="HQ4" s="81" t="s">
        <v>33</v>
      </c>
      <c r="HR4" s="81" t="s">
        <v>33</v>
      </c>
      <c r="HS4" s="81" t="s">
        <v>33</v>
      </c>
      <c r="HT4" s="81" t="s">
        <v>33</v>
      </c>
      <c r="HU4" s="81" t="s">
        <v>33</v>
      </c>
      <c r="HV4" s="81" t="s">
        <v>33</v>
      </c>
      <c r="HW4" s="81" t="s">
        <v>33</v>
      </c>
      <c r="HX4" s="81" t="s">
        <v>33</v>
      </c>
      <c r="HY4" s="81" t="s">
        <v>33</v>
      </c>
      <c r="HZ4" s="81" t="s">
        <v>33</v>
      </c>
      <c r="IA4" s="81" t="s">
        <v>33</v>
      </c>
      <c r="IB4" s="81" t="s">
        <v>33</v>
      </c>
      <c r="IC4" s="81" t="s">
        <v>33</v>
      </c>
      <c r="ID4" s="81" t="s">
        <v>33</v>
      </c>
      <c r="IE4" s="81" t="s">
        <v>33</v>
      </c>
      <c r="IF4" s="81" t="s">
        <v>33</v>
      </c>
      <c r="IG4" s="81" t="s">
        <v>33</v>
      </c>
      <c r="IH4" s="81" t="s">
        <v>33</v>
      </c>
      <c r="II4" s="81" t="s">
        <v>33</v>
      </c>
      <c r="IJ4" s="81" t="s">
        <v>33</v>
      </c>
      <c r="IK4" s="81" t="s">
        <v>33</v>
      </c>
      <c r="IL4" s="81" t="s">
        <v>33</v>
      </c>
      <c r="IM4" s="81" t="s">
        <v>33</v>
      </c>
      <c r="IN4" s="81" t="s">
        <v>33</v>
      </c>
      <c r="IO4" s="81" t="s">
        <v>33</v>
      </c>
      <c r="IP4" s="81" t="s">
        <v>33</v>
      </c>
      <c r="IQ4" s="81" t="s">
        <v>33</v>
      </c>
      <c r="IR4" s="81" t="s">
        <v>33</v>
      </c>
      <c r="IS4" s="81" t="s">
        <v>33</v>
      </c>
      <c r="IT4" s="81" t="s">
        <v>33</v>
      </c>
      <c r="IU4" s="81" t="s">
        <v>33</v>
      </c>
      <c r="IV4" s="81" t="s">
        <v>33</v>
      </c>
      <c r="IW4" s="81" t="s">
        <v>33</v>
      </c>
      <c r="IX4" s="81" t="s">
        <v>33</v>
      </c>
      <c r="IY4" s="81" t="s">
        <v>33</v>
      </c>
    </row>
    <row r="5" spans="1:260" ht="14.1" hidden="1" customHeight="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D5" s="81" t="s">
        <v>35</v>
      </c>
      <c r="AE5" s="81" t="s">
        <v>35</v>
      </c>
      <c r="AF5" s="81" t="s">
        <v>35</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38</v>
      </c>
      <c r="BE5" s="81" t="s">
        <v>38</v>
      </c>
      <c r="BF5" s="81" t="s">
        <v>782</v>
      </c>
      <c r="BG5" s="81" t="s">
        <v>36</v>
      </c>
      <c r="BI5" s="81" t="s">
        <v>502</v>
      </c>
      <c r="BJ5" s="81" t="s">
        <v>502</v>
      </c>
      <c r="BK5" s="81" t="s">
        <v>504</v>
      </c>
      <c r="BL5" s="81" t="s">
        <v>35</v>
      </c>
      <c r="BM5" s="81" t="s">
        <v>35</v>
      </c>
      <c r="BN5" s="81" t="s">
        <v>35</v>
      </c>
      <c r="BO5" s="81" t="s">
        <v>35</v>
      </c>
      <c r="BP5" s="81" t="s">
        <v>35</v>
      </c>
      <c r="BQ5" s="81" t="s">
        <v>35</v>
      </c>
      <c r="BR5" s="81" t="s">
        <v>35</v>
      </c>
      <c r="BS5" s="81" t="s">
        <v>35</v>
      </c>
      <c r="BT5" s="81" t="s">
        <v>35</v>
      </c>
      <c r="BU5" s="81" t="s">
        <v>35</v>
      </c>
      <c r="BV5" s="81" t="s">
        <v>35</v>
      </c>
      <c r="BW5" s="81" t="s">
        <v>35</v>
      </c>
      <c r="BX5" s="81" t="s">
        <v>35</v>
      </c>
      <c r="BY5" s="81" t="s">
        <v>35</v>
      </c>
      <c r="BZ5" s="81" t="s">
        <v>35</v>
      </c>
      <c r="CA5" s="81" t="s">
        <v>35</v>
      </c>
      <c r="CB5" s="81" t="s">
        <v>35</v>
      </c>
      <c r="CC5" s="81" t="s">
        <v>35</v>
      </c>
      <c r="CD5" s="81" t="s">
        <v>35</v>
      </c>
      <c r="CE5" s="81" t="s">
        <v>35</v>
      </c>
      <c r="CF5" s="81" t="s">
        <v>35</v>
      </c>
      <c r="CG5" s="81" t="s">
        <v>35</v>
      </c>
      <c r="CH5" s="81" t="s">
        <v>35</v>
      </c>
      <c r="CI5" s="81" t="s">
        <v>35</v>
      </c>
      <c r="CJ5" s="81" t="s">
        <v>35</v>
      </c>
      <c r="CK5" s="81" t="s">
        <v>35</v>
      </c>
      <c r="CL5" s="149" t="s">
        <v>35</v>
      </c>
      <c r="CM5" s="81" t="s">
        <v>35</v>
      </c>
      <c r="CN5" s="81" t="s">
        <v>35</v>
      </c>
      <c r="CO5" s="81" t="s">
        <v>35</v>
      </c>
      <c r="CP5" s="81" t="s">
        <v>35</v>
      </c>
      <c r="CQ5" s="81" t="s">
        <v>35</v>
      </c>
      <c r="CR5" s="81" t="s">
        <v>35</v>
      </c>
      <c r="CS5" s="81" t="s">
        <v>35</v>
      </c>
      <c r="CT5" s="81" t="s">
        <v>35</v>
      </c>
      <c r="CU5" s="81" t="s">
        <v>35</v>
      </c>
      <c r="CV5" s="81" t="s">
        <v>35</v>
      </c>
      <c r="CW5" s="81" t="s">
        <v>35</v>
      </c>
      <c r="CX5" s="81" t="s">
        <v>35</v>
      </c>
      <c r="CY5" s="81" t="s">
        <v>35</v>
      </c>
      <c r="CZ5" s="81" t="s">
        <v>35</v>
      </c>
      <c r="DA5" s="81" t="s">
        <v>35</v>
      </c>
      <c r="DB5" s="81" t="s">
        <v>35</v>
      </c>
      <c r="DC5" s="81" t="s">
        <v>35</v>
      </c>
      <c r="DD5" s="81" t="s">
        <v>35</v>
      </c>
      <c r="DE5" s="81" t="s">
        <v>35</v>
      </c>
      <c r="DF5" s="81" t="s">
        <v>35</v>
      </c>
      <c r="DG5" s="81" t="s">
        <v>35</v>
      </c>
      <c r="DH5" s="81" t="s">
        <v>35</v>
      </c>
      <c r="DI5" s="81" t="s">
        <v>35</v>
      </c>
      <c r="DJ5" s="81" t="s">
        <v>35</v>
      </c>
      <c r="DK5" s="81" t="s">
        <v>35</v>
      </c>
      <c r="DN5" s="81" t="s">
        <v>35</v>
      </c>
      <c r="DO5" s="81" t="s">
        <v>35</v>
      </c>
      <c r="DP5" s="81" t="s">
        <v>35</v>
      </c>
      <c r="DQ5" s="81" t="s">
        <v>35</v>
      </c>
      <c r="DR5" s="81" t="s">
        <v>35</v>
      </c>
      <c r="DS5" s="81" t="s">
        <v>35</v>
      </c>
      <c r="DT5" s="81" t="s">
        <v>35</v>
      </c>
      <c r="DU5" s="81" t="s">
        <v>35</v>
      </c>
      <c r="DV5" s="81" t="s">
        <v>35</v>
      </c>
      <c r="DW5" s="81" t="s">
        <v>35</v>
      </c>
      <c r="DX5" s="81" t="s">
        <v>35</v>
      </c>
      <c r="DY5" s="81" t="s">
        <v>35</v>
      </c>
      <c r="DZ5" s="81" t="s">
        <v>35</v>
      </c>
      <c r="EA5" s="81" t="s">
        <v>35</v>
      </c>
      <c r="EB5" s="81" t="s">
        <v>35</v>
      </c>
      <c r="EC5" s="81" t="s">
        <v>35</v>
      </c>
      <c r="ED5" s="81" t="s">
        <v>35</v>
      </c>
      <c r="EE5" s="81" t="s">
        <v>35</v>
      </c>
      <c r="EF5" s="81" t="s">
        <v>35</v>
      </c>
      <c r="EG5" s="81" t="s">
        <v>35</v>
      </c>
      <c r="EH5" s="81" t="s">
        <v>35</v>
      </c>
      <c r="EI5" s="81" t="s">
        <v>35</v>
      </c>
      <c r="EJ5" s="81" t="s">
        <v>35</v>
      </c>
      <c r="EK5" s="81" t="s">
        <v>35</v>
      </c>
      <c r="EL5" s="81" t="s">
        <v>35</v>
      </c>
      <c r="EM5" s="81" t="s">
        <v>35</v>
      </c>
      <c r="EN5" s="96"/>
      <c r="EP5" s="81" t="s">
        <v>36</v>
      </c>
      <c r="ER5" s="81" t="s">
        <v>36</v>
      </c>
      <c r="ET5" s="81" t="s">
        <v>36</v>
      </c>
      <c r="EU5" s="96"/>
      <c r="EV5" s="81" t="s">
        <v>504</v>
      </c>
      <c r="EW5" s="81" t="s">
        <v>35</v>
      </c>
      <c r="EX5" s="81" t="s">
        <v>35</v>
      </c>
      <c r="EY5" s="81" t="s">
        <v>35</v>
      </c>
      <c r="EZ5" s="81" t="s">
        <v>35</v>
      </c>
      <c r="FA5" s="81" t="s">
        <v>35</v>
      </c>
      <c r="FB5" s="81" t="s">
        <v>35</v>
      </c>
      <c r="FC5" s="81" t="s">
        <v>35</v>
      </c>
      <c r="FD5" s="81" t="s">
        <v>35</v>
      </c>
      <c r="FE5" s="81" t="s">
        <v>35</v>
      </c>
      <c r="FF5" s="81" t="s">
        <v>35</v>
      </c>
      <c r="FG5" s="81" t="s">
        <v>35</v>
      </c>
      <c r="FH5" s="81" t="s">
        <v>35</v>
      </c>
      <c r="FI5" s="81" t="s">
        <v>35</v>
      </c>
      <c r="FJ5" s="81" t="s">
        <v>35</v>
      </c>
      <c r="FK5" s="81" t="s">
        <v>35</v>
      </c>
      <c r="FL5" s="81" t="s">
        <v>35</v>
      </c>
      <c r="FM5" s="81" t="s">
        <v>35</v>
      </c>
      <c r="FN5" s="81" t="s">
        <v>35</v>
      </c>
      <c r="FO5" s="81" t="s">
        <v>35</v>
      </c>
      <c r="FP5" s="81" t="s">
        <v>35</v>
      </c>
      <c r="FQ5" s="81" t="s">
        <v>35</v>
      </c>
      <c r="FR5" s="81" t="s">
        <v>35</v>
      </c>
      <c r="FS5" s="81" t="s">
        <v>35</v>
      </c>
      <c r="FT5" s="81" t="s">
        <v>35</v>
      </c>
      <c r="FU5" s="81" t="s">
        <v>35</v>
      </c>
      <c r="FV5" s="81" t="s">
        <v>35</v>
      </c>
      <c r="FW5" s="81" t="s">
        <v>504</v>
      </c>
      <c r="FX5" s="81" t="s">
        <v>35</v>
      </c>
      <c r="FY5" s="81" t="s">
        <v>35</v>
      </c>
      <c r="FZ5" s="81" t="s">
        <v>35</v>
      </c>
      <c r="GA5" s="81" t="s">
        <v>35</v>
      </c>
      <c r="GB5" s="81" t="s">
        <v>35</v>
      </c>
      <c r="GC5" s="81" t="s">
        <v>35</v>
      </c>
      <c r="GD5" s="81" t="s">
        <v>35</v>
      </c>
      <c r="GE5" s="81" t="s">
        <v>35</v>
      </c>
      <c r="GF5" s="81" t="s">
        <v>35</v>
      </c>
      <c r="GG5" s="81" t="s">
        <v>35</v>
      </c>
      <c r="GH5" s="81" t="s">
        <v>35</v>
      </c>
      <c r="GI5" s="81" t="s">
        <v>35</v>
      </c>
      <c r="GJ5" s="81" t="s">
        <v>35</v>
      </c>
      <c r="GK5" s="81" t="s">
        <v>35</v>
      </c>
      <c r="GL5" s="81" t="s">
        <v>35</v>
      </c>
      <c r="GM5" s="81" t="s">
        <v>35</v>
      </c>
      <c r="GN5" s="81" t="s">
        <v>35</v>
      </c>
      <c r="GO5" s="81" t="s">
        <v>35</v>
      </c>
      <c r="GP5" s="81" t="s">
        <v>35</v>
      </c>
      <c r="GQ5" s="81" t="s">
        <v>35</v>
      </c>
      <c r="GR5" s="81" t="s">
        <v>35</v>
      </c>
      <c r="GS5" s="81" t="s">
        <v>35</v>
      </c>
      <c r="GT5" s="81" t="s">
        <v>35</v>
      </c>
      <c r="GU5" s="81" t="s">
        <v>35</v>
      </c>
      <c r="GV5" s="81" t="s">
        <v>35</v>
      </c>
      <c r="GW5" s="81" t="s">
        <v>35</v>
      </c>
      <c r="GX5" s="81" t="s">
        <v>35</v>
      </c>
      <c r="GY5" s="81" t="s">
        <v>35</v>
      </c>
      <c r="GZ5" s="81" t="s">
        <v>35</v>
      </c>
      <c r="HA5" s="81" t="s">
        <v>35</v>
      </c>
      <c r="HB5" s="81" t="s">
        <v>35</v>
      </c>
      <c r="HC5" s="81" t="s">
        <v>35</v>
      </c>
      <c r="HD5" s="81" t="s">
        <v>35</v>
      </c>
      <c r="HE5" s="81" t="s">
        <v>35</v>
      </c>
      <c r="HF5" s="81" t="s">
        <v>35</v>
      </c>
      <c r="HG5" s="81" t="s">
        <v>35</v>
      </c>
      <c r="HH5" s="81" t="s">
        <v>35</v>
      </c>
      <c r="HI5" s="81" t="s">
        <v>35</v>
      </c>
      <c r="HJ5" s="81" t="s">
        <v>35</v>
      </c>
      <c r="HK5" s="81" t="s">
        <v>35</v>
      </c>
      <c r="HL5" s="81" t="s">
        <v>35</v>
      </c>
      <c r="HM5" s="81" t="s">
        <v>35</v>
      </c>
      <c r="HN5" s="81" t="s">
        <v>35</v>
      </c>
      <c r="HO5" s="81" t="s">
        <v>35</v>
      </c>
      <c r="HP5" s="81" t="s">
        <v>35</v>
      </c>
      <c r="HQ5" s="81" t="s">
        <v>35</v>
      </c>
      <c r="HR5" s="81" t="s">
        <v>35</v>
      </c>
      <c r="HS5" s="81" t="s">
        <v>35</v>
      </c>
      <c r="HT5" s="81" t="s">
        <v>35</v>
      </c>
      <c r="HU5" s="81" t="s">
        <v>35</v>
      </c>
      <c r="HV5" s="81" t="s">
        <v>35</v>
      </c>
      <c r="HW5" s="81" t="s">
        <v>35</v>
      </c>
      <c r="HZ5" s="81" t="s">
        <v>35</v>
      </c>
      <c r="IA5" s="81" t="s">
        <v>35</v>
      </c>
      <c r="IB5" s="81" t="s">
        <v>35</v>
      </c>
      <c r="IC5" s="81" t="s">
        <v>35</v>
      </c>
      <c r="ID5" s="81" t="s">
        <v>35</v>
      </c>
      <c r="IE5" s="81" t="s">
        <v>35</v>
      </c>
      <c r="IF5" s="81" t="s">
        <v>35</v>
      </c>
      <c r="IG5" s="81" t="s">
        <v>35</v>
      </c>
      <c r="IH5" s="81" t="s">
        <v>35</v>
      </c>
      <c r="II5" s="81" t="s">
        <v>35</v>
      </c>
      <c r="IJ5" s="81" t="s">
        <v>35</v>
      </c>
      <c r="IK5" s="81" t="s">
        <v>35</v>
      </c>
      <c r="IL5" s="81" t="s">
        <v>35</v>
      </c>
      <c r="IM5" s="81" t="s">
        <v>35</v>
      </c>
      <c r="IN5" s="81" t="s">
        <v>35</v>
      </c>
      <c r="IO5" s="81" t="s">
        <v>35</v>
      </c>
      <c r="IP5" s="81" t="s">
        <v>35</v>
      </c>
      <c r="IQ5" s="81" t="s">
        <v>35</v>
      </c>
      <c r="IR5" s="81" t="s">
        <v>35</v>
      </c>
      <c r="IS5" s="81" t="s">
        <v>35</v>
      </c>
      <c r="IT5" s="81" t="s">
        <v>35</v>
      </c>
      <c r="IU5" s="81" t="s">
        <v>35</v>
      </c>
      <c r="IV5" s="81" t="s">
        <v>35</v>
      </c>
      <c r="IW5" s="81" t="s">
        <v>35</v>
      </c>
      <c r="IX5" s="81" t="s">
        <v>35</v>
      </c>
      <c r="IY5" s="81" t="s">
        <v>35</v>
      </c>
    </row>
    <row r="6" spans="1:260" ht="14.1" hidden="1" customHeight="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v>1</v>
      </c>
      <c r="BL6" s="96">
        <v>1</v>
      </c>
      <c r="BM6" s="96">
        <v>1</v>
      </c>
      <c r="BN6" s="96">
        <v>1</v>
      </c>
      <c r="BO6" s="96">
        <v>1</v>
      </c>
      <c r="BP6" s="96">
        <v>1</v>
      </c>
      <c r="BQ6" s="96">
        <v>1</v>
      </c>
      <c r="BR6" s="96">
        <v>1</v>
      </c>
      <c r="BS6" s="96">
        <v>1</v>
      </c>
      <c r="BT6" s="96">
        <v>1</v>
      </c>
      <c r="BU6" s="96">
        <v>1</v>
      </c>
      <c r="BV6" s="96">
        <v>1</v>
      </c>
      <c r="BW6" s="96">
        <v>1</v>
      </c>
      <c r="BX6" s="96">
        <v>1</v>
      </c>
      <c r="BY6" s="96">
        <v>1</v>
      </c>
      <c r="BZ6" s="96">
        <v>1</v>
      </c>
      <c r="CA6" s="96">
        <v>1</v>
      </c>
      <c r="CB6" s="96">
        <v>1</v>
      </c>
      <c r="CC6" s="96">
        <v>1</v>
      </c>
      <c r="CD6" s="96">
        <v>1</v>
      </c>
      <c r="CE6" s="96">
        <v>1</v>
      </c>
      <c r="CF6" s="96">
        <v>1</v>
      </c>
      <c r="CG6" s="96">
        <v>1</v>
      </c>
      <c r="CH6" s="96">
        <v>1</v>
      </c>
      <c r="CI6" s="96">
        <v>1</v>
      </c>
      <c r="CJ6" s="96">
        <v>1</v>
      </c>
      <c r="CK6" s="96">
        <v>1</v>
      </c>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96"/>
      <c r="EE6" s="96"/>
      <c r="EF6" s="96"/>
      <c r="EG6" s="96"/>
      <c r="EH6" s="96"/>
      <c r="EI6" s="96"/>
      <c r="EJ6" s="96"/>
      <c r="EK6" s="96"/>
      <c r="EL6" s="96"/>
      <c r="EM6" s="96"/>
      <c r="EN6" s="136"/>
      <c r="EU6" s="136"/>
      <c r="EV6" s="96">
        <v>1</v>
      </c>
      <c r="EW6" s="96">
        <v>1</v>
      </c>
      <c r="EX6" s="96">
        <v>1</v>
      </c>
      <c r="EY6" s="96">
        <v>1</v>
      </c>
      <c r="EZ6" s="96">
        <v>1</v>
      </c>
      <c r="FA6" s="96">
        <v>1</v>
      </c>
      <c r="FB6" s="96">
        <v>1</v>
      </c>
      <c r="FC6" s="96">
        <v>1</v>
      </c>
      <c r="FD6" s="96">
        <v>1</v>
      </c>
      <c r="FE6" s="96">
        <v>1</v>
      </c>
      <c r="FF6" s="96">
        <v>1</v>
      </c>
      <c r="FG6" s="96">
        <v>1</v>
      </c>
      <c r="FH6" s="96">
        <v>1</v>
      </c>
      <c r="FI6" s="96">
        <v>1</v>
      </c>
      <c r="FJ6" s="96">
        <v>1</v>
      </c>
      <c r="FK6" s="96">
        <v>1</v>
      </c>
      <c r="FL6" s="96">
        <v>1</v>
      </c>
      <c r="FM6" s="96">
        <v>1</v>
      </c>
      <c r="FN6" s="96">
        <v>1</v>
      </c>
      <c r="FO6" s="96">
        <v>1</v>
      </c>
      <c r="FP6" s="96">
        <v>1</v>
      </c>
      <c r="FQ6" s="96">
        <v>1</v>
      </c>
      <c r="FR6" s="96">
        <v>1</v>
      </c>
      <c r="FS6" s="96">
        <v>1</v>
      </c>
      <c r="FT6" s="96">
        <v>1</v>
      </c>
      <c r="FU6" s="96">
        <v>1</v>
      </c>
      <c r="FV6" s="96">
        <v>1</v>
      </c>
      <c r="FW6" s="96">
        <v>2</v>
      </c>
      <c r="FX6" s="96">
        <v>2</v>
      </c>
      <c r="FY6" s="96">
        <v>2</v>
      </c>
      <c r="FZ6" s="96">
        <v>2</v>
      </c>
      <c r="GA6" s="96">
        <v>2</v>
      </c>
      <c r="GB6" s="96">
        <v>2</v>
      </c>
      <c r="GC6" s="96">
        <v>2</v>
      </c>
      <c r="GD6" s="96">
        <v>2</v>
      </c>
      <c r="GE6" s="96">
        <v>2</v>
      </c>
      <c r="GF6" s="96">
        <v>2</v>
      </c>
      <c r="GG6" s="96">
        <v>2</v>
      </c>
      <c r="GH6" s="96">
        <v>2</v>
      </c>
      <c r="GI6" s="96">
        <v>2</v>
      </c>
      <c r="GJ6" s="96">
        <v>2</v>
      </c>
      <c r="GK6" s="96">
        <v>2</v>
      </c>
      <c r="GL6" s="96">
        <v>2</v>
      </c>
      <c r="GM6" s="96">
        <v>2</v>
      </c>
      <c r="GN6" s="96">
        <v>2</v>
      </c>
      <c r="GO6" s="96">
        <v>2</v>
      </c>
      <c r="GP6" s="96">
        <v>2</v>
      </c>
      <c r="GQ6" s="96">
        <v>2</v>
      </c>
      <c r="GR6" s="96">
        <v>2</v>
      </c>
      <c r="GS6" s="96">
        <v>2</v>
      </c>
      <c r="GT6" s="96">
        <v>2</v>
      </c>
      <c r="GU6" s="96">
        <v>2</v>
      </c>
      <c r="GV6" s="96">
        <v>2</v>
      </c>
      <c r="GW6" s="96">
        <v>2</v>
      </c>
      <c r="GX6" s="96"/>
      <c r="GY6" s="96"/>
      <c r="GZ6" s="96"/>
      <c r="HA6" s="96"/>
      <c r="HB6" s="96"/>
      <c r="HC6" s="96"/>
      <c r="HD6" s="96"/>
      <c r="HE6" s="96"/>
      <c r="HF6" s="96"/>
      <c r="HG6" s="96"/>
      <c r="HH6" s="96"/>
      <c r="HI6" s="96"/>
      <c r="HJ6" s="96"/>
      <c r="HK6" s="96"/>
      <c r="HL6" s="96"/>
      <c r="HM6" s="96"/>
      <c r="HN6" s="96"/>
      <c r="HO6" s="96"/>
      <c r="HP6" s="96"/>
      <c r="HQ6" s="96"/>
      <c r="HR6" s="96"/>
      <c r="HS6" s="96"/>
      <c r="HT6" s="96"/>
      <c r="HU6" s="96"/>
      <c r="HV6" s="96"/>
      <c r="HW6" s="96"/>
      <c r="HX6" s="96"/>
      <c r="HY6" s="96"/>
      <c r="HZ6" s="96"/>
      <c r="IA6" s="96"/>
      <c r="IB6" s="96"/>
      <c r="IC6" s="96"/>
      <c r="ID6" s="96"/>
      <c r="IE6" s="96"/>
      <c r="IF6" s="96"/>
      <c r="IG6" s="96"/>
      <c r="IH6" s="96"/>
      <c r="II6" s="96"/>
      <c r="IJ6" s="96"/>
      <c r="IK6" s="96"/>
      <c r="IL6" s="96"/>
      <c r="IM6" s="96"/>
      <c r="IN6" s="96"/>
      <c r="IO6" s="96"/>
      <c r="IP6" s="96"/>
      <c r="IQ6" s="96"/>
      <c r="IR6" s="96"/>
      <c r="IS6" s="96"/>
      <c r="IT6" s="96"/>
      <c r="IU6" s="96"/>
      <c r="IV6" s="96"/>
      <c r="IW6" s="96"/>
      <c r="IX6" s="96"/>
      <c r="IY6" s="96"/>
    </row>
    <row r="7" spans="1:260" ht="14.1" hidden="1" customHeight="1">
      <c r="A7" s="108" t="s">
        <v>42</v>
      </c>
      <c r="B7" s="111" t="s">
        <v>11</v>
      </c>
      <c r="C7" s="108" t="s">
        <v>43</v>
      </c>
      <c r="D7" s="108" t="s">
        <v>44</v>
      </c>
      <c r="E7" s="108" t="s">
        <v>45</v>
      </c>
      <c r="F7" s="108" t="s">
        <v>46</v>
      </c>
      <c r="G7" s="108" t="s">
        <v>47</v>
      </c>
      <c r="H7" s="108" t="s">
        <v>48</v>
      </c>
      <c r="I7" s="108" t="s">
        <v>49</v>
      </c>
      <c r="J7" s="108" t="s">
        <v>50</v>
      </c>
      <c r="K7" s="108" t="s">
        <v>51</v>
      </c>
      <c r="L7" s="108" t="s">
        <v>52</v>
      </c>
      <c r="M7" s="108" t="s">
        <v>53</v>
      </c>
      <c r="N7" s="108" t="s">
        <v>54</v>
      </c>
      <c r="O7" s="108" t="s">
        <v>55</v>
      </c>
      <c r="P7" s="108" t="s">
        <v>56</v>
      </c>
      <c r="Q7" s="108" t="s">
        <v>57</v>
      </c>
      <c r="R7" s="108" t="s">
        <v>58</v>
      </c>
      <c r="S7" s="108" t="s">
        <v>59</v>
      </c>
      <c r="T7" s="108" t="s">
        <v>60</v>
      </c>
      <c r="U7" s="108" t="s">
        <v>61</v>
      </c>
      <c r="V7" s="108" t="s">
        <v>62</v>
      </c>
      <c r="W7" s="108" t="s">
        <v>63</v>
      </c>
      <c r="X7" s="108" t="s">
        <v>64</v>
      </c>
      <c r="Y7" s="108" t="s">
        <v>65</v>
      </c>
      <c r="Z7" s="108" t="s">
        <v>66</v>
      </c>
      <c r="AA7" s="108" t="s">
        <v>67</v>
      </c>
      <c r="AB7" s="111"/>
      <c r="AC7" s="111"/>
      <c r="AD7" s="111" t="s">
        <v>11</v>
      </c>
      <c r="AE7" s="108" t="s">
        <v>43</v>
      </c>
      <c r="AF7" s="108" t="s">
        <v>44</v>
      </c>
      <c r="AG7" s="108" t="s">
        <v>45</v>
      </c>
      <c r="AH7" s="108" t="s">
        <v>46</v>
      </c>
      <c r="AI7" s="108" t="s">
        <v>47</v>
      </c>
      <c r="AJ7" s="108" t="s">
        <v>48</v>
      </c>
      <c r="AK7" s="108" t="s">
        <v>49</v>
      </c>
      <c r="AL7" s="108" t="s">
        <v>50</v>
      </c>
      <c r="AM7" s="108" t="s">
        <v>51</v>
      </c>
      <c r="AN7" s="108" t="s">
        <v>52</v>
      </c>
      <c r="AO7" s="108" t="s">
        <v>53</v>
      </c>
      <c r="AP7" s="108" t="s">
        <v>54</v>
      </c>
      <c r="AQ7" s="108" t="s">
        <v>55</v>
      </c>
      <c r="AR7" s="108" t="s">
        <v>56</v>
      </c>
      <c r="AS7" s="108" t="s">
        <v>57</v>
      </c>
      <c r="AT7" s="108" t="s">
        <v>58</v>
      </c>
      <c r="AU7" s="108" t="s">
        <v>59</v>
      </c>
      <c r="AV7" s="108" t="s">
        <v>60</v>
      </c>
      <c r="AW7" s="108" t="s">
        <v>61</v>
      </c>
      <c r="AX7" s="108" t="s">
        <v>62</v>
      </c>
      <c r="AY7" s="108" t="s">
        <v>63</v>
      </c>
      <c r="AZ7" s="108" t="s">
        <v>64</v>
      </c>
      <c r="BA7" s="108" t="s">
        <v>65</v>
      </c>
      <c r="BB7" s="108" t="s">
        <v>66</v>
      </c>
      <c r="BC7" s="108" t="s">
        <v>67</v>
      </c>
      <c r="BD7" s="111"/>
      <c r="BE7" s="111"/>
      <c r="BF7" s="111"/>
      <c r="BG7" s="111"/>
      <c r="BH7" s="111"/>
      <c r="BI7" s="111"/>
      <c r="BJ7" s="111"/>
      <c r="BL7" s="81" t="s">
        <v>11</v>
      </c>
      <c r="BM7" s="82" t="s">
        <v>43</v>
      </c>
      <c r="BN7" s="82" t="s">
        <v>44</v>
      </c>
      <c r="BO7" s="82" t="s">
        <v>45</v>
      </c>
      <c r="BP7" s="82" t="s">
        <v>46</v>
      </c>
      <c r="BQ7" s="82" t="s">
        <v>47</v>
      </c>
      <c r="BR7" s="82" t="s">
        <v>48</v>
      </c>
      <c r="BS7" s="82" t="s">
        <v>49</v>
      </c>
      <c r="BT7" s="82" t="s">
        <v>50</v>
      </c>
      <c r="BU7" s="82" t="s">
        <v>51</v>
      </c>
      <c r="BV7" s="82" t="s">
        <v>52</v>
      </c>
      <c r="BW7" s="82" t="s">
        <v>53</v>
      </c>
      <c r="BX7" s="82" t="s">
        <v>54</v>
      </c>
      <c r="BY7" s="82" t="s">
        <v>55</v>
      </c>
      <c r="BZ7" s="82" t="s">
        <v>56</v>
      </c>
      <c r="CA7" s="82" t="s">
        <v>57</v>
      </c>
      <c r="CB7" s="82" t="s">
        <v>58</v>
      </c>
      <c r="CC7" s="82" t="s">
        <v>59</v>
      </c>
      <c r="CD7" s="82" t="s">
        <v>60</v>
      </c>
      <c r="CE7" s="82" t="s">
        <v>61</v>
      </c>
      <c r="CF7" s="82" t="s">
        <v>62</v>
      </c>
      <c r="CG7" s="82" t="s">
        <v>63</v>
      </c>
      <c r="CH7" s="82" t="s">
        <v>64</v>
      </c>
      <c r="CI7" s="82" t="s">
        <v>65</v>
      </c>
      <c r="CJ7" s="82" t="s">
        <v>66</v>
      </c>
      <c r="CK7" s="82" t="s">
        <v>67</v>
      </c>
      <c r="CL7" s="149" t="s">
        <v>11</v>
      </c>
      <c r="CM7" s="108" t="s">
        <v>43</v>
      </c>
      <c r="CN7" s="108" t="s">
        <v>44</v>
      </c>
      <c r="CO7" s="108" t="s">
        <v>45</v>
      </c>
      <c r="CP7" s="108" t="s">
        <v>46</v>
      </c>
      <c r="CQ7" s="108" t="s">
        <v>47</v>
      </c>
      <c r="CR7" s="108" t="s">
        <v>48</v>
      </c>
      <c r="CS7" s="108" t="s">
        <v>49</v>
      </c>
      <c r="CT7" s="108" t="s">
        <v>50</v>
      </c>
      <c r="CU7" s="108" t="s">
        <v>51</v>
      </c>
      <c r="CV7" s="108" t="s">
        <v>52</v>
      </c>
      <c r="CW7" s="108" t="s">
        <v>53</v>
      </c>
      <c r="CX7" s="108" t="s">
        <v>54</v>
      </c>
      <c r="CY7" s="108" t="s">
        <v>55</v>
      </c>
      <c r="CZ7" s="108" t="s">
        <v>56</v>
      </c>
      <c r="DA7" s="108" t="s">
        <v>57</v>
      </c>
      <c r="DB7" s="108" t="s">
        <v>58</v>
      </c>
      <c r="DC7" s="108" t="s">
        <v>59</v>
      </c>
      <c r="DD7" s="108" t="s">
        <v>60</v>
      </c>
      <c r="DE7" s="108" t="s">
        <v>61</v>
      </c>
      <c r="DF7" s="108" t="s">
        <v>62</v>
      </c>
      <c r="DG7" s="108" t="s">
        <v>63</v>
      </c>
      <c r="DH7" s="108" t="s">
        <v>64</v>
      </c>
      <c r="DI7" s="108" t="s">
        <v>65</v>
      </c>
      <c r="DJ7" s="108" t="s">
        <v>66</v>
      </c>
      <c r="DK7" s="108" t="s">
        <v>67</v>
      </c>
      <c r="DL7" s="111"/>
      <c r="DM7" s="111"/>
      <c r="DN7" s="111" t="s">
        <v>11</v>
      </c>
      <c r="DO7" s="108" t="s">
        <v>43</v>
      </c>
      <c r="DP7" s="108" t="s">
        <v>44</v>
      </c>
      <c r="DQ7" s="108" t="s">
        <v>45</v>
      </c>
      <c r="DR7" s="108" t="s">
        <v>46</v>
      </c>
      <c r="DS7" s="108" t="s">
        <v>47</v>
      </c>
      <c r="DT7" s="108" t="s">
        <v>48</v>
      </c>
      <c r="DU7" s="108" t="s">
        <v>49</v>
      </c>
      <c r="DV7" s="108" t="s">
        <v>50</v>
      </c>
      <c r="DW7" s="108" t="s">
        <v>51</v>
      </c>
      <c r="DX7" s="108" t="s">
        <v>52</v>
      </c>
      <c r="DY7" s="108" t="s">
        <v>53</v>
      </c>
      <c r="DZ7" s="108" t="s">
        <v>54</v>
      </c>
      <c r="EA7" s="108" t="s">
        <v>55</v>
      </c>
      <c r="EB7" s="108" t="s">
        <v>56</v>
      </c>
      <c r="EC7" s="108" t="s">
        <v>57</v>
      </c>
      <c r="ED7" s="108" t="s">
        <v>58</v>
      </c>
      <c r="EE7" s="108" t="s">
        <v>59</v>
      </c>
      <c r="EF7" s="108" t="s">
        <v>60</v>
      </c>
      <c r="EG7" s="108" t="s">
        <v>61</v>
      </c>
      <c r="EH7" s="108" t="s">
        <v>62</v>
      </c>
      <c r="EI7" s="108" t="s">
        <v>63</v>
      </c>
      <c r="EJ7" s="108" t="s">
        <v>64</v>
      </c>
      <c r="EK7" s="108" t="s">
        <v>65</v>
      </c>
      <c r="EL7" s="108" t="s">
        <v>66</v>
      </c>
      <c r="EM7" s="108" t="s">
        <v>67</v>
      </c>
      <c r="EN7" s="144"/>
      <c r="EO7" s="111"/>
      <c r="EP7" s="111"/>
      <c r="EQ7" s="111"/>
      <c r="ER7" s="111"/>
      <c r="ES7" s="111"/>
      <c r="ET7" s="111"/>
      <c r="EU7" s="111"/>
      <c r="EW7" s="81" t="s">
        <v>11</v>
      </c>
      <c r="EX7" s="82" t="s">
        <v>43</v>
      </c>
      <c r="EY7" s="82" t="s">
        <v>44</v>
      </c>
      <c r="EZ7" s="82" t="s">
        <v>45</v>
      </c>
      <c r="FA7" s="82" t="s">
        <v>46</v>
      </c>
      <c r="FB7" s="82" t="s">
        <v>47</v>
      </c>
      <c r="FC7" s="82" t="s">
        <v>48</v>
      </c>
      <c r="FD7" s="82" t="s">
        <v>49</v>
      </c>
      <c r="FE7" s="82" t="s">
        <v>50</v>
      </c>
      <c r="FF7" s="82" t="s">
        <v>51</v>
      </c>
      <c r="FG7" s="82" t="s">
        <v>52</v>
      </c>
      <c r="FH7" s="82" t="s">
        <v>53</v>
      </c>
      <c r="FI7" s="82" t="s">
        <v>54</v>
      </c>
      <c r="FJ7" s="82" t="s">
        <v>55</v>
      </c>
      <c r="FK7" s="82" t="s">
        <v>56</v>
      </c>
      <c r="FL7" s="82" t="s">
        <v>57</v>
      </c>
      <c r="FM7" s="82" t="s">
        <v>58</v>
      </c>
      <c r="FN7" s="82" t="s">
        <v>59</v>
      </c>
      <c r="FO7" s="82" t="s">
        <v>60</v>
      </c>
      <c r="FP7" s="82" t="s">
        <v>61</v>
      </c>
      <c r="FQ7" s="82" t="s">
        <v>62</v>
      </c>
      <c r="FR7" s="82" t="s">
        <v>63</v>
      </c>
      <c r="FS7" s="82" t="s">
        <v>64</v>
      </c>
      <c r="FT7" s="82" t="s">
        <v>65</v>
      </c>
      <c r="FU7" s="82" t="s">
        <v>66</v>
      </c>
      <c r="FV7" s="82" t="s">
        <v>67</v>
      </c>
      <c r="FX7" s="81" t="s">
        <v>11</v>
      </c>
      <c r="FY7" s="82" t="s">
        <v>43</v>
      </c>
      <c r="FZ7" s="82" t="s">
        <v>44</v>
      </c>
      <c r="GA7" s="82" t="s">
        <v>45</v>
      </c>
      <c r="GB7" s="82" t="s">
        <v>46</v>
      </c>
      <c r="GC7" s="82" t="s">
        <v>47</v>
      </c>
      <c r="GD7" s="82" t="s">
        <v>48</v>
      </c>
      <c r="GE7" s="82" t="s">
        <v>49</v>
      </c>
      <c r="GF7" s="82" t="s">
        <v>50</v>
      </c>
      <c r="GG7" s="82" t="s">
        <v>51</v>
      </c>
      <c r="GH7" s="82" t="s">
        <v>52</v>
      </c>
      <c r="GI7" s="82" t="s">
        <v>53</v>
      </c>
      <c r="GJ7" s="82" t="s">
        <v>54</v>
      </c>
      <c r="GK7" s="82" t="s">
        <v>55</v>
      </c>
      <c r="GL7" s="82" t="s">
        <v>56</v>
      </c>
      <c r="GM7" s="82" t="s">
        <v>57</v>
      </c>
      <c r="GN7" s="82" t="s">
        <v>58</v>
      </c>
      <c r="GO7" s="82" t="s">
        <v>59</v>
      </c>
      <c r="GP7" s="82" t="s">
        <v>60</v>
      </c>
      <c r="GQ7" s="82" t="s">
        <v>61</v>
      </c>
      <c r="GR7" s="82" t="s">
        <v>62</v>
      </c>
      <c r="GS7" s="82" t="s">
        <v>63</v>
      </c>
      <c r="GT7" s="82" t="s">
        <v>64</v>
      </c>
      <c r="GU7" s="82" t="s">
        <v>65</v>
      </c>
      <c r="GV7" s="82" t="s">
        <v>66</v>
      </c>
      <c r="GW7" s="82" t="s">
        <v>67</v>
      </c>
      <c r="GX7" s="111" t="s">
        <v>11</v>
      </c>
      <c r="GY7" s="108" t="s">
        <v>43</v>
      </c>
      <c r="GZ7" s="108" t="s">
        <v>44</v>
      </c>
      <c r="HA7" s="108" t="s">
        <v>45</v>
      </c>
      <c r="HB7" s="108" t="s">
        <v>46</v>
      </c>
      <c r="HC7" s="108" t="s">
        <v>47</v>
      </c>
      <c r="HD7" s="108" t="s">
        <v>48</v>
      </c>
      <c r="HE7" s="108" t="s">
        <v>49</v>
      </c>
      <c r="HF7" s="108" t="s">
        <v>50</v>
      </c>
      <c r="HG7" s="108" t="s">
        <v>51</v>
      </c>
      <c r="HH7" s="108" t="s">
        <v>52</v>
      </c>
      <c r="HI7" s="108" t="s">
        <v>53</v>
      </c>
      <c r="HJ7" s="108" t="s">
        <v>54</v>
      </c>
      <c r="HK7" s="108" t="s">
        <v>55</v>
      </c>
      <c r="HL7" s="108" t="s">
        <v>56</v>
      </c>
      <c r="HM7" s="108" t="s">
        <v>57</v>
      </c>
      <c r="HN7" s="108" t="s">
        <v>58</v>
      </c>
      <c r="HO7" s="108" t="s">
        <v>59</v>
      </c>
      <c r="HP7" s="108" t="s">
        <v>60</v>
      </c>
      <c r="HQ7" s="108" t="s">
        <v>61</v>
      </c>
      <c r="HR7" s="108" t="s">
        <v>62</v>
      </c>
      <c r="HS7" s="108" t="s">
        <v>63</v>
      </c>
      <c r="HT7" s="108" t="s">
        <v>64</v>
      </c>
      <c r="HU7" s="108" t="s">
        <v>65</v>
      </c>
      <c r="HV7" s="108" t="s">
        <v>66</v>
      </c>
      <c r="HW7" s="108" t="s">
        <v>67</v>
      </c>
      <c r="HX7" s="111"/>
      <c r="HY7" s="111"/>
      <c r="HZ7" s="111" t="s">
        <v>11</v>
      </c>
      <c r="IA7" s="1" t="s">
        <v>43</v>
      </c>
      <c r="IB7" s="1" t="s">
        <v>44</v>
      </c>
      <c r="IC7" s="1" t="s">
        <v>45</v>
      </c>
      <c r="ID7" s="1" t="s">
        <v>46</v>
      </c>
      <c r="IE7" s="1" t="s">
        <v>47</v>
      </c>
      <c r="IF7" s="1" t="s">
        <v>48</v>
      </c>
      <c r="IG7" s="1" t="s">
        <v>49</v>
      </c>
      <c r="IH7" s="1" t="s">
        <v>50</v>
      </c>
      <c r="II7" s="1" t="s">
        <v>51</v>
      </c>
      <c r="IJ7" s="1" t="s">
        <v>52</v>
      </c>
      <c r="IK7" s="1" t="s">
        <v>53</v>
      </c>
      <c r="IL7" s="1" t="s">
        <v>54</v>
      </c>
      <c r="IM7" s="1" t="s">
        <v>55</v>
      </c>
      <c r="IN7" s="1" t="s">
        <v>56</v>
      </c>
      <c r="IO7" s="1" t="s">
        <v>57</v>
      </c>
      <c r="IP7" s="1" t="s">
        <v>58</v>
      </c>
      <c r="IQ7" s="1" t="s">
        <v>59</v>
      </c>
      <c r="IR7" s="1" t="s">
        <v>60</v>
      </c>
      <c r="IS7" s="1" t="s">
        <v>61</v>
      </c>
      <c r="IT7" s="1" t="s">
        <v>62</v>
      </c>
      <c r="IU7" s="1" t="s">
        <v>63</v>
      </c>
      <c r="IV7" s="1" t="s">
        <v>64</v>
      </c>
      <c r="IW7" s="1" t="s">
        <v>65</v>
      </c>
      <c r="IX7" s="1" t="s">
        <v>66</v>
      </c>
      <c r="IY7" s="1" t="s">
        <v>67</v>
      </c>
    </row>
    <row r="8" spans="1:260" s="137" customFormat="1" ht="43.5" customHeight="1">
      <c r="A8" s="19" t="s">
        <v>68</v>
      </c>
      <c r="B8" s="249" t="s">
        <v>69</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Title.mt</v>
      </c>
      <c r="T8" s="19" t="str">
        <f>_xlfn.CONCAT(B8,".",T7)</f>
        <v>Title.nl</v>
      </c>
      <c r="U8" s="19" t="str">
        <f>_xlfn.CONCAT(B8,".",U7)</f>
        <v>Title.no</v>
      </c>
      <c r="V8" s="19" t="str">
        <f>_xlfn.CONCAT(B8,".",V7)</f>
        <v>Title.pl</v>
      </c>
      <c r="W8" s="19" t="str">
        <f>_xlfn.CONCAT(B8,".",W7)</f>
        <v>Title.pt</v>
      </c>
      <c r="X8" s="19" t="str">
        <f>_xlfn.CONCAT(B8,".",X7)</f>
        <v>Title.ro</v>
      </c>
      <c r="Y8" s="19" t="str">
        <f>_xlfn.CONCAT(B8,".",Y7)</f>
        <v>Title.sk</v>
      </c>
      <c r="Z8" s="19" t="str">
        <f>_xlfn.CONCAT(B8,".",Z7)</f>
        <v>Title.sl</v>
      </c>
      <c r="AA8" s="19" t="str">
        <f>_xlfn.CONCAT(B8,".",AA7)</f>
        <v>Title.sv</v>
      </c>
      <c r="AB8" s="19" t="s">
        <v>1193</v>
      </c>
      <c r="AC8" s="19" t="s">
        <v>1194</v>
      </c>
      <c r="AD8" s="19" t="s">
        <v>70</v>
      </c>
      <c r="AE8" s="19" t="str">
        <f>_xlfn.CONCAT(AD8,".",AE7)</f>
        <v>Description.bg</v>
      </c>
      <c r="AF8" s="19" t="str">
        <f>_xlfn.CONCAT(AD8,".",AF7)</f>
        <v>Description.cs</v>
      </c>
      <c r="AG8" s="19" t="str">
        <f>_xlfn.CONCAT(AD8,".",AG7)</f>
        <v>Description.da</v>
      </c>
      <c r="AH8" s="19" t="str">
        <f>_xlfn.CONCAT(AD8,".",AH7)</f>
        <v>Description.de</v>
      </c>
      <c r="AI8" s="19" t="str">
        <f>_xlfn.CONCAT(AD8,".",AI7)</f>
        <v>Description.el</v>
      </c>
      <c r="AJ8" s="19" t="str">
        <f>_xlfn.CONCAT(AD8,".",AJ7)</f>
        <v>Description.es</v>
      </c>
      <c r="AK8" s="19" t="str">
        <f>_xlfn.CONCAT(AD8,".",AK7)</f>
        <v>Description.et</v>
      </c>
      <c r="AL8" s="19" t="str">
        <f>_xlfn.CONCAT(AD8,".",AL7)</f>
        <v>Description.fi</v>
      </c>
      <c r="AM8" s="19" t="str">
        <f>_xlfn.CONCAT(AD8,".",AM7)</f>
        <v>Description.fr</v>
      </c>
      <c r="AN8" s="19" t="str">
        <f>_xlfn.CONCAT(AD8,".",AN7)</f>
        <v>Description.ga</v>
      </c>
      <c r="AO8" s="19" t="str">
        <f>_xlfn.CONCAT(AD8,".",AO7)</f>
        <v>Description.hr</v>
      </c>
      <c r="AP8" s="19" t="str">
        <f>_xlfn.CONCAT(AD8,".",AP7)</f>
        <v>Description.hu</v>
      </c>
      <c r="AQ8" s="19" t="str">
        <f>_xlfn.CONCAT(AD8,".",AQ7)</f>
        <v>Description.is</v>
      </c>
      <c r="AR8" s="19" t="str">
        <f>_xlfn.CONCAT(AD8,".",AR7)</f>
        <v>Description.it</v>
      </c>
      <c r="AS8" s="19" t="str">
        <f>_xlfn.CONCAT(AD8,".",AS7)</f>
        <v>Description.lt</v>
      </c>
      <c r="AT8" s="19" t="str">
        <f>_xlfn.CONCAT(AD8,".",AT7)</f>
        <v>Description.lv</v>
      </c>
      <c r="AU8" s="19" t="str">
        <f>_xlfn.CONCAT(AD8,".",AU7)</f>
        <v>Description.mt</v>
      </c>
      <c r="AV8" s="19" t="str">
        <f>_xlfn.CONCAT(AD8,".",AV7)</f>
        <v>Description.nl</v>
      </c>
      <c r="AW8" s="19" t="str">
        <f>_xlfn.CONCAT(AD8,".",AW7)</f>
        <v>Description.no</v>
      </c>
      <c r="AX8" s="19" t="str">
        <f>_xlfn.CONCAT(AD8,".",AX7)</f>
        <v>Description.pl</v>
      </c>
      <c r="AY8" s="19" t="str">
        <f>_xlfn.CONCAT(AD8,".",AY7)</f>
        <v>Description.pt</v>
      </c>
      <c r="AZ8" s="19" t="str">
        <f>_xlfn.CONCAT(AD8,".",AZ7)</f>
        <v>Description.ro</v>
      </c>
      <c r="BA8" s="19" t="str">
        <f>_xlfn.CONCAT(AD8,".",BA7)</f>
        <v>Description.sk</v>
      </c>
      <c r="BB8" s="19" t="str">
        <f>_xlfn.CONCAT(AD8,".",BB7)</f>
        <v>Description.sl</v>
      </c>
      <c r="BC8" s="19" t="str">
        <f>_xlfn.CONCAT(AD8,".",BC7)</f>
        <v>Description.sv</v>
      </c>
      <c r="BD8" s="19" t="s">
        <v>1195</v>
      </c>
      <c r="BE8" s="19"/>
      <c r="BF8" s="19" t="s">
        <v>1196</v>
      </c>
      <c r="BG8" s="19"/>
      <c r="BH8" s="19" t="s">
        <v>1197</v>
      </c>
      <c r="BI8" s="19" t="s">
        <v>1198</v>
      </c>
      <c r="BJ8" s="19"/>
      <c r="BK8" s="5" t="s">
        <v>535</v>
      </c>
      <c r="BL8" s="5" t="s">
        <v>536</v>
      </c>
      <c r="BM8" s="5" t="str">
        <f>CONCATENATE(BL8,".",BM7)</f>
        <v>Additional Field Content.bg</v>
      </c>
      <c r="BN8" s="5" t="str">
        <f>CONCATENATE(BL8,".",BN7)</f>
        <v>Additional Field Content.cs</v>
      </c>
      <c r="BO8" s="5" t="str">
        <f>CONCATENATE(BL8,".",BO7)</f>
        <v>Additional Field Content.da</v>
      </c>
      <c r="BP8" s="5" t="str">
        <f>CONCATENATE(BL8,".",BP7)</f>
        <v>Additional Field Content.de</v>
      </c>
      <c r="BQ8" s="5" t="str">
        <f>CONCATENATE(BL8,".",BQ7)</f>
        <v>Additional Field Content.el</v>
      </c>
      <c r="BR8" s="5" t="str">
        <f>CONCATENATE(BL8,".",BR7)</f>
        <v>Additional Field Content.es</v>
      </c>
      <c r="BS8" s="5" t="str">
        <f>CONCATENATE(BL8,".",BS7)</f>
        <v>Additional Field Content.et</v>
      </c>
      <c r="BT8" s="5" t="str">
        <f>CONCATENATE(BL8,".",BT7)</f>
        <v>Additional Field Content.fi</v>
      </c>
      <c r="BU8" s="5" t="str">
        <f>CONCATENATE(BL8,".",BU7)</f>
        <v>Additional Field Content.fr</v>
      </c>
      <c r="BV8" s="5" t="str">
        <f>CONCATENATE(BL8,".",BV7)</f>
        <v>Additional Field Content.ga</v>
      </c>
      <c r="BW8" s="5" t="str">
        <f>CONCATENATE(BL8,".",BW7)</f>
        <v>Additional Field Content.hr</v>
      </c>
      <c r="BX8" s="5" t="str">
        <f>CONCATENATE(BL8,".",BX7)</f>
        <v>Additional Field Content.hu</v>
      </c>
      <c r="BY8" s="5" t="str">
        <f>CONCATENATE(BL8,".",BY7)</f>
        <v>Additional Field Content.is</v>
      </c>
      <c r="BZ8" s="5" t="str">
        <f>CONCATENATE(BL8,".",BZ7)</f>
        <v>Additional Field Content.it</v>
      </c>
      <c r="CA8" s="5" t="str">
        <f>CONCATENATE(BL8,".",CA7)</f>
        <v>Additional Field Content.lt</v>
      </c>
      <c r="CB8" s="5" t="str">
        <f>CONCATENATE(BL8,".",CB7)</f>
        <v>Additional Field Content.lv</v>
      </c>
      <c r="CC8" s="5" t="str">
        <f>CONCATENATE(BL8,".",CC7)</f>
        <v>Additional Field Content.mt</v>
      </c>
      <c r="CD8" s="5" t="str">
        <f>CONCATENATE(BL8,".",CD7)</f>
        <v>Additional Field Content.nl</v>
      </c>
      <c r="CE8" s="5" t="str">
        <f>CONCATENATE(BL8,".",CE7)</f>
        <v>Additional Field Content.no</v>
      </c>
      <c r="CF8" s="5" t="str">
        <f>CONCATENATE(BL8,".",CF7)</f>
        <v>Additional Field Content.pl</v>
      </c>
      <c r="CG8" s="5" t="str">
        <f>CONCATENATE(BL8,".",CG7)</f>
        <v>Additional Field Content.pt</v>
      </c>
      <c r="CH8" s="5" t="str">
        <f>CONCATENATE(BL8,".",CH7)</f>
        <v>Additional Field Content.ro</v>
      </c>
      <c r="CI8" s="5" t="str">
        <f>CONCATENATE(BL8,".",CI7)</f>
        <v>Additional Field Content.sk</v>
      </c>
      <c r="CJ8" s="5" t="str">
        <f>CONCATENATE(BL8,".",CJ7)</f>
        <v>Additional Field Content.sl</v>
      </c>
      <c r="CK8" s="5" t="str">
        <f>CONCATENATE(BL8,".",CK7)</f>
        <v>Additional Field Content.sv</v>
      </c>
      <c r="CL8" s="224" t="s">
        <v>1199</v>
      </c>
      <c r="CM8" s="19" t="str">
        <f>_xlfn.CONCAT(CL8,".",CM7)</f>
        <v>Assessment Specfication Title.bg</v>
      </c>
      <c r="CN8" s="19" t="str">
        <f>_xlfn.CONCAT(CL8,".",CN7)</f>
        <v>Assessment Specfication Title.cs</v>
      </c>
      <c r="CO8" s="19" t="str">
        <f>_xlfn.CONCAT(CL8,".",CO7)</f>
        <v>Assessment Specfication Title.da</v>
      </c>
      <c r="CP8" s="19" t="str">
        <f>_xlfn.CONCAT(CL8,".",CP7)</f>
        <v>Assessment Specfication Title.de</v>
      </c>
      <c r="CQ8" s="19" t="str">
        <f>_xlfn.CONCAT(CL8,".",CQ7)</f>
        <v>Assessment Specfication Title.el</v>
      </c>
      <c r="CR8" s="19" t="str">
        <f>_xlfn.CONCAT(CL8,".",CR7)</f>
        <v>Assessment Specfication Title.es</v>
      </c>
      <c r="CS8" s="19" t="str">
        <f>_xlfn.CONCAT(CL8,".",CS7)</f>
        <v>Assessment Specfication Title.et</v>
      </c>
      <c r="CT8" s="19" t="str">
        <f>_xlfn.CONCAT(CL8,".",CT7)</f>
        <v>Assessment Specfication Title.fi</v>
      </c>
      <c r="CU8" s="19" t="str">
        <f>_xlfn.CONCAT(CL8,".",CU7)</f>
        <v>Assessment Specfication Title.fr</v>
      </c>
      <c r="CV8" s="19" t="str">
        <f>_xlfn.CONCAT(CL8,".",CV7)</f>
        <v>Assessment Specfication Title.ga</v>
      </c>
      <c r="CW8" s="19" t="str">
        <f>_xlfn.CONCAT(CL8,".",CW7)</f>
        <v>Assessment Specfication Title.hr</v>
      </c>
      <c r="CX8" s="19" t="str">
        <f>_xlfn.CONCAT(CL8,".",CX7)</f>
        <v>Assessment Specfication Title.hu</v>
      </c>
      <c r="CY8" s="19" t="str">
        <f>_xlfn.CONCAT(CL8,".",CY7)</f>
        <v>Assessment Specfication Title.is</v>
      </c>
      <c r="CZ8" s="19" t="str">
        <f>_xlfn.CONCAT(CL8,".",CZ7)</f>
        <v>Assessment Specfication Title.it</v>
      </c>
      <c r="DA8" s="19" t="str">
        <f>_xlfn.CONCAT(CL8,".",DA7)</f>
        <v>Assessment Specfication Title.lt</v>
      </c>
      <c r="DB8" s="19" t="str">
        <f>_xlfn.CONCAT(CL8,".",DB7)</f>
        <v>Assessment Specfication Title.lv</v>
      </c>
      <c r="DC8" s="19" t="str">
        <f>_xlfn.CONCAT(CL8,".",DC7)</f>
        <v>Assessment Specfication Title.mt</v>
      </c>
      <c r="DD8" s="19" t="str">
        <f>_xlfn.CONCAT(CL8,".",DD7)</f>
        <v>Assessment Specfication Title.nl</v>
      </c>
      <c r="DE8" s="19" t="str">
        <f>_xlfn.CONCAT(CL8,".",DE7)</f>
        <v>Assessment Specfication Title.no</v>
      </c>
      <c r="DF8" s="19" t="str">
        <f>_xlfn.CONCAT(CL8,".",DF7)</f>
        <v>Assessment Specfication Title.pl</v>
      </c>
      <c r="DG8" s="19" t="str">
        <f>_xlfn.CONCAT(CL8,".",DG7)</f>
        <v>Assessment Specfication Title.pt</v>
      </c>
      <c r="DH8" s="19" t="str">
        <f>_xlfn.CONCAT(CL8,".",DH7)</f>
        <v>Assessment Specfication Title.ro</v>
      </c>
      <c r="DI8" s="19" t="str">
        <f>_xlfn.CONCAT(CL8,".",DI7)</f>
        <v>Assessment Specfication Title.sk</v>
      </c>
      <c r="DJ8" s="19" t="str">
        <f>_xlfn.CONCAT(CL8,".",DJ7)</f>
        <v>Assessment Specfication Title.sl</v>
      </c>
      <c r="DK8" s="19" t="str">
        <f>_xlfn.CONCAT(CL8,".",DK7)</f>
        <v>Assessment Specfication Title.sv</v>
      </c>
      <c r="DL8" s="19" t="s">
        <v>1200</v>
      </c>
      <c r="DM8" s="19" t="s">
        <v>1201</v>
      </c>
      <c r="DN8" s="19" t="s">
        <v>1202</v>
      </c>
      <c r="DO8" s="19" t="str">
        <f>_xlfn.CONCAT(DN8,".",DO7)</f>
        <v>Assessment Specification Description.bg</v>
      </c>
      <c r="DP8" s="19" t="str">
        <f>_xlfn.CONCAT(DN8,".",DP7)</f>
        <v>Assessment Specification Description.cs</v>
      </c>
      <c r="DQ8" s="19" t="str">
        <f>_xlfn.CONCAT(DN8,".",DQ7)</f>
        <v>Assessment Specification Description.da</v>
      </c>
      <c r="DR8" s="19" t="str">
        <f>_xlfn.CONCAT(DN8,".",DR7)</f>
        <v>Assessment Specification Description.de</v>
      </c>
      <c r="DS8" s="19" t="str">
        <f>_xlfn.CONCAT(DN8,".",DS7)</f>
        <v>Assessment Specification Description.el</v>
      </c>
      <c r="DT8" s="19" t="str">
        <f>_xlfn.CONCAT(DN8,".",DT7)</f>
        <v>Assessment Specification Description.es</v>
      </c>
      <c r="DU8" s="19" t="str">
        <f>_xlfn.CONCAT(DN8,".",DU7)</f>
        <v>Assessment Specification Description.et</v>
      </c>
      <c r="DV8" s="19" t="str">
        <f>_xlfn.CONCAT(DN8,".",DV7)</f>
        <v>Assessment Specification Description.fi</v>
      </c>
      <c r="DW8" s="19" t="str">
        <f>_xlfn.CONCAT(DN8,".",DW7)</f>
        <v>Assessment Specification Description.fr</v>
      </c>
      <c r="DX8" s="19" t="str">
        <f>_xlfn.CONCAT(DN8,".",DX7)</f>
        <v>Assessment Specification Description.ga</v>
      </c>
      <c r="DY8" s="19" t="str">
        <f>_xlfn.CONCAT(DN8,".",DY7)</f>
        <v>Assessment Specification Description.hr</v>
      </c>
      <c r="DZ8" s="19" t="str">
        <f>_xlfn.CONCAT(DN8,".",DZ7)</f>
        <v>Assessment Specification Description.hu</v>
      </c>
      <c r="EA8" s="19" t="str">
        <f>_xlfn.CONCAT(DN8,".",EA7)</f>
        <v>Assessment Specification Description.is</v>
      </c>
      <c r="EB8" s="19" t="str">
        <f>_xlfn.CONCAT(DN8,".",EB7)</f>
        <v>Assessment Specification Description.it</v>
      </c>
      <c r="EC8" s="19" t="str">
        <f>_xlfn.CONCAT(DN8,".",EC7)</f>
        <v>Assessment Specification Description.lt</v>
      </c>
      <c r="ED8" s="19" t="str">
        <f>_xlfn.CONCAT(DN8,".",ED7)</f>
        <v>Assessment Specification Description.lv</v>
      </c>
      <c r="EE8" s="19" t="str">
        <f>_xlfn.CONCAT(DN8,".",EE7)</f>
        <v>Assessment Specification Description.mt</v>
      </c>
      <c r="EF8" s="19" t="str">
        <f>_xlfn.CONCAT(DN8,".",EF7)</f>
        <v>Assessment Specification Description.nl</v>
      </c>
      <c r="EG8" s="19" t="str">
        <f>_xlfn.CONCAT(DN8,".",EG7)</f>
        <v>Assessment Specification Description.no</v>
      </c>
      <c r="EH8" s="19" t="str">
        <f>_xlfn.CONCAT(DN8,".",EH7)</f>
        <v>Assessment Specification Description.pl</v>
      </c>
      <c r="EI8" s="19" t="str">
        <f>_xlfn.CONCAT(DN8,".",EI7)</f>
        <v>Assessment Specification Description.pt</v>
      </c>
      <c r="EJ8" s="19" t="str">
        <f>_xlfn.CONCAT(DN8,".",EJ7)</f>
        <v>Assessment Specification Description.ro</v>
      </c>
      <c r="EK8" s="19" t="str">
        <f>_xlfn.CONCAT(DN8,".",EK7)</f>
        <v>Assessment Specification Description.sk</v>
      </c>
      <c r="EL8" s="19" t="str">
        <f>_xlfn.CONCAT(DN8,".",EL7)</f>
        <v>Assessment Specification Description.sl</v>
      </c>
      <c r="EM8" s="19" t="str">
        <f>_xlfn.CONCAT(DN8,".",EM7)</f>
        <v>Assessment Specification Description.sv</v>
      </c>
      <c r="EN8" s="5" t="s">
        <v>880</v>
      </c>
      <c r="EO8" s="19" t="s">
        <v>42</v>
      </c>
      <c r="EP8" s="19"/>
      <c r="EQ8" s="19" t="s">
        <v>1203</v>
      </c>
      <c r="ER8" s="19"/>
      <c r="ES8" s="19" t="s">
        <v>1204</v>
      </c>
      <c r="ET8" s="19"/>
      <c r="EU8" s="5" t="s">
        <v>532</v>
      </c>
      <c r="EV8" s="5" t="s">
        <v>533</v>
      </c>
      <c r="EW8" s="5" t="s">
        <v>534</v>
      </c>
      <c r="EX8" s="5" t="str">
        <f>CONCATENATE(EW8,".",EX7)</f>
        <v>More Information Content.bg</v>
      </c>
      <c r="EY8" s="5" t="str">
        <f>CONCATENATE(EW8,".",EY7)</f>
        <v>More Information Content.cs</v>
      </c>
      <c r="EZ8" s="5" t="str">
        <f>CONCATENATE(EW8,".",EZ7)</f>
        <v>More Information Content.da</v>
      </c>
      <c r="FA8" s="5" t="str">
        <f>CONCATENATE(EW8,".",FA7)</f>
        <v>More Information Content.de</v>
      </c>
      <c r="FB8" s="5" t="str">
        <f>CONCATENATE(EW8,".",FB7)</f>
        <v>More Information Content.el</v>
      </c>
      <c r="FC8" s="5" t="str">
        <f>CONCATENATE(EW8,".",FC7)</f>
        <v>More Information Content.es</v>
      </c>
      <c r="FD8" s="5" t="str">
        <f>CONCATENATE(EW8,".",FD7)</f>
        <v>More Information Content.et</v>
      </c>
      <c r="FE8" s="5" t="str">
        <f>CONCATENATE(EW8,".",FE7)</f>
        <v>More Information Content.fi</v>
      </c>
      <c r="FF8" s="5" t="str">
        <f>CONCATENATE(EW8,".",FF7)</f>
        <v>More Information Content.fr</v>
      </c>
      <c r="FG8" s="5" t="str">
        <f>CONCATENATE(EW8,".",FG7)</f>
        <v>More Information Content.ga</v>
      </c>
      <c r="FH8" s="5" t="str">
        <f>CONCATENATE(EW8,".",FH7)</f>
        <v>More Information Content.hr</v>
      </c>
      <c r="FI8" s="5" t="str">
        <f>CONCATENATE(EW8,".",FI7)</f>
        <v>More Information Content.hu</v>
      </c>
      <c r="FJ8" s="5" t="str">
        <f>CONCATENATE(EW8,".",FJ7)</f>
        <v>More Information Content.is</v>
      </c>
      <c r="FK8" s="5" t="str">
        <f>CONCATENATE(EW8,".",FK7)</f>
        <v>More Information Content.it</v>
      </c>
      <c r="FL8" s="5" t="str">
        <f>CONCATENATE(EW8,".",FL7)</f>
        <v>More Information Content.lt</v>
      </c>
      <c r="FM8" s="5" t="str">
        <f>CONCATENATE(EW8,".",FM7)</f>
        <v>More Information Content.lv</v>
      </c>
      <c r="FN8" s="5" t="str">
        <f>CONCATENATE(EW8,".",FN7)</f>
        <v>More Information Content.mt</v>
      </c>
      <c r="FO8" s="5" t="str">
        <f>CONCATENATE(EW8,".",FO7)</f>
        <v>More Information Content.nl</v>
      </c>
      <c r="FP8" s="5" t="str">
        <f>CONCATENATE(EW8,".",FP7)</f>
        <v>More Information Content.no</v>
      </c>
      <c r="FQ8" s="5" t="str">
        <f>CONCATENATE(EW8,".",FQ7)</f>
        <v>More Information Content.pl</v>
      </c>
      <c r="FR8" s="5" t="str">
        <f>CONCATENATE(EW8,".",FR7)</f>
        <v>More Information Content.pt</v>
      </c>
      <c r="FS8" s="5" t="str">
        <f>CONCATENATE(EW8,".",FS7)</f>
        <v>More Information Content.ro</v>
      </c>
      <c r="FT8" s="5" t="str">
        <f>CONCATENATE(EW8,".",FT7)</f>
        <v>More Information Content.sk</v>
      </c>
      <c r="FU8" s="5" t="str">
        <f>CONCATENATE(EW8,".",FU7)</f>
        <v>More Information Content.sl</v>
      </c>
      <c r="FV8" s="5" t="str">
        <f>CONCATENATE(EW8,".",FV7)</f>
        <v>More Information Content.sv</v>
      </c>
      <c r="FW8" s="5" t="s">
        <v>535</v>
      </c>
      <c r="FX8" s="5" t="s">
        <v>536</v>
      </c>
      <c r="FY8" s="5" t="str">
        <f>CONCATENATE(FX8,".",FY7)</f>
        <v>Additional Field Content.bg</v>
      </c>
      <c r="FZ8" s="5" t="str">
        <f>CONCATENATE(FX8,".",FZ7)</f>
        <v>Additional Field Content.cs</v>
      </c>
      <c r="GA8" s="5" t="str">
        <f>CONCATENATE(FX8,".",GA7)</f>
        <v>Additional Field Content.da</v>
      </c>
      <c r="GB8" s="5" t="str">
        <f>CONCATENATE(FX8,".",GB7)</f>
        <v>Additional Field Content.de</v>
      </c>
      <c r="GC8" s="5" t="str">
        <f>CONCATENATE(FX8,".",GC7)</f>
        <v>Additional Field Content.el</v>
      </c>
      <c r="GD8" s="5" t="str">
        <f>CONCATENATE(FX8,".",GD7)</f>
        <v>Additional Field Content.es</v>
      </c>
      <c r="GE8" s="5" t="str">
        <f>CONCATENATE(FX8,".",GE7)</f>
        <v>Additional Field Content.et</v>
      </c>
      <c r="GF8" s="5" t="str">
        <f>CONCATENATE(FX8,".",GF7)</f>
        <v>Additional Field Content.fi</v>
      </c>
      <c r="GG8" s="5" t="str">
        <f>CONCATENATE(FX8,".",GG7)</f>
        <v>Additional Field Content.fr</v>
      </c>
      <c r="GH8" s="5" t="str">
        <f>CONCATENATE(FX8,".",GH7)</f>
        <v>Additional Field Content.ga</v>
      </c>
      <c r="GI8" s="5" t="str">
        <f>CONCATENATE(FX8,".",GI7)</f>
        <v>Additional Field Content.hr</v>
      </c>
      <c r="GJ8" s="5" t="str">
        <f>CONCATENATE(FX8,".",GJ7)</f>
        <v>Additional Field Content.hu</v>
      </c>
      <c r="GK8" s="5" t="str">
        <f>CONCATENATE(FX8,".",GK7)</f>
        <v>Additional Field Content.is</v>
      </c>
      <c r="GL8" s="5" t="str">
        <f>CONCATENATE(FX8,".",GL7)</f>
        <v>Additional Field Content.it</v>
      </c>
      <c r="GM8" s="5" t="str">
        <f>CONCATENATE(FX8,".",GM7)</f>
        <v>Additional Field Content.lt</v>
      </c>
      <c r="GN8" s="5" t="str">
        <f>CONCATENATE(FX8,".",GN7)</f>
        <v>Additional Field Content.lv</v>
      </c>
      <c r="GO8" s="5" t="str">
        <f>CONCATENATE(FX8,".",GO7)</f>
        <v>Additional Field Content.mt</v>
      </c>
      <c r="GP8" s="5" t="str">
        <f>CONCATENATE(FX8,".",GP7)</f>
        <v>Additional Field Content.nl</v>
      </c>
      <c r="GQ8" s="5" t="str">
        <f>CONCATENATE(FX8,".",GQ7)</f>
        <v>Additional Field Content.no</v>
      </c>
      <c r="GR8" s="5" t="str">
        <f>CONCATENATE(FX8,".",GR7)</f>
        <v>Additional Field Content.pl</v>
      </c>
      <c r="GS8" s="5" t="str">
        <f>CONCATENATE(FX8,".",GS7)</f>
        <v>Additional Field Content.pt</v>
      </c>
      <c r="GT8" s="5" t="str">
        <f>CONCATENATE(FX8,".",GT7)</f>
        <v>Additional Field Content.ro</v>
      </c>
      <c r="GU8" s="5" t="str">
        <f>CONCATENATE(FX8,".",GU7)</f>
        <v>Additional Field Content.sk</v>
      </c>
      <c r="GV8" s="5" t="str">
        <f>CONCATENATE(FX8,".",GV7)</f>
        <v>Additional Field Content.sl</v>
      </c>
      <c r="GW8" s="5" t="str">
        <f>CONCATENATE(FX8,".",GW7)</f>
        <v>Additional Field Content.sv</v>
      </c>
      <c r="GX8" s="19" t="s">
        <v>1205</v>
      </c>
      <c r="GY8" s="19" t="str">
        <f>_xlfn.CONCAT(GX8,".",GY7)</f>
        <v>Grading SchemeTitle.bg</v>
      </c>
      <c r="GZ8" s="19" t="str">
        <f>_xlfn.CONCAT(GX8,".",GZ7)</f>
        <v>Grading SchemeTitle.cs</v>
      </c>
      <c r="HA8" s="19" t="str">
        <f>_xlfn.CONCAT(GX8,".",HA7)</f>
        <v>Grading SchemeTitle.da</v>
      </c>
      <c r="HB8" s="19" t="str">
        <f>_xlfn.CONCAT(GX8,".",HB7)</f>
        <v>Grading SchemeTitle.de</v>
      </c>
      <c r="HC8" s="19" t="str">
        <f>_xlfn.CONCAT(GX8,".",HC7)</f>
        <v>Grading SchemeTitle.el</v>
      </c>
      <c r="HD8" s="19" t="str">
        <f>_xlfn.CONCAT(GX8,".",HD7)</f>
        <v>Grading SchemeTitle.es</v>
      </c>
      <c r="HE8" s="19" t="str">
        <f>_xlfn.CONCAT(GX8,".",HE7)</f>
        <v>Grading SchemeTitle.et</v>
      </c>
      <c r="HF8" s="19" t="str">
        <f>_xlfn.CONCAT(GX8,".",HF7)</f>
        <v>Grading SchemeTitle.fi</v>
      </c>
      <c r="HG8" s="19" t="str">
        <f>_xlfn.CONCAT(GX8,".",HG7)</f>
        <v>Grading SchemeTitle.fr</v>
      </c>
      <c r="HH8" s="19" t="str">
        <f>_xlfn.CONCAT(GX8,".",HH7)</f>
        <v>Grading SchemeTitle.ga</v>
      </c>
      <c r="HI8" s="19" t="str">
        <f>_xlfn.CONCAT(GX8,".",HI7)</f>
        <v>Grading SchemeTitle.hr</v>
      </c>
      <c r="HJ8" s="19" t="str">
        <f>_xlfn.CONCAT(GX8,".",HJ7)</f>
        <v>Grading SchemeTitle.hu</v>
      </c>
      <c r="HK8" s="19" t="str">
        <f>_xlfn.CONCAT(GX8,".",HK7)</f>
        <v>Grading SchemeTitle.is</v>
      </c>
      <c r="HL8" s="19" t="str">
        <f>_xlfn.CONCAT(GX8,".",HL7)</f>
        <v>Grading SchemeTitle.it</v>
      </c>
      <c r="HM8" s="19" t="str">
        <f>_xlfn.CONCAT(GX8,".",HM7)</f>
        <v>Grading SchemeTitle.lt</v>
      </c>
      <c r="HN8" s="19" t="str">
        <f>_xlfn.CONCAT(GX8,".",HN7)</f>
        <v>Grading SchemeTitle.lv</v>
      </c>
      <c r="HO8" s="19" t="str">
        <f>_xlfn.CONCAT(GX8,".",HO7)</f>
        <v>Grading SchemeTitle.mt</v>
      </c>
      <c r="HP8" s="19" t="str">
        <f>_xlfn.CONCAT(GX8,".",HP7)</f>
        <v>Grading SchemeTitle.nl</v>
      </c>
      <c r="HQ8" s="19" t="str">
        <f>_xlfn.CONCAT(GX8,".",HQ7)</f>
        <v>Grading SchemeTitle.no</v>
      </c>
      <c r="HR8" s="19" t="str">
        <f>_xlfn.CONCAT(GX8,".",HR7)</f>
        <v>Grading SchemeTitle.pl</v>
      </c>
      <c r="HS8" s="19" t="str">
        <f>_xlfn.CONCAT(GX8,".",HS7)</f>
        <v>Grading SchemeTitle.pt</v>
      </c>
      <c r="HT8" s="19" t="str">
        <f>_xlfn.CONCAT(GX8,".",HT7)</f>
        <v>Grading SchemeTitle.ro</v>
      </c>
      <c r="HU8" s="19" t="str">
        <f>_xlfn.CONCAT(GX8,".",HU7)</f>
        <v>Grading SchemeTitle.sk</v>
      </c>
      <c r="HV8" s="19" t="str">
        <f>_xlfn.CONCAT(GX8,".",HV7)</f>
        <v>Grading SchemeTitle.sl</v>
      </c>
      <c r="HW8" s="19" t="str">
        <f>_xlfn.CONCAT(GX8,".",HW7)</f>
        <v>Grading SchemeTitle.sv</v>
      </c>
      <c r="HX8" s="19" t="s">
        <v>1206</v>
      </c>
      <c r="HY8" s="19" t="s">
        <v>1207</v>
      </c>
      <c r="HZ8" s="19" t="s">
        <v>1208</v>
      </c>
      <c r="IA8" s="68" t="str">
        <f>_xlfn.CONCAT(HZ8,".",IA7)</f>
        <v>Grading Scheme Description.bg</v>
      </c>
      <c r="IB8" s="68" t="str">
        <f>_xlfn.CONCAT(HZ8,".",IB7)</f>
        <v>Grading Scheme Description.cs</v>
      </c>
      <c r="IC8" s="68" t="str">
        <f>_xlfn.CONCAT(HZ8,".",IC7)</f>
        <v>Grading Scheme Description.da</v>
      </c>
      <c r="ID8" s="68" t="str">
        <f>_xlfn.CONCAT(HZ8,".",ID7)</f>
        <v>Grading Scheme Description.de</v>
      </c>
      <c r="IE8" s="68" t="str">
        <f>_xlfn.CONCAT(HZ8,".",IE7)</f>
        <v>Grading Scheme Description.el</v>
      </c>
      <c r="IF8" s="68" t="str">
        <f>_xlfn.CONCAT(HZ8,".",IF7)</f>
        <v>Grading Scheme Description.es</v>
      </c>
      <c r="IG8" s="68" t="str">
        <f>_xlfn.CONCAT(HZ8,".",IG7)</f>
        <v>Grading Scheme Description.et</v>
      </c>
      <c r="IH8" s="68" t="str">
        <f>_xlfn.CONCAT(HZ8,".",IH7)</f>
        <v>Grading Scheme Description.fi</v>
      </c>
      <c r="II8" s="68" t="str">
        <f>_xlfn.CONCAT(HZ8,".",II7)</f>
        <v>Grading Scheme Description.fr</v>
      </c>
      <c r="IJ8" s="68" t="str">
        <f>_xlfn.CONCAT(HZ8,".",IJ7)</f>
        <v>Grading Scheme Description.ga</v>
      </c>
      <c r="IK8" s="68" t="str">
        <f>_xlfn.CONCAT(HZ8,".",IK7)</f>
        <v>Grading Scheme Description.hr</v>
      </c>
      <c r="IL8" s="68" t="str">
        <f>_xlfn.CONCAT(HZ8,".",IL7)</f>
        <v>Grading Scheme Description.hu</v>
      </c>
      <c r="IM8" s="68" t="str">
        <f>_xlfn.CONCAT(HZ8,".",IM7)</f>
        <v>Grading Scheme Description.is</v>
      </c>
      <c r="IN8" s="68" t="str">
        <f>_xlfn.CONCAT(HZ8,".",IN7)</f>
        <v>Grading Scheme Description.it</v>
      </c>
      <c r="IO8" s="68" t="str">
        <f>_xlfn.CONCAT(HZ8,".",IO7)</f>
        <v>Grading Scheme Description.lt</v>
      </c>
      <c r="IP8" s="68" t="str">
        <f>_xlfn.CONCAT(HZ8,".",IP7)</f>
        <v>Grading Scheme Description.lv</v>
      </c>
      <c r="IQ8" s="68" t="str">
        <f>_xlfn.CONCAT(HZ8,".",IQ7)</f>
        <v>Grading Scheme Description.mt</v>
      </c>
      <c r="IR8" s="68" t="str">
        <f>_xlfn.CONCAT(HZ8,".",IR7)</f>
        <v>Grading Scheme Description.nl</v>
      </c>
      <c r="IS8" s="68" t="str">
        <f>_xlfn.CONCAT(HZ8,".",IS7)</f>
        <v>Grading Scheme Description.no</v>
      </c>
      <c r="IT8" s="68" t="str">
        <f>_xlfn.CONCAT(HZ8,".",IT7)</f>
        <v>Grading Scheme Description.pl</v>
      </c>
      <c r="IU8" s="68" t="str">
        <f>_xlfn.CONCAT(HZ8,".",IU7)</f>
        <v>Grading Scheme Description.pt</v>
      </c>
      <c r="IV8" s="68" t="str">
        <f>_xlfn.CONCAT(HZ8,".",IV7)</f>
        <v>Grading Scheme Description.ro</v>
      </c>
      <c r="IW8" s="68" t="str">
        <f>_xlfn.CONCAT(HZ8,".",IW7)</f>
        <v>Grading Scheme Description.sk</v>
      </c>
      <c r="IX8" s="68" t="str">
        <f>_xlfn.CONCAT(HZ8,".",IX7)</f>
        <v>Grading Scheme Description.sl</v>
      </c>
      <c r="IY8" s="68" t="str">
        <f>_xlfn.CONCAT(HZ8,".",IY7)</f>
        <v>Grading Scheme Description.sv</v>
      </c>
      <c r="IZ8" s="127"/>
    </row>
    <row r="9" spans="1:260" s="137" customFormat="1" ht="43.5" customHeight="1">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26" t="s">
        <v>540</v>
      </c>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t="s">
        <v>1209</v>
      </c>
      <c r="BE9" s="26"/>
      <c r="BF9" s="26"/>
      <c r="BG9" s="26"/>
      <c r="BH9" s="26" t="s">
        <v>1210</v>
      </c>
      <c r="BI9" s="7" t="s">
        <v>1211</v>
      </c>
      <c r="BJ9" s="26"/>
      <c r="BK9" s="77"/>
      <c r="BL9" s="77"/>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179"/>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77" t="s">
        <v>1212</v>
      </c>
      <c r="EO9" s="26"/>
      <c r="EP9" s="26"/>
      <c r="EQ9" s="26"/>
      <c r="ER9" s="26"/>
      <c r="ES9" s="26"/>
      <c r="ET9" s="26"/>
      <c r="EU9" s="77" t="s">
        <v>555</v>
      </c>
      <c r="EV9" s="77"/>
      <c r="EW9" s="77" t="s">
        <v>540</v>
      </c>
      <c r="EX9" s="77"/>
      <c r="EY9" s="77"/>
      <c r="EZ9" s="77"/>
      <c r="FA9" s="77"/>
      <c r="FB9" s="77"/>
      <c r="FC9" s="77"/>
      <c r="FD9" s="77"/>
      <c r="FE9" s="77"/>
      <c r="FF9" s="77"/>
      <c r="FG9" s="77"/>
      <c r="FH9" s="77"/>
      <c r="FI9" s="77"/>
      <c r="FJ9" s="77"/>
      <c r="FK9" s="77"/>
      <c r="FL9" s="77"/>
      <c r="FM9" s="77"/>
      <c r="FN9" s="77"/>
      <c r="FO9" s="77"/>
      <c r="FP9" s="77"/>
      <c r="FQ9" s="77"/>
      <c r="FR9" s="77"/>
      <c r="FS9" s="77"/>
      <c r="FT9" s="77"/>
      <c r="FU9" s="77"/>
      <c r="FV9" s="77"/>
      <c r="FW9" s="77"/>
      <c r="FX9" s="77"/>
      <c r="FY9" s="63"/>
      <c r="FZ9" s="63"/>
      <c r="GA9" s="63"/>
      <c r="GB9" s="63"/>
      <c r="GC9" s="63"/>
      <c r="GD9" s="63"/>
      <c r="GE9" s="63"/>
      <c r="GF9" s="63"/>
      <c r="GG9" s="63"/>
      <c r="GH9" s="63"/>
      <c r="GI9" s="63"/>
      <c r="GJ9" s="63"/>
      <c r="GK9" s="63"/>
      <c r="GL9" s="63"/>
      <c r="GM9" s="63"/>
      <c r="GN9" s="63"/>
      <c r="GO9" s="63"/>
      <c r="GP9" s="63"/>
      <c r="GQ9" s="63"/>
      <c r="GR9" s="63"/>
      <c r="GS9" s="63"/>
      <c r="GT9" s="63"/>
      <c r="GU9" s="63"/>
      <c r="GV9" s="63"/>
      <c r="GW9" s="63"/>
      <c r="GX9" s="26"/>
      <c r="GY9" s="26"/>
      <c r="GZ9" s="26"/>
      <c r="HA9" s="26"/>
      <c r="HB9" s="26"/>
      <c r="HC9" s="26"/>
      <c r="HD9" s="26"/>
      <c r="HE9" s="26"/>
      <c r="HF9" s="26"/>
      <c r="HG9" s="26"/>
      <c r="HH9" s="26"/>
      <c r="HI9" s="26"/>
      <c r="HJ9" s="26"/>
      <c r="HK9" s="26"/>
      <c r="HL9" s="26"/>
      <c r="HM9" s="26"/>
      <c r="HN9" s="26"/>
      <c r="HO9" s="26"/>
      <c r="HP9" s="26"/>
      <c r="HQ9" s="26"/>
      <c r="HR9" s="26"/>
      <c r="HS9" s="26"/>
      <c r="HT9" s="26"/>
      <c r="HU9" s="26"/>
      <c r="HV9" s="26"/>
      <c r="HW9" s="26"/>
      <c r="HX9" s="26"/>
      <c r="HY9" s="26"/>
      <c r="HZ9" s="26"/>
      <c r="IA9" s="26"/>
      <c r="IB9" s="26"/>
      <c r="IC9" s="26"/>
      <c r="ID9" s="26"/>
      <c r="IE9" s="26"/>
      <c r="IF9" s="26"/>
      <c r="IG9" s="26"/>
      <c r="IH9" s="26"/>
      <c r="II9" s="26"/>
      <c r="IJ9" s="26"/>
      <c r="IK9" s="26"/>
      <c r="IL9" s="26"/>
      <c r="IM9" s="26"/>
      <c r="IN9" s="26"/>
      <c r="IO9" s="26"/>
      <c r="IP9" s="26"/>
      <c r="IQ9" s="26"/>
      <c r="IR9" s="26"/>
      <c r="IS9" s="26"/>
      <c r="IT9" s="26"/>
      <c r="IU9" s="26"/>
      <c r="IV9" s="26"/>
      <c r="IW9" s="26"/>
      <c r="IX9" s="26"/>
      <c r="IY9" s="26"/>
      <c r="IZ9" s="75"/>
    </row>
    <row r="10" spans="1:260" ht="15" customHeight="1"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t="s">
        <v>12</v>
      </c>
      <c r="AE10" s="86" t="s">
        <v>84</v>
      </c>
      <c r="AF10" s="86" t="s">
        <v>85</v>
      </c>
      <c r="AG10" s="86" t="s">
        <v>86</v>
      </c>
      <c r="AH10" s="86" t="s">
        <v>87</v>
      </c>
      <c r="AI10" s="86" t="s">
        <v>88</v>
      </c>
      <c r="AJ10" s="86" t="s">
        <v>89</v>
      </c>
      <c r="AK10" s="86" t="s">
        <v>90</v>
      </c>
      <c r="AL10" s="86" t="s">
        <v>91</v>
      </c>
      <c r="AM10" s="86" t="s">
        <v>92</v>
      </c>
      <c r="AN10" s="86" t="s">
        <v>93</v>
      </c>
      <c r="AO10" s="86" t="s">
        <v>94</v>
      </c>
      <c r="AP10" s="86" t="s">
        <v>95</v>
      </c>
      <c r="AQ10" s="86" t="s">
        <v>96</v>
      </c>
      <c r="AR10" s="86" t="s">
        <v>97</v>
      </c>
      <c r="AS10" s="86" t="s">
        <v>98</v>
      </c>
      <c r="AT10" s="86" t="s">
        <v>99</v>
      </c>
      <c r="AU10" s="86" t="s">
        <v>100</v>
      </c>
      <c r="AV10" s="86" t="s">
        <v>14</v>
      </c>
      <c r="AW10" s="86" t="s">
        <v>101</v>
      </c>
      <c r="AX10" s="86" t="s">
        <v>102</v>
      </c>
      <c r="AY10" s="86" t="s">
        <v>103</v>
      </c>
      <c r="AZ10" s="86" t="s">
        <v>104</v>
      </c>
      <c r="BA10" s="86" t="s">
        <v>105</v>
      </c>
      <c r="BB10" s="86" t="s">
        <v>106</v>
      </c>
      <c r="BC10" s="86" t="s">
        <v>107</v>
      </c>
      <c r="BD10" s="86"/>
      <c r="BE10" s="86"/>
      <c r="BF10" s="86"/>
      <c r="BG10" s="86"/>
      <c r="BH10" s="86"/>
      <c r="BI10" s="86"/>
      <c r="BJ10" s="86"/>
      <c r="BK10" s="86"/>
      <c r="BL10" s="86" t="s">
        <v>12</v>
      </c>
      <c r="BM10" s="86" t="s">
        <v>84</v>
      </c>
      <c r="BN10" s="86" t="s">
        <v>85</v>
      </c>
      <c r="BO10" s="86" t="s">
        <v>86</v>
      </c>
      <c r="BP10" s="86" t="s">
        <v>87</v>
      </c>
      <c r="BQ10" s="86" t="s">
        <v>88</v>
      </c>
      <c r="BR10" s="86" t="s">
        <v>89</v>
      </c>
      <c r="BS10" s="86" t="s">
        <v>90</v>
      </c>
      <c r="BT10" s="86" t="s">
        <v>91</v>
      </c>
      <c r="BU10" s="86" t="s">
        <v>92</v>
      </c>
      <c r="BV10" s="86" t="s">
        <v>93</v>
      </c>
      <c r="BW10" s="86" t="s">
        <v>94</v>
      </c>
      <c r="BX10" s="86" t="s">
        <v>95</v>
      </c>
      <c r="BY10" s="86" t="s">
        <v>96</v>
      </c>
      <c r="BZ10" s="86" t="s">
        <v>97</v>
      </c>
      <c r="CA10" s="86" t="s">
        <v>98</v>
      </c>
      <c r="CB10" s="86" t="s">
        <v>99</v>
      </c>
      <c r="CC10" s="86" t="s">
        <v>100</v>
      </c>
      <c r="CD10" s="86" t="s">
        <v>14</v>
      </c>
      <c r="CE10" s="86" t="s">
        <v>101</v>
      </c>
      <c r="CF10" s="86" t="s">
        <v>102</v>
      </c>
      <c r="CG10" s="86" t="s">
        <v>103</v>
      </c>
      <c r="CH10" s="86" t="s">
        <v>104</v>
      </c>
      <c r="CI10" s="86" t="s">
        <v>105</v>
      </c>
      <c r="CJ10" s="86" t="s">
        <v>106</v>
      </c>
      <c r="CK10" s="86" t="s">
        <v>107</v>
      </c>
      <c r="CL10" s="146"/>
      <c r="CM10" s="86" t="s">
        <v>84</v>
      </c>
      <c r="CN10" s="86" t="s">
        <v>85</v>
      </c>
      <c r="CO10" s="86" t="s">
        <v>86</v>
      </c>
      <c r="CP10" s="86" t="s">
        <v>87</v>
      </c>
      <c r="CQ10" s="86" t="s">
        <v>88</v>
      </c>
      <c r="CR10" s="86" t="s">
        <v>89</v>
      </c>
      <c r="CS10" s="86" t="s">
        <v>90</v>
      </c>
      <c r="CT10" s="86" t="s">
        <v>91</v>
      </c>
      <c r="CU10" s="86" t="s">
        <v>92</v>
      </c>
      <c r="CV10" s="86" t="s">
        <v>93</v>
      </c>
      <c r="CW10" s="86" t="s">
        <v>94</v>
      </c>
      <c r="CX10" s="86" t="s">
        <v>95</v>
      </c>
      <c r="CY10" s="86" t="s">
        <v>96</v>
      </c>
      <c r="CZ10" s="86" t="s">
        <v>97</v>
      </c>
      <c r="DA10" s="86" t="s">
        <v>98</v>
      </c>
      <c r="DB10" s="86" t="s">
        <v>99</v>
      </c>
      <c r="DC10" s="86" t="s">
        <v>100</v>
      </c>
      <c r="DD10" s="86" t="s">
        <v>14</v>
      </c>
      <c r="DE10" s="86" t="s">
        <v>101</v>
      </c>
      <c r="DF10" s="86" t="s">
        <v>102</v>
      </c>
      <c r="DG10" s="86" t="s">
        <v>103</v>
      </c>
      <c r="DH10" s="86" t="s">
        <v>104</v>
      </c>
      <c r="DI10" s="86" t="s">
        <v>105</v>
      </c>
      <c r="DJ10" s="86" t="s">
        <v>106</v>
      </c>
      <c r="DK10" s="86" t="s">
        <v>107</v>
      </c>
      <c r="DL10" s="86"/>
      <c r="DM10" s="86"/>
      <c r="DN10" s="86"/>
      <c r="DO10" s="86" t="s">
        <v>84</v>
      </c>
      <c r="DP10" s="86" t="s">
        <v>85</v>
      </c>
      <c r="DQ10" s="86" t="s">
        <v>86</v>
      </c>
      <c r="DR10" s="86" t="s">
        <v>87</v>
      </c>
      <c r="DS10" s="86" t="s">
        <v>88</v>
      </c>
      <c r="DT10" s="86" t="s">
        <v>89</v>
      </c>
      <c r="DU10" s="86" t="s">
        <v>90</v>
      </c>
      <c r="DV10" s="86" t="s">
        <v>91</v>
      </c>
      <c r="DW10" s="86" t="s">
        <v>92</v>
      </c>
      <c r="DX10" s="86" t="s">
        <v>93</v>
      </c>
      <c r="DY10" s="86" t="s">
        <v>94</v>
      </c>
      <c r="DZ10" s="86" t="s">
        <v>95</v>
      </c>
      <c r="EA10" s="86" t="s">
        <v>96</v>
      </c>
      <c r="EB10" s="86" t="s">
        <v>97</v>
      </c>
      <c r="EC10" s="86" t="s">
        <v>98</v>
      </c>
      <c r="ED10" s="86" t="s">
        <v>99</v>
      </c>
      <c r="EE10" s="86" t="s">
        <v>100</v>
      </c>
      <c r="EF10" s="86" t="s">
        <v>14</v>
      </c>
      <c r="EG10" s="86" t="s">
        <v>101</v>
      </c>
      <c r="EH10" s="86" t="s">
        <v>102</v>
      </c>
      <c r="EI10" s="86" t="s">
        <v>103</v>
      </c>
      <c r="EJ10" s="86" t="s">
        <v>104</v>
      </c>
      <c r="EK10" s="86" t="s">
        <v>105</v>
      </c>
      <c r="EL10" s="86" t="s">
        <v>106</v>
      </c>
      <c r="EM10" s="86" t="s">
        <v>107</v>
      </c>
      <c r="EN10" s="86"/>
      <c r="EO10" s="86"/>
      <c r="EP10" s="86"/>
      <c r="EQ10" s="86"/>
      <c r="ER10" s="86"/>
      <c r="ES10" s="86"/>
      <c r="ET10" s="86"/>
      <c r="EU10" s="86"/>
      <c r="EV10" s="86"/>
      <c r="EW10" s="86" t="s">
        <v>12</v>
      </c>
      <c r="EX10" s="86" t="s">
        <v>84</v>
      </c>
      <c r="EY10" s="86" t="s">
        <v>85</v>
      </c>
      <c r="EZ10" s="86" t="s">
        <v>86</v>
      </c>
      <c r="FA10" s="86" t="s">
        <v>87</v>
      </c>
      <c r="FB10" s="86" t="s">
        <v>88</v>
      </c>
      <c r="FC10" s="86" t="s">
        <v>89</v>
      </c>
      <c r="FD10" s="86" t="s">
        <v>90</v>
      </c>
      <c r="FE10" s="86" t="s">
        <v>91</v>
      </c>
      <c r="FF10" s="86" t="s">
        <v>92</v>
      </c>
      <c r="FG10" s="86" t="s">
        <v>93</v>
      </c>
      <c r="FH10" s="86" t="s">
        <v>94</v>
      </c>
      <c r="FI10" s="86" t="s">
        <v>95</v>
      </c>
      <c r="FJ10" s="86" t="s">
        <v>96</v>
      </c>
      <c r="FK10" s="86" t="s">
        <v>97</v>
      </c>
      <c r="FL10" s="86" t="s">
        <v>98</v>
      </c>
      <c r="FM10" s="86" t="s">
        <v>99</v>
      </c>
      <c r="FN10" s="86" t="s">
        <v>100</v>
      </c>
      <c r="FO10" s="86" t="s">
        <v>14</v>
      </c>
      <c r="FP10" s="86" t="s">
        <v>101</v>
      </c>
      <c r="FQ10" s="86" t="s">
        <v>102</v>
      </c>
      <c r="FR10" s="86" t="s">
        <v>103</v>
      </c>
      <c r="FS10" s="86" t="s">
        <v>104</v>
      </c>
      <c r="FT10" s="86" t="s">
        <v>105</v>
      </c>
      <c r="FU10" s="86" t="s">
        <v>106</v>
      </c>
      <c r="FV10" s="86" t="s">
        <v>107</v>
      </c>
      <c r="FW10" s="86"/>
      <c r="FX10" s="86" t="s">
        <v>12</v>
      </c>
      <c r="FY10" s="86" t="s">
        <v>84</v>
      </c>
      <c r="FZ10" s="86" t="s">
        <v>85</v>
      </c>
      <c r="GA10" s="86" t="s">
        <v>86</v>
      </c>
      <c r="GB10" s="86" t="s">
        <v>87</v>
      </c>
      <c r="GC10" s="86" t="s">
        <v>88</v>
      </c>
      <c r="GD10" s="86" t="s">
        <v>89</v>
      </c>
      <c r="GE10" s="86" t="s">
        <v>90</v>
      </c>
      <c r="GF10" s="86" t="s">
        <v>91</v>
      </c>
      <c r="GG10" s="86" t="s">
        <v>92</v>
      </c>
      <c r="GH10" s="86" t="s">
        <v>93</v>
      </c>
      <c r="GI10" s="86" t="s">
        <v>94</v>
      </c>
      <c r="GJ10" s="86" t="s">
        <v>95</v>
      </c>
      <c r="GK10" s="86" t="s">
        <v>96</v>
      </c>
      <c r="GL10" s="86" t="s">
        <v>97</v>
      </c>
      <c r="GM10" s="86" t="s">
        <v>98</v>
      </c>
      <c r="GN10" s="86" t="s">
        <v>99</v>
      </c>
      <c r="GO10" s="86" t="s">
        <v>100</v>
      </c>
      <c r="GP10" s="86" t="s">
        <v>14</v>
      </c>
      <c r="GQ10" s="86" t="s">
        <v>101</v>
      </c>
      <c r="GR10" s="86" t="s">
        <v>102</v>
      </c>
      <c r="GS10" s="86" t="s">
        <v>103</v>
      </c>
      <c r="GT10" s="86" t="s">
        <v>104</v>
      </c>
      <c r="GU10" s="86" t="s">
        <v>105</v>
      </c>
      <c r="GV10" s="86" t="s">
        <v>106</v>
      </c>
      <c r="GW10" s="86" t="s">
        <v>107</v>
      </c>
      <c r="GX10" s="86"/>
      <c r="GY10" s="86" t="s">
        <v>84</v>
      </c>
      <c r="GZ10" s="86" t="s">
        <v>85</v>
      </c>
      <c r="HA10" s="86" t="s">
        <v>86</v>
      </c>
      <c r="HB10" s="86" t="s">
        <v>87</v>
      </c>
      <c r="HC10" s="86" t="s">
        <v>88</v>
      </c>
      <c r="HD10" s="86" t="s">
        <v>89</v>
      </c>
      <c r="HE10" s="86" t="s">
        <v>90</v>
      </c>
      <c r="HF10" s="86" t="s">
        <v>91</v>
      </c>
      <c r="HG10" s="86" t="s">
        <v>92</v>
      </c>
      <c r="HH10" s="86" t="s">
        <v>93</v>
      </c>
      <c r="HI10" s="86" t="s">
        <v>94</v>
      </c>
      <c r="HJ10" s="86" t="s">
        <v>95</v>
      </c>
      <c r="HK10" s="86" t="s">
        <v>96</v>
      </c>
      <c r="HL10" s="86" t="s">
        <v>97</v>
      </c>
      <c r="HM10" s="86" t="s">
        <v>98</v>
      </c>
      <c r="HN10" s="86" t="s">
        <v>99</v>
      </c>
      <c r="HO10" s="86" t="s">
        <v>100</v>
      </c>
      <c r="HP10" s="86" t="s">
        <v>14</v>
      </c>
      <c r="HQ10" s="86" t="s">
        <v>101</v>
      </c>
      <c r="HR10" s="86" t="s">
        <v>102</v>
      </c>
      <c r="HS10" s="86" t="s">
        <v>103</v>
      </c>
      <c r="HT10" s="86" t="s">
        <v>104</v>
      </c>
      <c r="HU10" s="86" t="s">
        <v>105</v>
      </c>
      <c r="HV10" s="86" t="s">
        <v>106</v>
      </c>
      <c r="HW10" s="86" t="s">
        <v>107</v>
      </c>
      <c r="HX10" s="86"/>
      <c r="HY10" s="86"/>
      <c r="HZ10" s="86"/>
      <c r="IA10" s="9" t="s">
        <v>84</v>
      </c>
      <c r="IB10" s="9" t="s">
        <v>85</v>
      </c>
      <c r="IC10" s="9" t="s">
        <v>86</v>
      </c>
      <c r="ID10" s="9" t="s">
        <v>87</v>
      </c>
      <c r="IE10" s="9" t="s">
        <v>88</v>
      </c>
      <c r="IF10" s="9" t="s">
        <v>89</v>
      </c>
      <c r="IG10" s="9" t="s">
        <v>90</v>
      </c>
      <c r="IH10" s="9" t="s">
        <v>91</v>
      </c>
      <c r="II10" s="9" t="s">
        <v>92</v>
      </c>
      <c r="IJ10" s="9" t="s">
        <v>93</v>
      </c>
      <c r="IK10" s="9" t="s">
        <v>94</v>
      </c>
      <c r="IL10" s="9" t="s">
        <v>95</v>
      </c>
      <c r="IM10" s="9" t="s">
        <v>96</v>
      </c>
      <c r="IN10" s="9" t="s">
        <v>97</v>
      </c>
      <c r="IO10" s="9" t="s">
        <v>98</v>
      </c>
      <c r="IP10" s="9" t="s">
        <v>99</v>
      </c>
      <c r="IQ10" s="9" t="s">
        <v>100</v>
      </c>
      <c r="IR10" s="9" t="s">
        <v>14</v>
      </c>
      <c r="IS10" s="9" t="s">
        <v>101</v>
      </c>
      <c r="IT10" s="9" t="s">
        <v>102</v>
      </c>
      <c r="IU10" s="9" t="s">
        <v>103</v>
      </c>
      <c r="IV10" s="9" t="s">
        <v>104</v>
      </c>
      <c r="IW10" s="9" t="s">
        <v>105</v>
      </c>
      <c r="IX10" s="9" t="s">
        <v>106</v>
      </c>
      <c r="IY10" s="9" t="s">
        <v>107</v>
      </c>
      <c r="IZ10" s="130"/>
    </row>
    <row r="11" spans="1:260" s="144"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7"/>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187"/>
      <c r="BE11" s="206"/>
      <c r="BF11" s="187"/>
      <c r="BG11" s="206"/>
      <c r="BH11" s="220"/>
      <c r="BI11" s="206"/>
      <c r="BJ11" s="206"/>
      <c r="BK11" s="185"/>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8"/>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183"/>
      <c r="DM11" s="206"/>
      <c r="DN11" s="206"/>
      <c r="DO11" s="206"/>
      <c r="DP11" s="206"/>
      <c r="DQ11" s="206"/>
      <c r="DR11" s="206"/>
      <c r="DS11" s="206"/>
      <c r="DT11" s="206"/>
      <c r="DU11" s="206"/>
      <c r="DV11" s="206"/>
      <c r="DW11" s="206"/>
      <c r="DX11" s="206"/>
      <c r="DY11" s="206"/>
      <c r="DZ11" s="206"/>
      <c r="EA11" s="206"/>
      <c r="EB11" s="206"/>
      <c r="EC11" s="206"/>
      <c r="ED11" s="206"/>
      <c r="EE11" s="206"/>
      <c r="EF11" s="206"/>
      <c r="EG11" s="206"/>
      <c r="EH11" s="206"/>
      <c r="EI11" s="206"/>
      <c r="EJ11" s="206"/>
      <c r="EK11" s="206"/>
      <c r="EL11" s="206"/>
      <c r="EM11" s="206"/>
      <c r="EN11" s="206"/>
      <c r="EO11" s="187"/>
      <c r="EP11" s="206"/>
      <c r="EQ11" s="188"/>
      <c r="ER11" s="206"/>
      <c r="ES11" s="188"/>
      <c r="ET11" s="206"/>
      <c r="EU11" s="20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206"/>
      <c r="FY11" s="206"/>
      <c r="FZ11" s="206"/>
      <c r="GA11" s="206"/>
      <c r="GB11" s="206"/>
      <c r="GC11" s="206"/>
      <c r="GD11" s="206"/>
      <c r="GE11" s="206"/>
      <c r="GF11" s="206"/>
      <c r="GG11" s="206"/>
      <c r="GH11" s="206"/>
      <c r="GI11" s="206"/>
      <c r="GJ11" s="206"/>
      <c r="GK11" s="206"/>
      <c r="GL11" s="206"/>
      <c r="GM11" s="206"/>
      <c r="GN11" s="206"/>
      <c r="GO11" s="206"/>
      <c r="GP11" s="206"/>
      <c r="GQ11" s="206"/>
      <c r="GR11" s="206"/>
      <c r="GS11" s="206"/>
      <c r="GT11" s="206"/>
      <c r="GU11" s="206"/>
      <c r="GV11" s="206"/>
      <c r="GW11" s="20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206"/>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22"/>
    </row>
    <row r="12" spans="1:260" s="119" customFormat="1" ht="43.5" hidden="1" customHeight="1">
      <c r="A12" s="81"/>
      <c r="B12" s="81" t="s">
        <v>1213</v>
      </c>
      <c r="C12" s="81" t="s">
        <v>1214</v>
      </c>
      <c r="D12" s="81" t="s">
        <v>1215</v>
      </c>
      <c r="E12" s="81" t="s">
        <v>1216</v>
      </c>
      <c r="F12" s="81" t="s">
        <v>1217</v>
      </c>
      <c r="G12" s="81" t="s">
        <v>1218</v>
      </c>
      <c r="H12" s="81" t="s">
        <v>1219</v>
      </c>
      <c r="I12" s="81" t="s">
        <v>1220</v>
      </c>
      <c r="J12" s="81" t="s">
        <v>1221</v>
      </c>
      <c r="K12" s="81" t="s">
        <v>1222</v>
      </c>
      <c r="L12" s="81" t="s">
        <v>1223</v>
      </c>
      <c r="M12" s="81" t="s">
        <v>1224</v>
      </c>
      <c r="N12" s="81" t="s">
        <v>1225</v>
      </c>
      <c r="O12" s="81" t="s">
        <v>1226</v>
      </c>
      <c r="P12" s="81" t="s">
        <v>1227</v>
      </c>
      <c r="Q12" s="81" t="s">
        <v>1228</v>
      </c>
      <c r="R12" s="81" t="s">
        <v>1229</v>
      </c>
      <c r="S12" s="81" t="s">
        <v>1230</v>
      </c>
      <c r="T12" s="81" t="s">
        <v>1231</v>
      </c>
      <c r="U12" s="81" t="s">
        <v>1232</v>
      </c>
      <c r="V12" s="81" t="s">
        <v>1233</v>
      </c>
      <c r="W12" s="81" t="s">
        <v>1234</v>
      </c>
      <c r="X12" s="81" t="s">
        <v>1235</v>
      </c>
      <c r="Y12" s="81" t="s">
        <v>1236</v>
      </c>
      <c r="Z12" s="81" t="s">
        <v>1237</v>
      </c>
      <c r="AA12" s="81" t="s">
        <v>1238</v>
      </c>
      <c r="AB12" s="89" t="s">
        <v>1239</v>
      </c>
      <c r="AC12" s="81" t="s">
        <v>1240</v>
      </c>
      <c r="AD12" s="81" t="s">
        <v>1241</v>
      </c>
      <c r="AE12" s="81" t="s">
        <v>1242</v>
      </c>
      <c r="AF12" s="81" t="s">
        <v>1243</v>
      </c>
      <c r="AG12" s="81" t="s">
        <v>1244</v>
      </c>
      <c r="AH12" s="81" t="s">
        <v>1245</v>
      </c>
      <c r="AI12" s="81" t="s">
        <v>1246</v>
      </c>
      <c r="AJ12" s="81" t="s">
        <v>1247</v>
      </c>
      <c r="AK12" s="81" t="s">
        <v>1248</v>
      </c>
      <c r="AL12" s="81" t="s">
        <v>1249</v>
      </c>
      <c r="AM12" s="81" t="s">
        <v>1250</v>
      </c>
      <c r="AN12" s="81" t="s">
        <v>1251</v>
      </c>
      <c r="AO12" s="81" t="s">
        <v>1252</v>
      </c>
      <c r="AP12" s="81" t="s">
        <v>1253</v>
      </c>
      <c r="AQ12" s="81" t="s">
        <v>1254</v>
      </c>
      <c r="AR12" s="81" t="s">
        <v>1255</v>
      </c>
      <c r="AS12" s="81" t="s">
        <v>1256</v>
      </c>
      <c r="AT12" s="81" t="s">
        <v>1257</v>
      </c>
      <c r="AU12" s="81" t="s">
        <v>1258</v>
      </c>
      <c r="AV12" s="81" t="s">
        <v>1259</v>
      </c>
      <c r="AW12" s="81" t="s">
        <v>1260</v>
      </c>
      <c r="AX12" s="81" t="s">
        <v>1261</v>
      </c>
      <c r="AY12" s="81" t="s">
        <v>1262</v>
      </c>
      <c r="AZ12" s="81" t="s">
        <v>1263</v>
      </c>
      <c r="BA12" s="81" t="s">
        <v>1264</v>
      </c>
      <c r="BB12" s="81" t="s">
        <v>1265</v>
      </c>
      <c r="BC12" s="81" t="s">
        <v>1266</v>
      </c>
      <c r="BD12" s="92" t="s">
        <v>1267</v>
      </c>
      <c r="BE12" s="81" t="s">
        <v>1268</v>
      </c>
      <c r="BF12" s="81" t="s">
        <v>1269</v>
      </c>
      <c r="BG12" s="81" t="s">
        <v>1270</v>
      </c>
      <c r="BH12" s="81" t="s">
        <v>1271</v>
      </c>
      <c r="BI12" s="81" t="s">
        <v>1272</v>
      </c>
      <c r="BJ12" s="81" t="s">
        <v>1273</v>
      </c>
      <c r="BK12" s="120" t="s">
        <v>1274</v>
      </c>
      <c r="BL12" s="120" t="s">
        <v>1275</v>
      </c>
      <c r="BM12" s="120" t="s">
        <v>1276</v>
      </c>
      <c r="BN12" s="120" t="s">
        <v>1277</v>
      </c>
      <c r="BO12" s="120" t="s">
        <v>1278</v>
      </c>
      <c r="BP12" s="120" t="s">
        <v>1279</v>
      </c>
      <c r="BQ12" s="120" t="s">
        <v>1280</v>
      </c>
      <c r="BR12" s="120" t="s">
        <v>1281</v>
      </c>
      <c r="BS12" s="120" t="s">
        <v>1282</v>
      </c>
      <c r="BT12" s="120" t="s">
        <v>1283</v>
      </c>
      <c r="BU12" s="120" t="s">
        <v>1284</v>
      </c>
      <c r="BV12" s="120" t="s">
        <v>1285</v>
      </c>
      <c r="BW12" s="120" t="s">
        <v>1286</v>
      </c>
      <c r="BX12" s="120" t="s">
        <v>1287</v>
      </c>
      <c r="BY12" s="120" t="s">
        <v>1288</v>
      </c>
      <c r="BZ12" s="120" t="s">
        <v>1289</v>
      </c>
      <c r="CA12" s="120" t="s">
        <v>1290</v>
      </c>
      <c r="CB12" s="120" t="s">
        <v>1291</v>
      </c>
      <c r="CC12" s="120" t="s">
        <v>1292</v>
      </c>
      <c r="CD12" s="120" t="s">
        <v>1293</v>
      </c>
      <c r="CE12" s="120" t="s">
        <v>1294</v>
      </c>
      <c r="CF12" s="120" t="s">
        <v>1295</v>
      </c>
      <c r="CG12" s="120" t="s">
        <v>1296</v>
      </c>
      <c r="CH12" s="120" t="s">
        <v>1297</v>
      </c>
      <c r="CI12" s="120" t="s">
        <v>1298</v>
      </c>
      <c r="CJ12" s="120" t="s">
        <v>1299</v>
      </c>
      <c r="CK12" s="120" t="s">
        <v>1300</v>
      </c>
      <c r="CL12" s="149" t="s">
        <v>1301</v>
      </c>
      <c r="CM12" s="81" t="s">
        <v>1302</v>
      </c>
      <c r="CN12" s="81" t="s">
        <v>1303</v>
      </c>
      <c r="CO12" s="81" t="s">
        <v>1304</v>
      </c>
      <c r="CP12" s="81" t="s">
        <v>1305</v>
      </c>
      <c r="CQ12" s="81" t="s">
        <v>1306</v>
      </c>
      <c r="CR12" s="81" t="s">
        <v>1307</v>
      </c>
      <c r="CS12" s="81" t="s">
        <v>1308</v>
      </c>
      <c r="CT12" s="81" t="s">
        <v>1309</v>
      </c>
      <c r="CU12" s="81" t="s">
        <v>1310</v>
      </c>
      <c r="CV12" s="81" t="s">
        <v>1311</v>
      </c>
      <c r="CW12" s="81" t="s">
        <v>1312</v>
      </c>
      <c r="CX12" s="81" t="s">
        <v>1313</v>
      </c>
      <c r="CY12" s="81" t="s">
        <v>1314</v>
      </c>
      <c r="CZ12" s="81" t="s">
        <v>1315</v>
      </c>
      <c r="DA12" s="81" t="s">
        <v>1316</v>
      </c>
      <c r="DB12" s="81" t="s">
        <v>1317</v>
      </c>
      <c r="DC12" s="81" t="s">
        <v>1318</v>
      </c>
      <c r="DD12" s="81" t="s">
        <v>1319</v>
      </c>
      <c r="DE12" s="81" t="s">
        <v>1320</v>
      </c>
      <c r="DF12" s="81" t="s">
        <v>1321</v>
      </c>
      <c r="DG12" s="81" t="s">
        <v>1322</v>
      </c>
      <c r="DH12" s="81" t="s">
        <v>1323</v>
      </c>
      <c r="DI12" s="81" t="s">
        <v>1324</v>
      </c>
      <c r="DJ12" s="81" t="s">
        <v>1325</v>
      </c>
      <c r="DK12" s="81" t="s">
        <v>1326</v>
      </c>
      <c r="DL12" s="81" t="s">
        <v>1327</v>
      </c>
      <c r="DM12" s="81" t="s">
        <v>1328</v>
      </c>
      <c r="DN12" s="81" t="s">
        <v>1329</v>
      </c>
      <c r="DO12" s="81" t="s">
        <v>1330</v>
      </c>
      <c r="DP12" s="81" t="s">
        <v>1331</v>
      </c>
      <c r="DQ12" s="81" t="s">
        <v>1332</v>
      </c>
      <c r="DR12" s="81" t="s">
        <v>1333</v>
      </c>
      <c r="DS12" s="81" t="s">
        <v>1334</v>
      </c>
      <c r="DT12" s="81" t="s">
        <v>1335</v>
      </c>
      <c r="DU12" s="81" t="s">
        <v>1336</v>
      </c>
      <c r="DV12" s="81" t="s">
        <v>1337</v>
      </c>
      <c r="DW12" s="81" t="s">
        <v>1338</v>
      </c>
      <c r="DX12" s="81" t="s">
        <v>1339</v>
      </c>
      <c r="DY12" s="81" t="s">
        <v>1340</v>
      </c>
      <c r="DZ12" s="81" t="s">
        <v>1341</v>
      </c>
      <c r="EA12" s="81" t="s">
        <v>1342</v>
      </c>
      <c r="EB12" s="81" t="s">
        <v>1343</v>
      </c>
      <c r="EC12" s="81" t="s">
        <v>1344</v>
      </c>
      <c r="ED12" s="81" t="s">
        <v>1345</v>
      </c>
      <c r="EE12" s="81" t="s">
        <v>1346</v>
      </c>
      <c r="EF12" s="81" t="s">
        <v>1347</v>
      </c>
      <c r="EG12" s="81" t="s">
        <v>1348</v>
      </c>
      <c r="EH12" s="81" t="s">
        <v>1349</v>
      </c>
      <c r="EI12" s="81" t="s">
        <v>1350</v>
      </c>
      <c r="EJ12" s="81" t="s">
        <v>1351</v>
      </c>
      <c r="EK12" s="81" t="s">
        <v>1352</v>
      </c>
      <c r="EL12" s="81" t="s">
        <v>1353</v>
      </c>
      <c r="EM12" s="81" t="s">
        <v>1354</v>
      </c>
      <c r="EN12" s="81" t="s">
        <v>1355</v>
      </c>
      <c r="EO12" s="81" t="s">
        <v>1356</v>
      </c>
      <c r="EP12" s="81" t="s">
        <v>1357</v>
      </c>
      <c r="EQ12" s="81" t="s">
        <v>1358</v>
      </c>
      <c r="ER12" s="81" t="s">
        <v>1359</v>
      </c>
      <c r="ES12" s="81" t="s">
        <v>238</v>
      </c>
      <c r="ET12" s="81" t="s">
        <v>239</v>
      </c>
      <c r="EU12" s="81" t="s">
        <v>1360</v>
      </c>
      <c r="EV12" s="148" t="s">
        <v>1361</v>
      </c>
      <c r="EW12" s="111" t="s">
        <v>1362</v>
      </c>
      <c r="EX12" s="111" t="s">
        <v>1363</v>
      </c>
      <c r="EY12" s="111" t="s">
        <v>1364</v>
      </c>
      <c r="EZ12" s="111" t="s">
        <v>1365</v>
      </c>
      <c r="FA12" s="111" t="s">
        <v>1366</v>
      </c>
      <c r="FB12" s="111" t="s">
        <v>1367</v>
      </c>
      <c r="FC12" s="111" t="s">
        <v>1368</v>
      </c>
      <c r="FD12" s="111" t="s">
        <v>1369</v>
      </c>
      <c r="FE12" s="111" t="s">
        <v>1370</v>
      </c>
      <c r="FF12" s="111" t="s">
        <v>1371</v>
      </c>
      <c r="FG12" s="111" t="s">
        <v>1372</v>
      </c>
      <c r="FH12" s="111" t="s">
        <v>1373</v>
      </c>
      <c r="FI12" s="111" t="s">
        <v>1374</v>
      </c>
      <c r="FJ12" s="111" t="s">
        <v>1375</v>
      </c>
      <c r="FK12" s="111" t="s">
        <v>1376</v>
      </c>
      <c r="FL12" s="111" t="s">
        <v>1377</v>
      </c>
      <c r="FM12" s="111" t="s">
        <v>1378</v>
      </c>
      <c r="FN12" s="111" t="s">
        <v>1379</v>
      </c>
      <c r="FO12" s="111" t="s">
        <v>1380</v>
      </c>
      <c r="FP12" s="111" t="s">
        <v>1381</v>
      </c>
      <c r="FQ12" s="111" t="s">
        <v>1382</v>
      </c>
      <c r="FR12" s="111" t="s">
        <v>1383</v>
      </c>
      <c r="FS12" s="111" t="s">
        <v>1384</v>
      </c>
      <c r="FT12" s="111" t="s">
        <v>1385</v>
      </c>
      <c r="FU12" s="111" t="s">
        <v>1386</v>
      </c>
      <c r="FV12" s="111" t="s">
        <v>1387</v>
      </c>
      <c r="FW12" s="111" t="s">
        <v>1388</v>
      </c>
      <c r="FX12" s="111" t="s">
        <v>1389</v>
      </c>
      <c r="FY12" s="120" t="s">
        <v>1390</v>
      </c>
      <c r="FZ12" s="120" t="s">
        <v>1391</v>
      </c>
      <c r="GA12" s="120" t="s">
        <v>1392</v>
      </c>
      <c r="GB12" s="120" t="s">
        <v>1393</v>
      </c>
      <c r="GC12" s="120" t="s">
        <v>1394</v>
      </c>
      <c r="GD12" s="120" t="s">
        <v>1395</v>
      </c>
      <c r="GE12" s="120" t="s">
        <v>1396</v>
      </c>
      <c r="GF12" s="120" t="s">
        <v>1397</v>
      </c>
      <c r="GG12" s="120" t="s">
        <v>1398</v>
      </c>
      <c r="GH12" s="120" t="s">
        <v>1399</v>
      </c>
      <c r="GI12" s="120" t="s">
        <v>1400</v>
      </c>
      <c r="GJ12" s="120" t="s">
        <v>1401</v>
      </c>
      <c r="GK12" s="120" t="s">
        <v>1402</v>
      </c>
      <c r="GL12" s="120" t="s">
        <v>1403</v>
      </c>
      <c r="GM12" s="120" t="s">
        <v>1404</v>
      </c>
      <c r="GN12" s="120" t="s">
        <v>1405</v>
      </c>
      <c r="GO12" s="120" t="s">
        <v>1406</v>
      </c>
      <c r="GP12" s="120" t="s">
        <v>1407</v>
      </c>
      <c r="GQ12" s="120" t="s">
        <v>1408</v>
      </c>
      <c r="GR12" s="120" t="s">
        <v>1409</v>
      </c>
      <c r="GS12" s="120" t="s">
        <v>1410</v>
      </c>
      <c r="GT12" s="120" t="s">
        <v>1411</v>
      </c>
      <c r="GU12" s="120" t="s">
        <v>1412</v>
      </c>
      <c r="GV12" s="120" t="s">
        <v>1413</v>
      </c>
      <c r="GW12" s="120" t="s">
        <v>1414</v>
      </c>
      <c r="GX12" s="81" t="s">
        <v>1415</v>
      </c>
      <c r="GY12" s="81" t="s">
        <v>1416</v>
      </c>
      <c r="GZ12" s="81" t="s">
        <v>1417</v>
      </c>
      <c r="HA12" s="81" t="s">
        <v>1418</v>
      </c>
      <c r="HB12" s="81" t="s">
        <v>1419</v>
      </c>
      <c r="HC12" s="81" t="s">
        <v>1420</v>
      </c>
      <c r="HD12" s="81" t="s">
        <v>1421</v>
      </c>
      <c r="HE12" s="81" t="s">
        <v>1422</v>
      </c>
      <c r="HF12" s="81" t="s">
        <v>1423</v>
      </c>
      <c r="HG12" s="81" t="s">
        <v>1424</v>
      </c>
      <c r="HH12" s="81" t="s">
        <v>1425</v>
      </c>
      <c r="HI12" s="81" t="s">
        <v>1426</v>
      </c>
      <c r="HJ12" s="81" t="s">
        <v>1427</v>
      </c>
      <c r="HK12" s="81" t="s">
        <v>1428</v>
      </c>
      <c r="HL12" s="81" t="s">
        <v>1429</v>
      </c>
      <c r="HM12" s="81" t="s">
        <v>1430</v>
      </c>
      <c r="HN12" s="81" t="s">
        <v>1431</v>
      </c>
      <c r="HO12" s="81" t="s">
        <v>1432</v>
      </c>
      <c r="HP12" s="81" t="s">
        <v>1433</v>
      </c>
      <c r="HQ12" s="81" t="s">
        <v>1434</v>
      </c>
      <c r="HR12" s="81" t="s">
        <v>1435</v>
      </c>
      <c r="HS12" s="81" t="s">
        <v>1436</v>
      </c>
      <c r="HT12" s="81" t="s">
        <v>1437</v>
      </c>
      <c r="HU12" s="81" t="s">
        <v>1438</v>
      </c>
      <c r="HV12" s="81" t="s">
        <v>1439</v>
      </c>
      <c r="HW12" s="81" t="s">
        <v>1440</v>
      </c>
      <c r="HX12" s="81" t="s">
        <v>1441</v>
      </c>
      <c r="HY12" s="81" t="s">
        <v>1442</v>
      </c>
      <c r="HZ12" s="81" t="s">
        <v>1443</v>
      </c>
      <c r="IA12" s="81" t="s">
        <v>1444</v>
      </c>
      <c r="IB12" s="81" t="s">
        <v>1445</v>
      </c>
      <c r="IC12" s="81" t="s">
        <v>1446</v>
      </c>
      <c r="ID12" s="81" t="s">
        <v>1447</v>
      </c>
      <c r="IE12" s="81" t="s">
        <v>1448</v>
      </c>
      <c r="IF12" s="81" t="s">
        <v>1449</v>
      </c>
      <c r="IG12" s="81" t="s">
        <v>1450</v>
      </c>
      <c r="IH12" s="81" t="s">
        <v>1451</v>
      </c>
      <c r="II12" s="81" t="s">
        <v>1452</v>
      </c>
      <c r="IJ12" s="81" t="s">
        <v>1453</v>
      </c>
      <c r="IK12" s="81" t="s">
        <v>1454</v>
      </c>
      <c r="IL12" s="81" t="s">
        <v>1455</v>
      </c>
      <c r="IM12" s="81" t="s">
        <v>1456</v>
      </c>
      <c r="IN12" s="81" t="s">
        <v>1457</v>
      </c>
      <c r="IO12" s="81" t="s">
        <v>1458</v>
      </c>
      <c r="IP12" s="81" t="s">
        <v>1459</v>
      </c>
      <c r="IQ12" s="81" t="s">
        <v>1460</v>
      </c>
      <c r="IR12" s="81" t="s">
        <v>1461</v>
      </c>
      <c r="IS12" s="81" t="s">
        <v>1462</v>
      </c>
      <c r="IT12" s="81" t="s">
        <v>1463</v>
      </c>
      <c r="IU12" s="81" t="s">
        <v>1464</v>
      </c>
      <c r="IV12" s="81" t="s">
        <v>1465</v>
      </c>
      <c r="IW12" s="81" t="s">
        <v>1466</v>
      </c>
      <c r="IX12" s="81" t="s">
        <v>1467</v>
      </c>
      <c r="IY12" s="81" t="s">
        <v>1468</v>
      </c>
      <c r="IZ12" s="117"/>
    </row>
    <row r="13" spans="1:260" ht="29.1" customHeight="1">
      <c r="B13" s="248"/>
      <c r="AB13" s="89" t="str">
        <f t="shared" ref="AB13" si="0">IF(ISBLANK(AB$11),"",AB$11)</f>
        <v/>
      </c>
      <c r="AC13" s="89"/>
      <c r="AD13" s="89"/>
      <c r="BD13" s="89" t="str">
        <f>IF(ISBLANK(BD$11),"",BD$11)</f>
        <v/>
      </c>
      <c r="BE13" s="81" t="str" cm="1">
        <f t="array" ref="BE13">MultiMatch(Assessments[[#This Row],[Assessment.assessedBy.Reference.Organisation.]],OrganisationNames,0)</f>
        <v/>
      </c>
      <c r="BF13" s="89" t="str">
        <f>IF(ISBLANK(BF$11),"",BF$11)</f>
        <v/>
      </c>
      <c r="BG13" s="81" t="str" cm="1">
        <f t="array" ref="BG13">MultiMatch(Assessments[[#This Row],[Assessment.idVerification.Reference.name.]],Vocabularies[name],0)</f>
        <v/>
      </c>
      <c r="BH13" s="90" t="str">
        <f>IF(ISBLANK(BH$11),"",(BH$11))</f>
        <v/>
      </c>
      <c r="BI13" s="89"/>
      <c r="BJ13" s="81" t="str" cm="1">
        <f t="array" ref="BJ13">MultiMatch(Assessments[[#This Row],[Assessment.hasPart.MultiReference.Assessment.]],AssessmentNames,0)</f>
        <v/>
      </c>
      <c r="BK13" s="89" t="str">
        <f t="shared" ref="BK13" si="1">IF(ISBLANK(BK$11),"",BK$11)</f>
        <v/>
      </c>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147" t="str">
        <f>IF(ISBLANK(Assessments[[#This Row],[Assessment.title.Property.content.en]]),"",Assessments[[#This Row],[Assessment.title.Property.content.en]])</f>
        <v/>
      </c>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t="str">
        <f>IF(ISBLANK(DL$11),"",DL$11)</f>
        <v/>
      </c>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106"/>
      <c r="EO13" s="89" t="str">
        <f>IF(ISBLANK(EO$11),"",EO$11)</f>
        <v/>
      </c>
      <c r="EP13" s="89" t="str" cm="1">
        <f t="array" ref="EP13">MultiMatch(Assessments[[#This Row],[Assessment.specifiedBy.language.Multireference.]],Vocabularies[name],0)</f>
        <v/>
      </c>
      <c r="EQ13" s="89" t="str">
        <f>IF(ISBLANK(EQ$11),"",EQ$11)</f>
        <v/>
      </c>
      <c r="ER13" s="89" t="str" cm="1">
        <f t="array" ref="ER13">MultiMatch(Assessments[[#This Row],[Assessment.specifiedBy.mode.Multireference.]],Vocabularies[name],0)</f>
        <v/>
      </c>
      <c r="ES13" s="89" t="str">
        <f>IF(ISBLANK(ES$11),"",ES$11)</f>
        <v/>
      </c>
      <c r="ET13" s="89" t="str" cm="1">
        <f t="array" ref="ET13">MultiMatch(Assessments[[#This Row],[Column2]],Vocabularies[name],0)</f>
        <v/>
      </c>
      <c r="EU13" s="106"/>
      <c r="EV13" s="89" t="str">
        <f t="shared" ref="EV13" si="2">IF(ISBLANK(EV$11),"",EV$11)</f>
        <v/>
      </c>
      <c r="EW13" s="89" t="str">
        <f t="shared" ref="EW13:FV13" si="3">IF(ISBLANK(EW$11),"",EW$11)</f>
        <v/>
      </c>
      <c r="EX13" s="89" t="str">
        <f t="shared" si="3"/>
        <v/>
      </c>
      <c r="EY13" s="89" t="str">
        <f t="shared" si="3"/>
        <v/>
      </c>
      <c r="EZ13" s="89" t="str">
        <f t="shared" si="3"/>
        <v/>
      </c>
      <c r="FA13" s="89" t="str">
        <f t="shared" si="3"/>
        <v/>
      </c>
      <c r="FB13" s="89" t="str">
        <f t="shared" si="3"/>
        <v/>
      </c>
      <c r="FC13" s="89" t="str">
        <f t="shared" si="3"/>
        <v/>
      </c>
      <c r="FD13" s="89" t="str">
        <f t="shared" si="3"/>
        <v/>
      </c>
      <c r="FE13" s="89" t="str">
        <f t="shared" si="3"/>
        <v/>
      </c>
      <c r="FF13" s="89" t="str">
        <f t="shared" si="3"/>
        <v/>
      </c>
      <c r="FG13" s="89" t="str">
        <f t="shared" si="3"/>
        <v/>
      </c>
      <c r="FH13" s="89" t="str">
        <f t="shared" si="3"/>
        <v/>
      </c>
      <c r="FI13" s="89" t="str">
        <f t="shared" si="3"/>
        <v/>
      </c>
      <c r="FJ13" s="89" t="str">
        <f t="shared" si="3"/>
        <v/>
      </c>
      <c r="FK13" s="89" t="str">
        <f t="shared" si="3"/>
        <v/>
      </c>
      <c r="FL13" s="89" t="str">
        <f t="shared" si="3"/>
        <v/>
      </c>
      <c r="FM13" s="89" t="str">
        <f t="shared" si="3"/>
        <v/>
      </c>
      <c r="FN13" s="89" t="str">
        <f t="shared" si="3"/>
        <v/>
      </c>
      <c r="FO13" s="89" t="str">
        <f t="shared" si="3"/>
        <v/>
      </c>
      <c r="FP13" s="89" t="str">
        <f t="shared" si="3"/>
        <v/>
      </c>
      <c r="FQ13" s="89" t="str">
        <f t="shared" si="3"/>
        <v/>
      </c>
      <c r="FR13" s="89" t="str">
        <f t="shared" si="3"/>
        <v/>
      </c>
      <c r="FS13" s="89" t="str">
        <f t="shared" si="3"/>
        <v/>
      </c>
      <c r="FT13" s="89" t="str">
        <f t="shared" si="3"/>
        <v/>
      </c>
      <c r="FU13" s="89" t="str">
        <f t="shared" si="3"/>
        <v/>
      </c>
      <c r="FV13" s="89" t="str">
        <f t="shared" si="3"/>
        <v/>
      </c>
      <c r="FW13" s="89" t="str">
        <f t="shared" ref="FW13" si="4">IF(ISBLANK(FW$11),"",FW$11)</f>
        <v/>
      </c>
      <c r="FX13" s="89"/>
      <c r="FY13" s="89"/>
      <c r="FZ13" s="89"/>
      <c r="GA13" s="89"/>
      <c r="GB13" s="89"/>
      <c r="GC13" s="89"/>
      <c r="GD13" s="89"/>
      <c r="GE13" s="89"/>
      <c r="GF13" s="89"/>
      <c r="GG13" s="89"/>
      <c r="GH13" s="89"/>
      <c r="GI13" s="89"/>
      <c r="GJ13" s="89"/>
      <c r="GK13" s="89"/>
      <c r="GL13" s="89"/>
      <c r="GM13" s="89"/>
      <c r="GN13" s="89"/>
      <c r="GO13" s="89"/>
      <c r="GP13" s="89"/>
      <c r="GQ13" s="89"/>
      <c r="GR13" s="89"/>
      <c r="GS13" s="89"/>
      <c r="GT13" s="89"/>
      <c r="GU13" s="89"/>
      <c r="GV13" s="89"/>
      <c r="GW13" s="89"/>
      <c r="GX13" s="89" t="str">
        <f>IF(ISBLANK(GX$11),"",GX$11)</f>
        <v/>
      </c>
      <c r="GY13" s="89" t="str">
        <f t="shared" ref="GY13:HW13" si="5">IF(ISBLANK(GY$11),"",GY$11)</f>
        <v/>
      </c>
      <c r="GZ13" s="89" t="str">
        <f t="shared" si="5"/>
        <v/>
      </c>
      <c r="HA13" s="89" t="str">
        <f t="shared" si="5"/>
        <v/>
      </c>
      <c r="HB13" s="89" t="str">
        <f t="shared" si="5"/>
        <v/>
      </c>
      <c r="HC13" s="89" t="str">
        <f t="shared" si="5"/>
        <v/>
      </c>
      <c r="HD13" s="89" t="str">
        <f t="shared" si="5"/>
        <v/>
      </c>
      <c r="HE13" s="89" t="str">
        <f t="shared" si="5"/>
        <v/>
      </c>
      <c r="HF13" s="89" t="str">
        <f t="shared" si="5"/>
        <v/>
      </c>
      <c r="HG13" s="89" t="str">
        <f t="shared" si="5"/>
        <v/>
      </c>
      <c r="HH13" s="89" t="str">
        <f t="shared" si="5"/>
        <v/>
      </c>
      <c r="HI13" s="89" t="str">
        <f t="shared" si="5"/>
        <v/>
      </c>
      <c r="HJ13" s="89" t="str">
        <f t="shared" si="5"/>
        <v/>
      </c>
      <c r="HK13" s="89" t="str">
        <f t="shared" si="5"/>
        <v/>
      </c>
      <c r="HL13" s="89" t="str">
        <f t="shared" si="5"/>
        <v/>
      </c>
      <c r="HM13" s="89" t="str">
        <f t="shared" si="5"/>
        <v/>
      </c>
      <c r="HN13" s="89" t="str">
        <f t="shared" si="5"/>
        <v/>
      </c>
      <c r="HO13" s="89" t="str">
        <f t="shared" si="5"/>
        <v/>
      </c>
      <c r="HP13" s="89" t="str">
        <f t="shared" si="5"/>
        <v/>
      </c>
      <c r="HQ13" s="89" t="str">
        <f t="shared" si="5"/>
        <v/>
      </c>
      <c r="HR13" s="89" t="str">
        <f t="shared" si="5"/>
        <v/>
      </c>
      <c r="HS13" s="89" t="str">
        <f t="shared" si="5"/>
        <v/>
      </c>
      <c r="HT13" s="89" t="str">
        <f t="shared" si="5"/>
        <v/>
      </c>
      <c r="HU13" s="89" t="str">
        <f t="shared" si="5"/>
        <v/>
      </c>
      <c r="HV13" s="89" t="str">
        <f t="shared" si="5"/>
        <v/>
      </c>
      <c r="HW13" s="89" t="str">
        <f t="shared" si="5"/>
        <v/>
      </c>
      <c r="HX13" s="89" t="str">
        <f>IF(ISBLANK(HX$11),"",HX$11)</f>
        <v/>
      </c>
      <c r="HY13" s="89"/>
      <c r="HZ13" s="89" t="str">
        <f>IF(ISBLANK(HZ$11),"",HZ$11)</f>
        <v/>
      </c>
      <c r="IA13" s="89" t="str">
        <f t="shared" ref="IA13:IY13" si="6">IF(ISBLANK(IA$11),"",IA$11)</f>
        <v/>
      </c>
      <c r="IB13" s="89" t="str">
        <f t="shared" si="6"/>
        <v/>
      </c>
      <c r="IC13" s="89" t="str">
        <f t="shared" si="6"/>
        <v/>
      </c>
      <c r="ID13" s="89" t="str">
        <f t="shared" si="6"/>
        <v/>
      </c>
      <c r="IE13" s="89" t="str">
        <f t="shared" si="6"/>
        <v/>
      </c>
      <c r="IF13" s="89" t="str">
        <f t="shared" si="6"/>
        <v/>
      </c>
      <c r="IG13" s="89" t="str">
        <f t="shared" si="6"/>
        <v/>
      </c>
      <c r="IH13" s="89" t="str">
        <f t="shared" si="6"/>
        <v/>
      </c>
      <c r="II13" s="89" t="str">
        <f t="shared" si="6"/>
        <v/>
      </c>
      <c r="IJ13" s="89" t="str">
        <f t="shared" si="6"/>
        <v/>
      </c>
      <c r="IK13" s="89" t="str">
        <f t="shared" si="6"/>
        <v/>
      </c>
      <c r="IL13" s="89" t="str">
        <f t="shared" si="6"/>
        <v/>
      </c>
      <c r="IM13" s="89" t="str">
        <f t="shared" si="6"/>
        <v/>
      </c>
      <c r="IN13" s="89" t="str">
        <f t="shared" si="6"/>
        <v/>
      </c>
      <c r="IO13" s="89" t="str">
        <f t="shared" si="6"/>
        <v/>
      </c>
      <c r="IP13" s="89" t="str">
        <f t="shared" si="6"/>
        <v/>
      </c>
      <c r="IQ13" s="89" t="str">
        <f t="shared" si="6"/>
        <v/>
      </c>
      <c r="IR13" s="89" t="str">
        <f t="shared" si="6"/>
        <v/>
      </c>
      <c r="IS13" s="89" t="str">
        <f t="shared" si="6"/>
        <v/>
      </c>
      <c r="IT13" s="89" t="str">
        <f t="shared" si="6"/>
        <v/>
      </c>
      <c r="IU13" s="89" t="str">
        <f t="shared" si="6"/>
        <v/>
      </c>
      <c r="IV13" s="89" t="str">
        <f t="shared" si="6"/>
        <v/>
      </c>
      <c r="IW13" s="89" t="str">
        <f t="shared" si="6"/>
        <v/>
      </c>
      <c r="IX13" s="89" t="str">
        <f t="shared" si="6"/>
        <v/>
      </c>
      <c r="IY13" s="89" t="str">
        <f t="shared" si="6"/>
        <v/>
      </c>
    </row>
  </sheetData>
  <sheetProtection formatColumns="0"/>
  <mergeCells count="2">
    <mergeCell ref="EV1:GW1"/>
    <mergeCell ref="GX1:IZ1"/>
  </mergeCells>
  <phoneticPr fontId="12" type="noConversion"/>
  <dataValidations count="7">
    <dataValidation type="list" allowBlank="1" showInputMessage="1" showErrorMessage="1" sqref="BD11 BD13">
      <formula1>OrganisationNames</formula1>
    </dataValidation>
    <dataValidation type="list" allowBlank="1" showInputMessage="1" showErrorMessage="1" sqref="BF11 BF13">
      <formula1>IDVerificationNames</formula1>
    </dataValidation>
    <dataValidation type="list" allowBlank="1" showInputMessage="1" showErrorMessage="1" sqref="BI13">
      <formula1>AssessmentNames</formula1>
    </dataValidation>
    <dataValidation type="list" allowBlank="1" showInputMessage="1" showErrorMessage="1" sqref="EO11 EO13">
      <formula1>LanguageNames</formula1>
    </dataValidation>
    <dataValidation type="list" allowBlank="1" showInputMessage="1" showErrorMessage="1" sqref="EQ11 EQ13">
      <formula1>ModeOfLearningNames</formula1>
    </dataValidation>
    <dataValidation type="list" allowBlank="1" showInputMessage="1" showErrorMessage="1" sqref="ES11">
      <formula1>assessmentTypeNames</formula1>
    </dataValidation>
    <dataValidation type="date" operator="greaterThan" allowBlank="1" showInputMessage="1" showErrorMessage="1" sqref="BH11 BH13">
      <formula1>1</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References!$D$1231:$D$1244</xm:f>
          </x14:formula1>
          <xm:sqref>ES12:ES13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L13"/>
  <sheetViews>
    <sheetView zoomScale="80" zoomScaleNormal="80" workbookViewId="0">
      <pane xSplit="27" ySplit="12" topLeftCell="AB13" activePane="bottomRight" state="frozen"/>
      <selection pane="topRight" activeCell="AB1" sqref="AB1"/>
      <selection pane="bottomLeft" activeCell="A13" sqref="A13"/>
      <selection pane="bottomRight" activeCell="B13" sqref="B13"/>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8" width="20.85546875" style="81" customWidth="1"/>
    <col min="29" max="31" width="15.85546875" style="81" customWidth="1"/>
    <col min="32" max="32" width="30.85546875" style="81" customWidth="1"/>
    <col min="33" max="57" width="30.85546875" style="81" hidden="1" customWidth="1"/>
    <col min="58" max="58" width="30.85546875" style="81" customWidth="1"/>
    <col min="59" max="59" width="10.85546875" style="81" hidden="1" customWidth="1"/>
    <col min="60" max="60" width="30.85546875" style="149" customWidth="1"/>
    <col min="61" max="85" width="30.85546875" style="111" hidden="1" customWidth="1"/>
    <col min="86" max="86" width="20.85546875" style="111" customWidth="1"/>
    <col min="87" max="87" width="11.42578125" style="111" hidden="1" customWidth="1"/>
    <col min="88" max="88" width="17.42578125" style="111" customWidth="1"/>
    <col min="89" max="89" width="10.85546875" style="111" hidden="1" customWidth="1"/>
    <col min="90" max="90" width="25.85546875" style="81" customWidth="1"/>
    <col min="91" max="91" width="20.85546875" style="81" customWidth="1"/>
    <col min="92" max="92" width="30.85546875" style="81" customWidth="1"/>
    <col min="93" max="117" width="30.85546875" style="81" hidden="1" customWidth="1"/>
    <col min="118" max="118" width="30.85546875" style="81" customWidth="1"/>
    <col min="119" max="119" width="10.85546875" style="81" hidden="1" customWidth="1"/>
    <col min="120" max="120" width="16.42578125" style="81" customWidth="1"/>
    <col min="121" max="121" width="10.85546875" style="81" hidden="1" customWidth="1"/>
    <col min="122" max="122" width="14.85546875" style="81" hidden="1" customWidth="1"/>
    <col min="123" max="124" width="11.42578125" style="117" customWidth="1"/>
    <col min="125" max="16384" width="9.140625" style="117"/>
  </cols>
  <sheetData>
    <row r="1" spans="1:480" ht="23.25">
      <c r="A1" s="102" t="s">
        <v>1469</v>
      </c>
      <c r="B1" s="79"/>
      <c r="C1" s="80"/>
      <c r="D1" s="80"/>
      <c r="E1" s="80"/>
      <c r="F1" s="80"/>
      <c r="G1" s="80"/>
      <c r="H1" s="80"/>
      <c r="I1" s="80"/>
      <c r="J1" s="80"/>
      <c r="K1" s="80"/>
      <c r="L1" s="80"/>
      <c r="M1" s="80"/>
      <c r="N1" s="80"/>
      <c r="O1" s="80"/>
      <c r="P1" s="80"/>
      <c r="Q1" s="80"/>
      <c r="R1" s="80"/>
      <c r="S1" s="80"/>
      <c r="T1" s="80"/>
      <c r="U1" s="80"/>
      <c r="V1" s="80"/>
      <c r="W1" s="80"/>
      <c r="X1" s="80"/>
      <c r="Y1" s="80"/>
      <c r="Z1" s="80"/>
      <c r="AA1" s="8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78"/>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row>
    <row r="2" spans="1:480" ht="18.75" hidden="1" customHeight="1">
      <c r="A2" s="82" t="s">
        <v>1470</v>
      </c>
      <c r="B2" s="112" t="s">
        <v>203</v>
      </c>
      <c r="C2" s="112" t="s">
        <v>203</v>
      </c>
      <c r="D2" s="112" t="s">
        <v>203</v>
      </c>
      <c r="E2" s="112" t="s">
        <v>203</v>
      </c>
      <c r="F2" s="112" t="s">
        <v>203</v>
      </c>
      <c r="G2" s="112" t="s">
        <v>203</v>
      </c>
      <c r="H2" s="112" t="s">
        <v>203</v>
      </c>
      <c r="I2" s="112" t="s">
        <v>203</v>
      </c>
      <c r="J2" s="112" t="s">
        <v>203</v>
      </c>
      <c r="K2" s="112" t="s">
        <v>203</v>
      </c>
      <c r="L2" s="112" t="s">
        <v>203</v>
      </c>
      <c r="M2" s="112" t="s">
        <v>203</v>
      </c>
      <c r="N2" s="112" t="s">
        <v>203</v>
      </c>
      <c r="O2" s="112" t="s">
        <v>203</v>
      </c>
      <c r="P2" s="112" t="s">
        <v>203</v>
      </c>
      <c r="Q2" s="112" t="s">
        <v>203</v>
      </c>
      <c r="R2" s="112" t="s">
        <v>203</v>
      </c>
      <c r="S2" s="112" t="s">
        <v>203</v>
      </c>
      <c r="T2" s="112" t="s">
        <v>203</v>
      </c>
      <c r="U2" s="112" t="s">
        <v>203</v>
      </c>
      <c r="V2" s="112" t="s">
        <v>203</v>
      </c>
      <c r="W2" s="112" t="s">
        <v>203</v>
      </c>
      <c r="X2" s="112" t="s">
        <v>203</v>
      </c>
      <c r="Y2" s="112" t="s">
        <v>203</v>
      </c>
      <c r="Z2" s="112" t="s">
        <v>203</v>
      </c>
      <c r="AA2" s="112" t="s">
        <v>203</v>
      </c>
      <c r="AB2" s="112" t="s">
        <v>1471</v>
      </c>
      <c r="AC2" s="112" t="s">
        <v>1471</v>
      </c>
      <c r="AD2" s="83" t="s">
        <v>203</v>
      </c>
      <c r="AE2" s="83" t="s">
        <v>203</v>
      </c>
      <c r="AF2" s="113" t="s">
        <v>203</v>
      </c>
      <c r="AG2" s="113" t="s">
        <v>203</v>
      </c>
      <c r="AH2" s="113" t="s">
        <v>203</v>
      </c>
      <c r="AI2" s="113" t="s">
        <v>203</v>
      </c>
      <c r="AJ2" s="113" t="s">
        <v>203</v>
      </c>
      <c r="AK2" s="113" t="s">
        <v>203</v>
      </c>
      <c r="AL2" s="113" t="s">
        <v>203</v>
      </c>
      <c r="AM2" s="113" t="s">
        <v>203</v>
      </c>
      <c r="AN2" s="113" t="s">
        <v>203</v>
      </c>
      <c r="AO2" s="113" t="s">
        <v>203</v>
      </c>
      <c r="AP2" s="113" t="s">
        <v>203</v>
      </c>
      <c r="AQ2" s="113" t="s">
        <v>203</v>
      </c>
      <c r="AR2" s="113" t="s">
        <v>203</v>
      </c>
      <c r="AS2" s="113" t="s">
        <v>203</v>
      </c>
      <c r="AT2" s="113" t="s">
        <v>203</v>
      </c>
      <c r="AU2" s="113" t="s">
        <v>203</v>
      </c>
      <c r="AV2" s="113" t="s">
        <v>203</v>
      </c>
      <c r="AW2" s="113" t="s">
        <v>203</v>
      </c>
      <c r="AX2" s="113" t="s">
        <v>203</v>
      </c>
      <c r="AY2" s="113" t="s">
        <v>203</v>
      </c>
      <c r="AZ2" s="113" t="s">
        <v>203</v>
      </c>
      <c r="BA2" s="113" t="s">
        <v>203</v>
      </c>
      <c r="BB2" s="113" t="s">
        <v>203</v>
      </c>
      <c r="BC2" s="113" t="s">
        <v>203</v>
      </c>
      <c r="BD2" s="113" t="s">
        <v>203</v>
      </c>
      <c r="BE2" s="113" t="s">
        <v>203</v>
      </c>
      <c r="BF2" s="114" t="s">
        <v>203</v>
      </c>
      <c r="BG2" s="114" t="s">
        <v>203</v>
      </c>
      <c r="BH2" s="141" t="s">
        <v>1472</v>
      </c>
      <c r="BI2" s="113" t="s">
        <v>1472</v>
      </c>
      <c r="BJ2" s="113" t="s">
        <v>1472</v>
      </c>
      <c r="BK2" s="113" t="s">
        <v>1472</v>
      </c>
      <c r="BL2" s="113" t="s">
        <v>1472</v>
      </c>
      <c r="BM2" s="113" t="s">
        <v>1472</v>
      </c>
      <c r="BN2" s="113" t="s">
        <v>1472</v>
      </c>
      <c r="BO2" s="113" t="s">
        <v>1472</v>
      </c>
      <c r="BP2" s="113" t="s">
        <v>1472</v>
      </c>
      <c r="BQ2" s="113" t="s">
        <v>1472</v>
      </c>
      <c r="BR2" s="113" t="s">
        <v>1472</v>
      </c>
      <c r="BS2" s="113" t="s">
        <v>1472</v>
      </c>
      <c r="BT2" s="113" t="s">
        <v>1472</v>
      </c>
      <c r="BU2" s="113" t="s">
        <v>1472</v>
      </c>
      <c r="BV2" s="113" t="s">
        <v>1472</v>
      </c>
      <c r="BW2" s="113" t="s">
        <v>1472</v>
      </c>
      <c r="BX2" s="113" t="s">
        <v>1472</v>
      </c>
      <c r="BY2" s="113" t="s">
        <v>1472</v>
      </c>
      <c r="BZ2" s="113" t="s">
        <v>1472</v>
      </c>
      <c r="CA2" s="113" t="s">
        <v>1472</v>
      </c>
      <c r="CB2" s="113" t="s">
        <v>1472</v>
      </c>
      <c r="CC2" s="113" t="s">
        <v>1472</v>
      </c>
      <c r="CD2" s="113" t="s">
        <v>1472</v>
      </c>
      <c r="CE2" s="113" t="s">
        <v>1472</v>
      </c>
      <c r="CF2" s="113" t="s">
        <v>1472</v>
      </c>
      <c r="CG2" s="113" t="s">
        <v>1472</v>
      </c>
      <c r="CH2" s="113" t="s">
        <v>1472</v>
      </c>
      <c r="CI2" s="113" t="s">
        <v>1472</v>
      </c>
      <c r="CJ2" s="112" t="s">
        <v>1472</v>
      </c>
      <c r="CK2" s="112" t="s">
        <v>1472</v>
      </c>
      <c r="CL2" s="112" t="s">
        <v>1473</v>
      </c>
      <c r="CM2" s="112" t="s">
        <v>1473</v>
      </c>
      <c r="CN2" s="112" t="s">
        <v>1472</v>
      </c>
      <c r="CO2" s="112" t="s">
        <v>1472</v>
      </c>
      <c r="CP2" s="112" t="s">
        <v>1472</v>
      </c>
      <c r="CQ2" s="112" t="s">
        <v>1472</v>
      </c>
      <c r="CR2" s="112" t="s">
        <v>1472</v>
      </c>
      <c r="CS2" s="112" t="s">
        <v>1472</v>
      </c>
      <c r="CT2" s="112" t="s">
        <v>1472</v>
      </c>
      <c r="CU2" s="112" t="s">
        <v>1472</v>
      </c>
      <c r="CV2" s="112" t="s">
        <v>1472</v>
      </c>
      <c r="CW2" s="112" t="s">
        <v>1472</v>
      </c>
      <c r="CX2" s="112" t="s">
        <v>1472</v>
      </c>
      <c r="CY2" s="112" t="s">
        <v>1472</v>
      </c>
      <c r="CZ2" s="112" t="s">
        <v>1472</v>
      </c>
      <c r="DA2" s="112" t="s">
        <v>1472</v>
      </c>
      <c r="DB2" s="112" t="s">
        <v>1472</v>
      </c>
      <c r="DC2" s="112" t="s">
        <v>1472</v>
      </c>
      <c r="DD2" s="112" t="s">
        <v>1472</v>
      </c>
      <c r="DE2" s="112" t="s">
        <v>1472</v>
      </c>
      <c r="DF2" s="112" t="s">
        <v>1472</v>
      </c>
      <c r="DG2" s="112" t="s">
        <v>1472</v>
      </c>
      <c r="DH2" s="112" t="s">
        <v>1472</v>
      </c>
      <c r="DI2" s="112" t="s">
        <v>1472</v>
      </c>
      <c r="DJ2" s="112" t="s">
        <v>1472</v>
      </c>
      <c r="DK2" s="112" t="s">
        <v>1472</v>
      </c>
      <c r="DL2" s="112" t="s">
        <v>1472</v>
      </c>
      <c r="DM2" s="112" t="s">
        <v>1472</v>
      </c>
      <c r="DN2" s="112" t="s">
        <v>1472</v>
      </c>
      <c r="DO2" s="112" t="s">
        <v>1472</v>
      </c>
      <c r="DP2" s="112" t="s">
        <v>1472</v>
      </c>
      <c r="DQ2" s="112" t="s">
        <v>1472</v>
      </c>
      <c r="DR2" s="115" t="s">
        <v>1474</v>
      </c>
    </row>
    <row r="3" spans="1:480" ht="30" hidden="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96" t="s">
        <v>190</v>
      </c>
      <c r="AC3" s="96" t="s">
        <v>35</v>
      </c>
      <c r="AD3" s="83" t="s">
        <v>1190</v>
      </c>
      <c r="AE3" s="83" t="s">
        <v>1475</v>
      </c>
      <c r="AF3" s="96" t="s">
        <v>21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21</v>
      </c>
      <c r="BE3" s="96" t="s">
        <v>21</v>
      </c>
      <c r="BF3" s="96" t="s">
        <v>485</v>
      </c>
      <c r="BG3" s="96" t="s">
        <v>485</v>
      </c>
      <c r="BH3" s="141" t="s">
        <v>20</v>
      </c>
      <c r="BI3" s="113" t="s">
        <v>20</v>
      </c>
      <c r="BJ3" s="113" t="s">
        <v>20</v>
      </c>
      <c r="BK3" s="113" t="s">
        <v>20</v>
      </c>
      <c r="BL3" s="113" t="s">
        <v>20</v>
      </c>
      <c r="BM3" s="113" t="s">
        <v>20</v>
      </c>
      <c r="BN3" s="113" t="s">
        <v>20</v>
      </c>
      <c r="BO3" s="113" t="s">
        <v>20</v>
      </c>
      <c r="BP3" s="113" t="s">
        <v>20</v>
      </c>
      <c r="BQ3" s="113" t="s">
        <v>20</v>
      </c>
      <c r="BR3" s="113" t="s">
        <v>20</v>
      </c>
      <c r="BS3" s="113" t="s">
        <v>20</v>
      </c>
      <c r="BT3" s="113" t="s">
        <v>20</v>
      </c>
      <c r="BU3" s="113" t="s">
        <v>20</v>
      </c>
      <c r="BV3" s="113" t="s">
        <v>20</v>
      </c>
      <c r="BW3" s="113" t="s">
        <v>20</v>
      </c>
      <c r="BX3" s="113" t="s">
        <v>20</v>
      </c>
      <c r="BY3" s="113" t="s">
        <v>20</v>
      </c>
      <c r="BZ3" s="113" t="s">
        <v>20</v>
      </c>
      <c r="CA3" s="113" t="s">
        <v>20</v>
      </c>
      <c r="CB3" s="113" t="s">
        <v>20</v>
      </c>
      <c r="CC3" s="113" t="s">
        <v>20</v>
      </c>
      <c r="CD3" s="113" t="s">
        <v>20</v>
      </c>
      <c r="CE3" s="113" t="s">
        <v>20</v>
      </c>
      <c r="CF3" s="113" t="s">
        <v>20</v>
      </c>
      <c r="CG3" s="113" t="s">
        <v>20</v>
      </c>
      <c r="CH3" s="113" t="s">
        <v>1476</v>
      </c>
      <c r="CI3" s="113" t="s">
        <v>1476</v>
      </c>
      <c r="CJ3" s="113" t="s">
        <v>1477</v>
      </c>
      <c r="CK3" s="113" t="s">
        <v>1477</v>
      </c>
      <c r="CL3" s="96" t="s">
        <v>190</v>
      </c>
      <c r="CM3" s="96" t="s">
        <v>35</v>
      </c>
      <c r="CN3" s="96" t="s">
        <v>21</v>
      </c>
      <c r="CO3" s="96" t="s">
        <v>21</v>
      </c>
      <c r="CP3" s="96" t="s">
        <v>21</v>
      </c>
      <c r="CQ3" s="96" t="s">
        <v>21</v>
      </c>
      <c r="CR3" s="96" t="s">
        <v>21</v>
      </c>
      <c r="CS3" s="96" t="s">
        <v>21</v>
      </c>
      <c r="CT3" s="96" t="s">
        <v>21</v>
      </c>
      <c r="CU3" s="96" t="s">
        <v>21</v>
      </c>
      <c r="CV3" s="96" t="s">
        <v>21</v>
      </c>
      <c r="CW3" s="96" t="s">
        <v>21</v>
      </c>
      <c r="CX3" s="96" t="s">
        <v>21</v>
      </c>
      <c r="CY3" s="96" t="s">
        <v>21</v>
      </c>
      <c r="CZ3" s="96" t="s">
        <v>21</v>
      </c>
      <c r="DA3" s="96" t="s">
        <v>21</v>
      </c>
      <c r="DB3" s="96" t="s">
        <v>21</v>
      </c>
      <c r="DC3" s="96" t="s">
        <v>21</v>
      </c>
      <c r="DD3" s="96" t="s">
        <v>21</v>
      </c>
      <c r="DE3" s="96" t="s">
        <v>21</v>
      </c>
      <c r="DF3" s="96" t="s">
        <v>21</v>
      </c>
      <c r="DG3" s="96" t="s">
        <v>21</v>
      </c>
      <c r="DH3" s="96" t="s">
        <v>21</v>
      </c>
      <c r="DI3" s="96" t="s">
        <v>21</v>
      </c>
      <c r="DJ3" s="96" t="s">
        <v>21</v>
      </c>
      <c r="DK3" s="96" t="s">
        <v>21</v>
      </c>
      <c r="DL3" s="96" t="s">
        <v>21</v>
      </c>
      <c r="DM3" s="96" t="s">
        <v>21</v>
      </c>
      <c r="DN3" s="96" t="s">
        <v>1478</v>
      </c>
      <c r="DO3" s="96" t="s">
        <v>1478</v>
      </c>
      <c r="DP3" s="96" t="s">
        <v>1479</v>
      </c>
      <c r="DQ3" s="96" t="s">
        <v>1479</v>
      </c>
      <c r="DR3" s="116"/>
    </row>
    <row r="4" spans="1:480" ht="30" hidden="1">
      <c r="A4" s="82" t="s">
        <v>29</v>
      </c>
      <c r="B4" s="81" t="s">
        <v>30</v>
      </c>
      <c r="C4" s="81" t="s">
        <v>30</v>
      </c>
      <c r="D4" s="81" t="s">
        <v>30</v>
      </c>
      <c r="E4" s="81" t="s">
        <v>30</v>
      </c>
      <c r="F4" s="81" t="s">
        <v>30</v>
      </c>
      <c r="G4" s="81" t="s">
        <v>30</v>
      </c>
      <c r="H4" s="81" t="s">
        <v>30</v>
      </c>
      <c r="I4" s="81" t="s">
        <v>30</v>
      </c>
      <c r="J4" s="81" t="s">
        <v>30</v>
      </c>
      <c r="K4" s="81" t="s">
        <v>30</v>
      </c>
      <c r="L4" s="81" t="s">
        <v>30</v>
      </c>
      <c r="M4" s="81" t="s">
        <v>30</v>
      </c>
      <c r="N4" s="81" t="s">
        <v>30</v>
      </c>
      <c r="O4" s="81" t="s">
        <v>30</v>
      </c>
      <c r="P4" s="81" t="s">
        <v>30</v>
      </c>
      <c r="Q4" s="81" t="s">
        <v>30</v>
      </c>
      <c r="R4" s="81" t="s">
        <v>30</v>
      </c>
      <c r="S4" s="81" t="s">
        <v>30</v>
      </c>
      <c r="T4" s="81" t="s">
        <v>30</v>
      </c>
      <c r="U4" s="81" t="s">
        <v>30</v>
      </c>
      <c r="V4" s="81" t="s">
        <v>30</v>
      </c>
      <c r="W4" s="81" t="s">
        <v>30</v>
      </c>
      <c r="X4" s="81" t="s">
        <v>30</v>
      </c>
      <c r="Y4" s="81" t="s">
        <v>30</v>
      </c>
      <c r="Z4" s="81" t="s">
        <v>30</v>
      </c>
      <c r="AA4" s="81" t="s">
        <v>30</v>
      </c>
      <c r="AB4" s="81" t="s">
        <v>33</v>
      </c>
      <c r="AC4" s="81" t="s">
        <v>33</v>
      </c>
      <c r="AD4" s="83" t="s">
        <v>30</v>
      </c>
      <c r="AE4" s="83" t="s">
        <v>30</v>
      </c>
      <c r="AF4" s="81" t="s">
        <v>30</v>
      </c>
      <c r="AG4" s="81" t="s">
        <v>30</v>
      </c>
      <c r="AH4" s="81" t="s">
        <v>30</v>
      </c>
      <c r="AI4" s="81" t="s">
        <v>30</v>
      </c>
      <c r="AJ4" s="81" t="s">
        <v>30</v>
      </c>
      <c r="AK4" s="81" t="s">
        <v>30</v>
      </c>
      <c r="AL4" s="81" t="s">
        <v>30</v>
      </c>
      <c r="AM4" s="81" t="s">
        <v>30</v>
      </c>
      <c r="AN4" s="81" t="s">
        <v>30</v>
      </c>
      <c r="AO4" s="81" t="s">
        <v>30</v>
      </c>
      <c r="AP4" s="81" t="s">
        <v>30</v>
      </c>
      <c r="AQ4" s="81" t="s">
        <v>30</v>
      </c>
      <c r="AR4" s="81" t="s">
        <v>30</v>
      </c>
      <c r="AS4" s="81" t="s">
        <v>30</v>
      </c>
      <c r="AT4" s="81" t="s">
        <v>30</v>
      </c>
      <c r="AU4" s="81" t="s">
        <v>30</v>
      </c>
      <c r="AV4" s="81" t="s">
        <v>30</v>
      </c>
      <c r="AW4" s="81" t="s">
        <v>30</v>
      </c>
      <c r="AX4" s="81" t="s">
        <v>30</v>
      </c>
      <c r="AY4" s="81" t="s">
        <v>30</v>
      </c>
      <c r="AZ4" s="81" t="s">
        <v>30</v>
      </c>
      <c r="BA4" s="81" t="s">
        <v>30</v>
      </c>
      <c r="BB4" s="81" t="s">
        <v>30</v>
      </c>
      <c r="BC4" s="81" t="s">
        <v>30</v>
      </c>
      <c r="BD4" s="81" t="s">
        <v>30</v>
      </c>
      <c r="BE4" s="81" t="s">
        <v>30</v>
      </c>
      <c r="BF4" s="81" t="s">
        <v>199</v>
      </c>
      <c r="BG4" s="81" t="s">
        <v>32</v>
      </c>
      <c r="BH4" s="149" t="s">
        <v>33</v>
      </c>
      <c r="BI4" s="111" t="s">
        <v>33</v>
      </c>
      <c r="BJ4" s="111" t="s">
        <v>33</v>
      </c>
      <c r="BK4" s="111" t="s">
        <v>33</v>
      </c>
      <c r="BL4" s="111" t="s">
        <v>33</v>
      </c>
      <c r="BM4" s="111" t="s">
        <v>33</v>
      </c>
      <c r="BN4" s="111" t="s">
        <v>33</v>
      </c>
      <c r="BO4" s="111" t="s">
        <v>33</v>
      </c>
      <c r="BP4" s="111" t="s">
        <v>33</v>
      </c>
      <c r="BQ4" s="111" t="s">
        <v>33</v>
      </c>
      <c r="BR4" s="111" t="s">
        <v>33</v>
      </c>
      <c r="BS4" s="111" t="s">
        <v>33</v>
      </c>
      <c r="BT4" s="111" t="s">
        <v>33</v>
      </c>
      <c r="BU4" s="111" t="s">
        <v>33</v>
      </c>
      <c r="BV4" s="111" t="s">
        <v>33</v>
      </c>
      <c r="BW4" s="111" t="s">
        <v>33</v>
      </c>
      <c r="BX4" s="111" t="s">
        <v>33</v>
      </c>
      <c r="BY4" s="111" t="s">
        <v>33</v>
      </c>
      <c r="BZ4" s="111" t="s">
        <v>33</v>
      </c>
      <c r="CA4" s="111" t="s">
        <v>33</v>
      </c>
      <c r="CB4" s="111" t="s">
        <v>33</v>
      </c>
      <c r="CC4" s="111" t="s">
        <v>33</v>
      </c>
      <c r="CD4" s="111" t="s">
        <v>33</v>
      </c>
      <c r="CE4" s="111" t="s">
        <v>33</v>
      </c>
      <c r="CF4" s="111" t="s">
        <v>33</v>
      </c>
      <c r="CG4" s="111" t="s">
        <v>33</v>
      </c>
      <c r="CH4" s="111" t="s">
        <v>31</v>
      </c>
      <c r="CI4" s="111" t="s">
        <v>198</v>
      </c>
      <c r="CJ4" s="111" t="s">
        <v>31</v>
      </c>
      <c r="CK4" s="111" t="s">
        <v>198</v>
      </c>
      <c r="CL4" s="81" t="s">
        <v>33</v>
      </c>
      <c r="CM4" s="81" t="s">
        <v>33</v>
      </c>
      <c r="CN4" s="81" t="s">
        <v>33</v>
      </c>
      <c r="CO4" s="81" t="s">
        <v>33</v>
      </c>
      <c r="CP4" s="81" t="s">
        <v>33</v>
      </c>
      <c r="CQ4" s="81" t="s">
        <v>33</v>
      </c>
      <c r="CR4" s="81" t="s">
        <v>33</v>
      </c>
      <c r="CS4" s="81" t="s">
        <v>33</v>
      </c>
      <c r="CT4" s="81" t="s">
        <v>33</v>
      </c>
      <c r="CU4" s="81" t="s">
        <v>33</v>
      </c>
      <c r="CV4" s="81" t="s">
        <v>33</v>
      </c>
      <c r="CW4" s="81" t="s">
        <v>33</v>
      </c>
      <c r="CX4" s="81" t="s">
        <v>33</v>
      </c>
      <c r="CY4" s="81" t="s">
        <v>33</v>
      </c>
      <c r="CZ4" s="81" t="s">
        <v>33</v>
      </c>
      <c r="DA4" s="81" t="s">
        <v>33</v>
      </c>
      <c r="DB4" s="81" t="s">
        <v>33</v>
      </c>
      <c r="DC4" s="81" t="s">
        <v>33</v>
      </c>
      <c r="DD4" s="81" t="s">
        <v>33</v>
      </c>
      <c r="DE4" s="81" t="s">
        <v>33</v>
      </c>
      <c r="DF4" s="81" t="s">
        <v>33</v>
      </c>
      <c r="DG4" s="81" t="s">
        <v>33</v>
      </c>
      <c r="DH4" s="81" t="s">
        <v>33</v>
      </c>
      <c r="DI4" s="81" t="s">
        <v>33</v>
      </c>
      <c r="DJ4" s="81" t="s">
        <v>33</v>
      </c>
      <c r="DK4" s="81" t="s">
        <v>33</v>
      </c>
      <c r="DL4" s="81" t="s">
        <v>33</v>
      </c>
      <c r="DM4" s="81" t="s">
        <v>33</v>
      </c>
      <c r="DN4" s="81" t="s">
        <v>199</v>
      </c>
      <c r="DO4" s="81" t="s">
        <v>198</v>
      </c>
      <c r="DP4" s="81" t="s">
        <v>199</v>
      </c>
      <c r="DQ4" s="81" t="s">
        <v>198</v>
      </c>
      <c r="DR4" s="116" t="s">
        <v>1480</v>
      </c>
    </row>
    <row r="5" spans="1:480" ht="30" hidden="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D5" s="83"/>
      <c r="AE5" s="83"/>
      <c r="AF5" s="81" t="s">
        <v>35</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35</v>
      </c>
      <c r="BE5" s="81" t="s">
        <v>35</v>
      </c>
      <c r="BF5" s="81" t="s">
        <v>203</v>
      </c>
      <c r="BG5" s="81" t="s">
        <v>203</v>
      </c>
      <c r="BH5" s="149" t="s">
        <v>35</v>
      </c>
      <c r="BI5" s="111" t="s">
        <v>35</v>
      </c>
      <c r="BJ5" s="111" t="s">
        <v>35</v>
      </c>
      <c r="BK5" s="111" t="s">
        <v>35</v>
      </c>
      <c r="BL5" s="111" t="s">
        <v>35</v>
      </c>
      <c r="BM5" s="111" t="s">
        <v>35</v>
      </c>
      <c r="BN5" s="111" t="s">
        <v>35</v>
      </c>
      <c r="BO5" s="111" t="s">
        <v>35</v>
      </c>
      <c r="BP5" s="111" t="s">
        <v>35</v>
      </c>
      <c r="BQ5" s="111" t="s">
        <v>35</v>
      </c>
      <c r="BR5" s="111" t="s">
        <v>35</v>
      </c>
      <c r="BS5" s="111" t="s">
        <v>35</v>
      </c>
      <c r="BT5" s="111" t="s">
        <v>35</v>
      </c>
      <c r="BU5" s="111" t="s">
        <v>35</v>
      </c>
      <c r="BV5" s="111" t="s">
        <v>35</v>
      </c>
      <c r="BW5" s="111" t="s">
        <v>35</v>
      </c>
      <c r="BX5" s="111" t="s">
        <v>35</v>
      </c>
      <c r="BY5" s="111" t="s">
        <v>35</v>
      </c>
      <c r="BZ5" s="111" t="s">
        <v>35</v>
      </c>
      <c r="CA5" s="111" t="s">
        <v>35</v>
      </c>
      <c r="CB5" s="111" t="s">
        <v>35</v>
      </c>
      <c r="CC5" s="111" t="s">
        <v>35</v>
      </c>
      <c r="CD5" s="111" t="s">
        <v>35</v>
      </c>
      <c r="CE5" s="111" t="s">
        <v>35</v>
      </c>
      <c r="CF5" s="111" t="s">
        <v>35</v>
      </c>
      <c r="CG5" s="111" t="s">
        <v>35</v>
      </c>
      <c r="CI5" s="111" t="s">
        <v>36</v>
      </c>
      <c r="CK5" s="117" t="s">
        <v>36</v>
      </c>
      <c r="CN5" s="81" t="s">
        <v>35</v>
      </c>
      <c r="CO5" s="81" t="s">
        <v>35</v>
      </c>
      <c r="CP5" s="81" t="s">
        <v>35</v>
      </c>
      <c r="CQ5" s="81" t="s">
        <v>35</v>
      </c>
      <c r="CR5" s="81" t="s">
        <v>35</v>
      </c>
      <c r="CS5" s="81" t="s">
        <v>35</v>
      </c>
      <c r="CT5" s="81" t="s">
        <v>35</v>
      </c>
      <c r="CU5" s="81" t="s">
        <v>35</v>
      </c>
      <c r="CV5" s="81" t="s">
        <v>35</v>
      </c>
      <c r="CW5" s="81" t="s">
        <v>35</v>
      </c>
      <c r="CX5" s="81" t="s">
        <v>35</v>
      </c>
      <c r="CY5" s="81" t="s">
        <v>35</v>
      </c>
      <c r="CZ5" s="81" t="s">
        <v>35</v>
      </c>
      <c r="DA5" s="81" t="s">
        <v>35</v>
      </c>
      <c r="DB5" s="81" t="s">
        <v>35</v>
      </c>
      <c r="DC5" s="81" t="s">
        <v>35</v>
      </c>
      <c r="DD5" s="81" t="s">
        <v>35</v>
      </c>
      <c r="DE5" s="81" t="s">
        <v>35</v>
      </c>
      <c r="DF5" s="81" t="s">
        <v>35</v>
      </c>
      <c r="DG5" s="81" t="s">
        <v>35</v>
      </c>
      <c r="DH5" s="81" t="s">
        <v>35</v>
      </c>
      <c r="DI5" s="81" t="s">
        <v>35</v>
      </c>
      <c r="DJ5" s="81" t="s">
        <v>35</v>
      </c>
      <c r="DK5" s="81" t="s">
        <v>35</v>
      </c>
      <c r="DL5" s="81" t="s">
        <v>35</v>
      </c>
      <c r="DM5" s="81" t="s">
        <v>35</v>
      </c>
      <c r="DN5" s="81" t="s">
        <v>38</v>
      </c>
      <c r="DO5" s="81" t="s">
        <v>38</v>
      </c>
      <c r="DP5" s="118"/>
      <c r="DQ5" s="118"/>
      <c r="DR5" s="116"/>
    </row>
    <row r="6" spans="1:480" ht="15" hidden="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83"/>
      <c r="AE6" s="83"/>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H6" s="141"/>
      <c r="BI6" s="113"/>
      <c r="BJ6" s="113"/>
      <c r="BK6" s="113"/>
      <c r="BL6" s="113"/>
      <c r="BM6" s="113"/>
      <c r="BN6" s="113"/>
      <c r="BO6" s="113"/>
      <c r="BP6" s="113"/>
      <c r="BQ6" s="113"/>
      <c r="BR6" s="113"/>
      <c r="BS6" s="113"/>
      <c r="BT6" s="113"/>
      <c r="BU6" s="113"/>
      <c r="BV6" s="113"/>
      <c r="BW6" s="113"/>
      <c r="BX6" s="113"/>
      <c r="BY6" s="113"/>
      <c r="BZ6" s="113"/>
      <c r="CA6" s="113"/>
      <c r="CB6" s="113"/>
      <c r="CC6" s="113"/>
      <c r="CD6" s="113"/>
      <c r="CE6" s="113"/>
      <c r="CF6" s="113"/>
      <c r="CG6" s="113"/>
      <c r="CH6" s="113"/>
      <c r="CI6" s="113"/>
      <c r="CJ6" s="113"/>
      <c r="CK6" s="113"/>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116"/>
    </row>
    <row r="7" spans="1:480" ht="15" hidden="1">
      <c r="A7" s="82" t="s">
        <v>42</v>
      </c>
      <c r="B7" s="81"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D7" s="83"/>
      <c r="AE7" s="83"/>
      <c r="AF7" s="81" t="s">
        <v>11</v>
      </c>
      <c r="AG7" s="82" t="s">
        <v>43</v>
      </c>
      <c r="AH7" s="82" t="s">
        <v>44</v>
      </c>
      <c r="AI7" s="82" t="s">
        <v>45</v>
      </c>
      <c r="AJ7" s="82" t="s">
        <v>46</v>
      </c>
      <c r="AK7" s="82" t="s">
        <v>47</v>
      </c>
      <c r="AL7" s="82" t="s">
        <v>48</v>
      </c>
      <c r="AM7" s="82" t="s">
        <v>49</v>
      </c>
      <c r="AN7" s="82" t="s">
        <v>50</v>
      </c>
      <c r="AO7" s="82" t="s">
        <v>51</v>
      </c>
      <c r="AP7" s="82" t="s">
        <v>52</v>
      </c>
      <c r="AQ7" s="82" t="s">
        <v>53</v>
      </c>
      <c r="AR7" s="82" t="s">
        <v>54</v>
      </c>
      <c r="AS7" s="82" t="s">
        <v>55</v>
      </c>
      <c r="AT7" s="82" t="s">
        <v>56</v>
      </c>
      <c r="AU7" s="82" t="s">
        <v>57</v>
      </c>
      <c r="AV7" s="82" t="s">
        <v>58</v>
      </c>
      <c r="AW7" s="82" t="s">
        <v>59</v>
      </c>
      <c r="AX7" s="82" t="s">
        <v>60</v>
      </c>
      <c r="AY7" s="82" t="s">
        <v>61</v>
      </c>
      <c r="AZ7" s="82" t="s">
        <v>62</v>
      </c>
      <c r="BA7" s="82" t="s">
        <v>63</v>
      </c>
      <c r="BB7" s="82" t="s">
        <v>64</v>
      </c>
      <c r="BC7" s="82" t="s">
        <v>65</v>
      </c>
      <c r="BD7" s="82" t="s">
        <v>66</v>
      </c>
      <c r="BE7" s="82" t="s">
        <v>67</v>
      </c>
      <c r="BH7" s="149" t="s">
        <v>11</v>
      </c>
      <c r="BI7" s="108" t="s">
        <v>43</v>
      </c>
      <c r="BJ7" s="108" t="s">
        <v>44</v>
      </c>
      <c r="BK7" s="108" t="s">
        <v>45</v>
      </c>
      <c r="BL7" s="108" t="s">
        <v>46</v>
      </c>
      <c r="BM7" s="108" t="s">
        <v>47</v>
      </c>
      <c r="BN7" s="108" t="s">
        <v>48</v>
      </c>
      <c r="BO7" s="108" t="s">
        <v>49</v>
      </c>
      <c r="BP7" s="108" t="s">
        <v>50</v>
      </c>
      <c r="BQ7" s="108" t="s">
        <v>51</v>
      </c>
      <c r="BR7" s="108" t="s">
        <v>52</v>
      </c>
      <c r="BS7" s="108" t="s">
        <v>53</v>
      </c>
      <c r="BT7" s="108" t="s">
        <v>54</v>
      </c>
      <c r="BU7" s="108" t="s">
        <v>55</v>
      </c>
      <c r="BV7" s="108" t="s">
        <v>56</v>
      </c>
      <c r="BW7" s="108" t="s">
        <v>57</v>
      </c>
      <c r="BX7" s="108" t="s">
        <v>58</v>
      </c>
      <c r="BY7" s="108" t="s">
        <v>59</v>
      </c>
      <c r="BZ7" s="108" t="s">
        <v>60</v>
      </c>
      <c r="CA7" s="108" t="s">
        <v>61</v>
      </c>
      <c r="CB7" s="108" t="s">
        <v>62</v>
      </c>
      <c r="CC7" s="108" t="s">
        <v>63</v>
      </c>
      <c r="CD7" s="108" t="s">
        <v>64</v>
      </c>
      <c r="CE7" s="108" t="s">
        <v>65</v>
      </c>
      <c r="CF7" s="108" t="s">
        <v>66</v>
      </c>
      <c r="CG7" s="108" t="s">
        <v>67</v>
      </c>
      <c r="CH7" s="108"/>
      <c r="CI7" s="108"/>
      <c r="CJ7" s="108"/>
      <c r="CK7" s="108"/>
      <c r="CN7" s="81" t="s">
        <v>11</v>
      </c>
      <c r="CO7" s="82" t="s">
        <v>43</v>
      </c>
      <c r="CP7" s="82" t="s">
        <v>44</v>
      </c>
      <c r="CQ7" s="82" t="s">
        <v>45</v>
      </c>
      <c r="CR7" s="82" t="s">
        <v>46</v>
      </c>
      <c r="CS7" s="82" t="s">
        <v>47</v>
      </c>
      <c r="CT7" s="82" t="s">
        <v>48</v>
      </c>
      <c r="CU7" s="82" t="s">
        <v>49</v>
      </c>
      <c r="CV7" s="82" t="s">
        <v>50</v>
      </c>
      <c r="CW7" s="82" t="s">
        <v>51</v>
      </c>
      <c r="CX7" s="82" t="s">
        <v>52</v>
      </c>
      <c r="CY7" s="82" t="s">
        <v>53</v>
      </c>
      <c r="CZ7" s="82" t="s">
        <v>54</v>
      </c>
      <c r="DA7" s="82" t="s">
        <v>55</v>
      </c>
      <c r="DB7" s="82" t="s">
        <v>56</v>
      </c>
      <c r="DC7" s="82" t="s">
        <v>57</v>
      </c>
      <c r="DD7" s="82" t="s">
        <v>58</v>
      </c>
      <c r="DE7" s="82" t="s">
        <v>59</v>
      </c>
      <c r="DF7" s="82" t="s">
        <v>60</v>
      </c>
      <c r="DG7" s="82" t="s">
        <v>61</v>
      </c>
      <c r="DH7" s="82" t="s">
        <v>62</v>
      </c>
      <c r="DI7" s="82" t="s">
        <v>63</v>
      </c>
      <c r="DJ7" s="82" t="s">
        <v>64</v>
      </c>
      <c r="DK7" s="82" t="s">
        <v>65</v>
      </c>
      <c r="DL7" s="82" t="s">
        <v>66</v>
      </c>
      <c r="DM7" s="82" t="s">
        <v>67</v>
      </c>
      <c r="DR7" s="116"/>
    </row>
    <row r="8" spans="1:480" s="129" customFormat="1" ht="29.1" customHeight="1">
      <c r="A8" s="19" t="s">
        <v>68</v>
      </c>
      <c r="B8" s="249" t="s">
        <v>69</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Title.mt</v>
      </c>
      <c r="T8" s="19" t="str">
        <f>_xlfn.CONCAT(B8,".",T7)</f>
        <v>Title.nl</v>
      </c>
      <c r="U8" s="19" t="str">
        <f>_xlfn.CONCAT(B8,".",U7)</f>
        <v>Title.no</v>
      </c>
      <c r="V8" s="19" t="str">
        <f>_xlfn.CONCAT(B8,".",V7)</f>
        <v>Title.pl</v>
      </c>
      <c r="W8" s="19" t="str">
        <f>_xlfn.CONCAT(B8,".",W7)</f>
        <v>Title.pt</v>
      </c>
      <c r="X8" s="19" t="str">
        <f>_xlfn.CONCAT(B8,".",X7)</f>
        <v>Title.ro</v>
      </c>
      <c r="Y8" s="19" t="str">
        <f>_xlfn.CONCAT(B8,".",Y7)</f>
        <v>Title.sk</v>
      </c>
      <c r="Z8" s="19" t="str">
        <f>_xlfn.CONCAT(B8,".",Z7)</f>
        <v>Title.sl</v>
      </c>
      <c r="AA8" s="19" t="str">
        <f>_xlfn.CONCAT(B8,".",AA7)</f>
        <v>Title.sv</v>
      </c>
      <c r="AB8" s="19" t="s">
        <v>1481</v>
      </c>
      <c r="AC8" s="19" t="s">
        <v>506</v>
      </c>
      <c r="AD8" s="19" t="s">
        <v>1482</v>
      </c>
      <c r="AE8" s="19" t="s">
        <v>1483</v>
      </c>
      <c r="AF8" s="19" t="s">
        <v>70</v>
      </c>
      <c r="AG8" s="19" t="str">
        <f>_xlfn.CONCAT(AF8,".",AG7)</f>
        <v>Description.bg</v>
      </c>
      <c r="AH8" s="19" t="str">
        <f>_xlfn.CONCAT(AF8,".",AH7)</f>
        <v>Description.cs</v>
      </c>
      <c r="AI8" s="19" t="str">
        <f>_xlfn.CONCAT(AF8,".",AI7)</f>
        <v>Description.da</v>
      </c>
      <c r="AJ8" s="19" t="str">
        <f>_xlfn.CONCAT(AF8,".",AJ7)</f>
        <v>Description.de</v>
      </c>
      <c r="AK8" s="19" t="str">
        <f>_xlfn.CONCAT(AF8,".",AK7)</f>
        <v>Description.el</v>
      </c>
      <c r="AL8" s="19" t="str">
        <f>_xlfn.CONCAT(AF8,".",AL7)</f>
        <v>Description.es</v>
      </c>
      <c r="AM8" s="19" t="str">
        <f>_xlfn.CONCAT(AF8,".",AM7)</f>
        <v>Description.et</v>
      </c>
      <c r="AN8" s="19" t="str">
        <f>_xlfn.CONCAT(AF8,".",AN7)</f>
        <v>Description.fi</v>
      </c>
      <c r="AO8" s="19" t="str">
        <f>_xlfn.CONCAT(AF8,".",AO7)</f>
        <v>Description.fr</v>
      </c>
      <c r="AP8" s="19" t="str">
        <f>_xlfn.CONCAT(AF8,".",AP7)</f>
        <v>Description.ga</v>
      </c>
      <c r="AQ8" s="19" t="str">
        <f>_xlfn.CONCAT(AF8,".",AQ7)</f>
        <v>Description.hr</v>
      </c>
      <c r="AR8" s="19" t="str">
        <f>_xlfn.CONCAT(AF8,".",AR7)</f>
        <v>Description.hu</v>
      </c>
      <c r="AS8" s="19" t="str">
        <f>_xlfn.CONCAT(AF8,".",AS7)</f>
        <v>Description.is</v>
      </c>
      <c r="AT8" s="19" t="str">
        <f>_xlfn.CONCAT(AF8,".",AT7)</f>
        <v>Description.it</v>
      </c>
      <c r="AU8" s="19" t="str">
        <f>_xlfn.CONCAT(AF8,".",AU7)</f>
        <v>Description.lt</v>
      </c>
      <c r="AV8" s="19" t="str">
        <f>_xlfn.CONCAT(AF8,".",AV7)</f>
        <v>Description.lv</v>
      </c>
      <c r="AW8" s="19" t="str">
        <f>_xlfn.CONCAT(AF8,".",AW7)</f>
        <v>Description.mt</v>
      </c>
      <c r="AX8" s="19" t="str">
        <f>_xlfn.CONCAT(AF8,".",AX7)</f>
        <v>Description.nl</v>
      </c>
      <c r="AY8" s="19" t="str">
        <f>_xlfn.CONCAT(AF8,".",AY7)</f>
        <v>Description.no</v>
      </c>
      <c r="AZ8" s="19" t="str">
        <f>_xlfn.CONCAT(AF8,".",AZ7)</f>
        <v>Description.pl</v>
      </c>
      <c r="BA8" s="19" t="str">
        <f>_xlfn.CONCAT(AF8,".",BA7)</f>
        <v>Description.pt</v>
      </c>
      <c r="BB8" s="19" t="str">
        <f>_xlfn.CONCAT(AF8,".",BB7)</f>
        <v>Description.ro</v>
      </c>
      <c r="BC8" s="19" t="str">
        <f>_xlfn.CONCAT(AF8,".",BC7)</f>
        <v>Description.sk</v>
      </c>
      <c r="BD8" s="19" t="str">
        <f>_xlfn.CONCAT(AF8,".",BD7)</f>
        <v>Description.sl</v>
      </c>
      <c r="BE8" s="19" t="str">
        <f>_xlfn.CONCAT(AF8,".",BE7)</f>
        <v>Description.sv</v>
      </c>
      <c r="BF8" s="19" t="s">
        <v>1484</v>
      </c>
      <c r="BG8" s="19"/>
      <c r="BH8" s="224" t="s">
        <v>1485</v>
      </c>
      <c r="BI8" s="19" t="str">
        <f>_xlfn.CONCAT(BH8,".",BI7)</f>
        <v>Entitlement Specification Title.bg</v>
      </c>
      <c r="BJ8" s="19" t="str">
        <f>_xlfn.CONCAT(BH8,".",BJ7)</f>
        <v>Entitlement Specification Title.cs</v>
      </c>
      <c r="BK8" s="19" t="str">
        <f>_xlfn.CONCAT(BH8,".",BK7)</f>
        <v>Entitlement Specification Title.da</v>
      </c>
      <c r="BL8" s="19" t="str">
        <f>_xlfn.CONCAT(BH8,".",BL7)</f>
        <v>Entitlement Specification Title.de</v>
      </c>
      <c r="BM8" s="19" t="str">
        <f>_xlfn.CONCAT(BH8,".",BM7)</f>
        <v>Entitlement Specification Title.el</v>
      </c>
      <c r="BN8" s="19" t="str">
        <f>_xlfn.CONCAT(BH8,".",BN7)</f>
        <v>Entitlement Specification Title.es</v>
      </c>
      <c r="BO8" s="19" t="str">
        <f>_xlfn.CONCAT(BH8,".",BO7)</f>
        <v>Entitlement Specification Title.et</v>
      </c>
      <c r="BP8" s="19" t="str">
        <f>_xlfn.CONCAT(BH8,".",BP7)</f>
        <v>Entitlement Specification Title.fi</v>
      </c>
      <c r="BQ8" s="19" t="str">
        <f>_xlfn.CONCAT(BH8,".",BQ7)</f>
        <v>Entitlement Specification Title.fr</v>
      </c>
      <c r="BR8" s="19" t="str">
        <f>_xlfn.CONCAT(BH8,".",BR7)</f>
        <v>Entitlement Specification Title.ga</v>
      </c>
      <c r="BS8" s="19" t="str">
        <f>_xlfn.CONCAT(BH8,".",BS7)</f>
        <v>Entitlement Specification Title.hr</v>
      </c>
      <c r="BT8" s="19" t="str">
        <f>_xlfn.CONCAT(BH8,".",BT7)</f>
        <v>Entitlement Specification Title.hu</v>
      </c>
      <c r="BU8" s="19" t="str">
        <f>_xlfn.CONCAT(BH8,".",BU7)</f>
        <v>Entitlement Specification Title.is</v>
      </c>
      <c r="BV8" s="19" t="str">
        <f>_xlfn.CONCAT(BH8,".",BV7)</f>
        <v>Entitlement Specification Title.it</v>
      </c>
      <c r="BW8" s="19" t="str">
        <f>_xlfn.CONCAT(BH8,".",BW7)</f>
        <v>Entitlement Specification Title.lt</v>
      </c>
      <c r="BX8" s="19" t="str">
        <f>_xlfn.CONCAT(BH8,".",BX7)</f>
        <v>Entitlement Specification Title.lv</v>
      </c>
      <c r="BY8" s="19" t="str">
        <f>_xlfn.CONCAT(BH8,".",BY7)</f>
        <v>Entitlement Specification Title.mt</v>
      </c>
      <c r="BZ8" s="19" t="str">
        <f>_xlfn.CONCAT(BH8,".",BZ7)</f>
        <v>Entitlement Specification Title.nl</v>
      </c>
      <c r="CA8" s="19" t="str">
        <f>_xlfn.CONCAT(BH8,".",CA7)</f>
        <v>Entitlement Specification Title.no</v>
      </c>
      <c r="CB8" s="19" t="str">
        <f>_xlfn.CONCAT(BH8,".",CB7)</f>
        <v>Entitlement Specification Title.pl</v>
      </c>
      <c r="CC8" s="19" t="str">
        <f>_xlfn.CONCAT(BH8,".",CC7)</f>
        <v>Entitlement Specification Title.pt</v>
      </c>
      <c r="CD8" s="19" t="str">
        <f>_xlfn.CONCAT(BH8,".",CD7)</f>
        <v>Entitlement Specification Title.ro</v>
      </c>
      <c r="CE8" s="19" t="str">
        <f>_xlfn.CONCAT(BH8,".",CE7)</f>
        <v>Entitlement Specification Title.sk</v>
      </c>
      <c r="CF8" s="19" t="str">
        <f>_xlfn.CONCAT(BH8,".",CF7)</f>
        <v>Entitlement Specification Title.sl</v>
      </c>
      <c r="CG8" s="19" t="str">
        <f>_xlfn.CONCAT(BH8,".",CG7)</f>
        <v>Entitlement Specification Title.sv</v>
      </c>
      <c r="CH8" s="249" t="s">
        <v>1486</v>
      </c>
      <c r="CI8" s="227"/>
      <c r="CJ8" s="249" t="s">
        <v>1487</v>
      </c>
      <c r="CK8" s="19"/>
      <c r="CL8" s="19" t="s">
        <v>1488</v>
      </c>
      <c r="CM8" s="19" t="s">
        <v>1489</v>
      </c>
      <c r="CN8" s="19" t="s">
        <v>70</v>
      </c>
      <c r="CO8" s="19" t="str">
        <f>_xlfn.CONCAT(CN8,".",CO7)</f>
        <v>Description.bg</v>
      </c>
      <c r="CP8" s="19" t="str">
        <f>_xlfn.CONCAT(CN8,".",CP7)</f>
        <v>Description.cs</v>
      </c>
      <c r="CQ8" s="19" t="str">
        <f>_xlfn.CONCAT(CN8,".",CQ7)</f>
        <v>Description.da</v>
      </c>
      <c r="CR8" s="19" t="str">
        <f>_xlfn.CONCAT(CN8,".",CR7)</f>
        <v>Description.de</v>
      </c>
      <c r="CS8" s="19" t="str">
        <f>_xlfn.CONCAT(CN8,".",CS7)</f>
        <v>Description.el</v>
      </c>
      <c r="CT8" s="19" t="str">
        <f>_xlfn.CONCAT(CN8,".",CT7)</f>
        <v>Description.es</v>
      </c>
      <c r="CU8" s="19" t="str">
        <f>_xlfn.CONCAT(CN8,".",CU7)</f>
        <v>Description.et</v>
      </c>
      <c r="CV8" s="19" t="str">
        <f>_xlfn.CONCAT(CN8,".",CV7)</f>
        <v>Description.fi</v>
      </c>
      <c r="CW8" s="19" t="str">
        <f>_xlfn.CONCAT(CN8,".",CW7)</f>
        <v>Description.fr</v>
      </c>
      <c r="CX8" s="19" t="str">
        <f>_xlfn.CONCAT(CN8,".",CX7)</f>
        <v>Description.ga</v>
      </c>
      <c r="CY8" s="19" t="str">
        <f>_xlfn.CONCAT(CN8,".",CY7)</f>
        <v>Description.hr</v>
      </c>
      <c r="CZ8" s="19" t="str">
        <f>_xlfn.CONCAT(CN8,".",CZ7)</f>
        <v>Description.hu</v>
      </c>
      <c r="DA8" s="19" t="str">
        <f>_xlfn.CONCAT(CN8,".",DA7)</f>
        <v>Description.is</v>
      </c>
      <c r="DB8" s="19" t="str">
        <f>_xlfn.CONCAT(CN8,".",DB7)</f>
        <v>Description.it</v>
      </c>
      <c r="DC8" s="19" t="str">
        <f>_xlfn.CONCAT(CN8,".",DC7)</f>
        <v>Description.lt</v>
      </c>
      <c r="DD8" s="19" t="str">
        <f>_xlfn.CONCAT(CN8,".",DD7)</f>
        <v>Description.lv</v>
      </c>
      <c r="DE8" s="19" t="str">
        <f>_xlfn.CONCAT(CN8,".",DE7)</f>
        <v>Description.mt</v>
      </c>
      <c r="DF8" s="19" t="str">
        <f>_xlfn.CONCAT(CN8,".",DF7)</f>
        <v>Description.nl</v>
      </c>
      <c r="DG8" s="19" t="str">
        <f>_xlfn.CONCAT(CN8,".",DG7)</f>
        <v>Description.no</v>
      </c>
      <c r="DH8" s="19" t="str">
        <f>_xlfn.CONCAT(CN8,".",DH7)</f>
        <v>Description.pl</v>
      </c>
      <c r="DI8" s="19" t="str">
        <f>_xlfn.CONCAT(CN8,".",DI7)</f>
        <v>Description.pt</v>
      </c>
      <c r="DJ8" s="19" t="str">
        <f>_xlfn.CONCAT(CN8,".",DJ7)</f>
        <v>Description.ro</v>
      </c>
      <c r="DK8" s="19" t="str">
        <f>_xlfn.CONCAT(CN8,".",DK7)</f>
        <v>Description.sk</v>
      </c>
      <c r="DL8" s="19" t="str">
        <f>_xlfn.CONCAT(CN8,".",DL7)</f>
        <v>Description.sl</v>
      </c>
      <c r="DM8" s="19" t="str">
        <f>_xlfn.CONCAT(CN8,".",DM7)</f>
        <v>Description.sv</v>
      </c>
      <c r="DN8" s="19" t="s">
        <v>1490</v>
      </c>
      <c r="DO8" s="19"/>
      <c r="DP8" s="19" t="s">
        <v>1491</v>
      </c>
      <c r="DQ8" s="19"/>
      <c r="DR8" s="19" t="s">
        <v>1492</v>
      </c>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127"/>
      <c r="JE8" s="127"/>
      <c r="JF8" s="127"/>
      <c r="JG8" s="127"/>
      <c r="JH8" s="127"/>
      <c r="JI8" s="127"/>
      <c r="JJ8" s="127"/>
      <c r="JK8" s="127"/>
      <c r="JL8" s="127"/>
      <c r="JM8" s="127"/>
      <c r="JN8" s="127"/>
      <c r="JO8" s="127"/>
      <c r="JP8" s="127"/>
      <c r="JQ8" s="127"/>
      <c r="JR8" s="127"/>
      <c r="JS8" s="127"/>
      <c r="JT8" s="127"/>
      <c r="JU8" s="127"/>
      <c r="JV8" s="127"/>
      <c r="JW8" s="127"/>
      <c r="JX8" s="127"/>
      <c r="JY8" s="127"/>
      <c r="JZ8" s="127"/>
      <c r="KA8" s="127"/>
      <c r="KB8" s="127"/>
      <c r="KC8" s="127"/>
      <c r="KD8" s="127"/>
      <c r="KE8" s="127"/>
      <c r="KF8" s="127"/>
      <c r="KG8" s="127"/>
      <c r="KH8" s="127"/>
      <c r="KI8" s="127"/>
      <c r="KJ8" s="127"/>
      <c r="KK8" s="127"/>
      <c r="KL8" s="127"/>
      <c r="KM8" s="127"/>
      <c r="KN8" s="127"/>
      <c r="KO8" s="127"/>
      <c r="KP8" s="127"/>
      <c r="KQ8" s="127"/>
      <c r="KR8" s="127"/>
      <c r="KS8" s="127"/>
      <c r="KT8" s="127"/>
      <c r="KU8" s="127"/>
      <c r="KV8" s="127"/>
      <c r="KW8" s="127"/>
      <c r="KX8" s="127"/>
      <c r="KY8" s="127"/>
      <c r="KZ8" s="127"/>
      <c r="LA8" s="127"/>
      <c r="LB8" s="127"/>
      <c r="LC8" s="72"/>
      <c r="LD8" s="72"/>
      <c r="LE8" s="72"/>
      <c r="LF8" s="72"/>
      <c r="LG8" s="72"/>
      <c r="LH8" s="72"/>
      <c r="LI8" s="72"/>
      <c r="LJ8" s="72"/>
      <c r="LK8" s="72"/>
      <c r="LL8" s="72"/>
      <c r="LM8" s="72"/>
      <c r="LN8" s="72"/>
      <c r="LO8" s="72"/>
      <c r="LP8" s="72"/>
      <c r="LQ8" s="72"/>
      <c r="LR8" s="72"/>
      <c r="LS8" s="72"/>
      <c r="LT8" s="72"/>
      <c r="LU8" s="72"/>
      <c r="LV8" s="72"/>
      <c r="LW8" s="72"/>
      <c r="LX8" s="72"/>
      <c r="LY8" s="72"/>
      <c r="LZ8" s="72"/>
      <c r="MA8" s="72"/>
      <c r="MB8" s="72"/>
      <c r="MC8" s="72"/>
      <c r="MD8" s="72"/>
      <c r="ME8" s="127"/>
      <c r="MF8" s="127"/>
      <c r="MG8" s="127"/>
      <c r="MH8" s="127"/>
      <c r="MI8" s="127"/>
      <c r="MJ8" s="127"/>
      <c r="MK8" s="127"/>
      <c r="ML8" s="127"/>
      <c r="MM8" s="127"/>
      <c r="MN8" s="127"/>
      <c r="MO8" s="127"/>
      <c r="MP8" s="127"/>
      <c r="MQ8" s="127"/>
      <c r="MR8" s="127"/>
      <c r="MS8" s="127"/>
      <c r="MT8" s="127"/>
      <c r="MU8" s="127"/>
      <c r="MV8" s="127"/>
      <c r="MW8" s="127"/>
      <c r="MX8" s="127"/>
      <c r="MY8" s="127"/>
      <c r="MZ8" s="127"/>
      <c r="NA8" s="127"/>
      <c r="NB8" s="127"/>
      <c r="NC8" s="127"/>
      <c r="ND8" s="127"/>
      <c r="NE8" s="127"/>
      <c r="NF8" s="127"/>
      <c r="NG8" s="127"/>
      <c r="NH8" s="127"/>
      <c r="NI8" s="127"/>
      <c r="NJ8" s="127"/>
      <c r="NK8" s="127"/>
      <c r="NL8" s="127"/>
      <c r="NM8" s="127"/>
      <c r="NN8" s="127"/>
      <c r="NO8" s="127"/>
      <c r="NP8" s="127"/>
      <c r="NQ8" s="127"/>
      <c r="NR8" s="127"/>
      <c r="NS8" s="127"/>
      <c r="NT8" s="127"/>
      <c r="NU8" s="127"/>
      <c r="NV8" s="127"/>
      <c r="NW8" s="127"/>
      <c r="NX8" s="127"/>
      <c r="NY8" s="127"/>
      <c r="NZ8" s="127"/>
      <c r="OA8" s="127"/>
      <c r="OB8" s="127"/>
      <c r="OC8" s="127"/>
      <c r="OD8" s="127"/>
      <c r="OE8" s="127"/>
      <c r="OF8" s="127"/>
      <c r="OG8" s="127"/>
      <c r="OH8" s="127"/>
      <c r="OI8" s="127"/>
      <c r="OJ8" s="127"/>
      <c r="OK8" s="127"/>
      <c r="OL8" s="127"/>
      <c r="OM8" s="127"/>
      <c r="ON8" s="127"/>
      <c r="OO8" s="127"/>
      <c r="OP8" s="127"/>
      <c r="OQ8" s="127"/>
      <c r="OR8" s="127"/>
      <c r="OS8" s="127"/>
      <c r="OT8" s="127"/>
      <c r="OU8" s="127"/>
      <c r="OV8" s="127"/>
      <c r="OW8" s="127"/>
      <c r="OX8" s="127"/>
      <c r="OY8" s="127"/>
      <c r="OZ8" s="127"/>
      <c r="PA8" s="127"/>
      <c r="PB8" s="127"/>
      <c r="PC8" s="127"/>
      <c r="PD8" s="127"/>
      <c r="PE8" s="127"/>
      <c r="PF8" s="127"/>
      <c r="PG8" s="127"/>
      <c r="PH8" s="127"/>
      <c r="PI8" s="127"/>
      <c r="PJ8" s="127"/>
      <c r="PK8" s="127"/>
      <c r="PL8" s="127"/>
      <c r="PM8" s="127"/>
      <c r="PN8" s="127"/>
      <c r="PO8" s="127"/>
      <c r="PP8" s="127"/>
      <c r="PQ8" s="127"/>
      <c r="PR8" s="127"/>
      <c r="PS8" s="127"/>
      <c r="PT8" s="127"/>
      <c r="PU8" s="127"/>
      <c r="PV8" s="127"/>
      <c r="PW8" s="127"/>
      <c r="PX8" s="127"/>
      <c r="PY8" s="127"/>
      <c r="PZ8" s="127"/>
      <c r="QA8" s="127"/>
      <c r="QB8" s="127"/>
      <c r="QC8" s="127"/>
      <c r="QD8" s="127"/>
      <c r="QE8" s="127"/>
      <c r="QF8" s="127"/>
      <c r="QG8" s="127"/>
      <c r="QH8" s="127"/>
      <c r="QI8" s="127"/>
      <c r="QJ8" s="127"/>
      <c r="QK8" s="127"/>
      <c r="QL8" s="127"/>
      <c r="QM8" s="127"/>
      <c r="QN8" s="127"/>
      <c r="QO8" s="127"/>
      <c r="QP8" s="127"/>
      <c r="QQ8" s="127"/>
      <c r="QR8" s="127"/>
      <c r="QS8" s="127"/>
      <c r="QT8" s="127"/>
      <c r="QU8" s="127"/>
      <c r="QV8" s="127"/>
      <c r="QW8" s="127"/>
      <c r="QX8" s="127"/>
      <c r="QY8" s="127"/>
      <c r="QZ8" s="127"/>
      <c r="RA8" s="127"/>
      <c r="RB8" s="127"/>
      <c r="RC8" s="127"/>
      <c r="RD8" s="127"/>
      <c r="RE8" s="127"/>
      <c r="RF8" s="127"/>
      <c r="RG8" s="127"/>
      <c r="RH8" s="127"/>
      <c r="RI8" s="127"/>
      <c r="RJ8" s="127"/>
      <c r="RK8" s="127"/>
      <c r="RL8" s="127"/>
    </row>
    <row r="9" spans="1:480" s="129" customFormat="1" ht="90">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t="s">
        <v>1493</v>
      </c>
      <c r="AE9" s="26" t="s">
        <v>1494</v>
      </c>
      <c r="AF9" s="26" t="s">
        <v>1495</v>
      </c>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t="s">
        <v>1496</v>
      </c>
      <c r="BG9" s="26"/>
      <c r="BH9" s="179" t="s">
        <v>1497</v>
      </c>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t="s">
        <v>1498</v>
      </c>
      <c r="CI9" s="69"/>
      <c r="CJ9" s="69" t="s">
        <v>1499</v>
      </c>
      <c r="CK9" s="69"/>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t="s">
        <v>1500</v>
      </c>
      <c r="DO9" s="26"/>
      <c r="DP9" s="26" t="s">
        <v>1501</v>
      </c>
      <c r="DQ9" s="26"/>
      <c r="DR9" s="7"/>
      <c r="DS9" s="74"/>
      <c r="DT9" s="74"/>
      <c r="DU9" s="74"/>
      <c r="DV9" s="128"/>
      <c r="DW9" s="128"/>
      <c r="DX9" s="128"/>
      <c r="DY9" s="128"/>
      <c r="DZ9" s="128"/>
      <c r="EA9" s="128"/>
      <c r="EB9" s="128"/>
      <c r="EC9" s="128"/>
      <c r="ED9" s="128"/>
      <c r="EE9" s="128"/>
      <c r="EF9" s="128"/>
      <c r="EG9" s="128"/>
      <c r="EH9" s="128"/>
      <c r="EI9" s="128"/>
      <c r="EJ9" s="128"/>
      <c r="EK9" s="128"/>
      <c r="EL9" s="128"/>
      <c r="EM9" s="128"/>
      <c r="EN9" s="128"/>
      <c r="EO9" s="128"/>
      <c r="EP9" s="128"/>
      <c r="EQ9" s="128"/>
      <c r="ER9" s="128"/>
      <c r="ES9" s="128"/>
      <c r="ET9" s="128"/>
      <c r="EU9" s="128"/>
      <c r="EV9" s="128"/>
      <c r="EW9" s="128"/>
      <c r="EX9" s="128"/>
      <c r="EY9" s="128"/>
      <c r="EZ9" s="128"/>
      <c r="FA9" s="128"/>
      <c r="FB9" s="128"/>
      <c r="FC9" s="128"/>
      <c r="FD9" s="128"/>
      <c r="FE9" s="128"/>
      <c r="FF9" s="128"/>
      <c r="FG9" s="128"/>
      <c r="FH9" s="128"/>
      <c r="FI9" s="128"/>
      <c r="FJ9" s="128"/>
      <c r="FK9" s="128"/>
      <c r="FL9" s="128"/>
      <c r="FM9" s="128"/>
      <c r="FN9" s="128"/>
      <c r="FO9" s="128"/>
      <c r="FP9" s="128"/>
      <c r="FQ9" s="128"/>
      <c r="FR9" s="128"/>
      <c r="FS9" s="128"/>
      <c r="FT9" s="128"/>
      <c r="FU9" s="128"/>
      <c r="FV9" s="128"/>
      <c r="FW9" s="128"/>
      <c r="FX9" s="128"/>
      <c r="FY9" s="128"/>
      <c r="FZ9" s="128"/>
      <c r="GA9" s="128"/>
      <c r="GB9" s="128"/>
      <c r="GC9" s="128"/>
      <c r="GD9" s="128"/>
      <c r="GE9" s="128"/>
      <c r="GF9" s="128"/>
      <c r="GG9" s="128"/>
      <c r="GH9" s="128"/>
      <c r="GI9" s="128"/>
      <c r="GJ9" s="128"/>
      <c r="GK9" s="128"/>
      <c r="GL9" s="128"/>
      <c r="GM9" s="128"/>
      <c r="GN9" s="128"/>
      <c r="GO9" s="128"/>
      <c r="GP9" s="128"/>
      <c r="GQ9" s="128"/>
      <c r="GR9" s="128"/>
      <c r="GS9" s="128"/>
      <c r="GT9" s="128"/>
      <c r="GU9" s="128"/>
      <c r="GV9" s="128"/>
      <c r="GW9" s="128"/>
      <c r="GX9" s="128"/>
      <c r="GY9" s="128"/>
      <c r="GZ9" s="128"/>
      <c r="HA9" s="128"/>
      <c r="HB9" s="128"/>
      <c r="HC9" s="75"/>
      <c r="HD9" s="75"/>
      <c r="HE9" s="75"/>
      <c r="HF9" s="75"/>
      <c r="HG9" s="75"/>
      <c r="HH9" s="75"/>
      <c r="HI9" s="75"/>
      <c r="HJ9" s="75"/>
      <c r="HK9" s="75"/>
      <c r="HL9" s="75"/>
      <c r="HM9" s="75"/>
      <c r="HN9" s="75"/>
      <c r="HO9" s="75"/>
      <c r="HP9" s="75"/>
      <c r="HQ9" s="75"/>
      <c r="HR9" s="75"/>
      <c r="HS9" s="75"/>
      <c r="HT9" s="75"/>
      <c r="HU9" s="75"/>
      <c r="HV9" s="75"/>
      <c r="HW9" s="75"/>
      <c r="HX9" s="75"/>
      <c r="HY9" s="75"/>
      <c r="HZ9" s="75"/>
      <c r="IA9" s="75"/>
      <c r="IB9" s="75"/>
      <c r="IC9" s="75"/>
      <c r="ID9" s="75"/>
      <c r="IE9" s="75"/>
      <c r="IF9" s="75"/>
      <c r="IG9" s="75"/>
      <c r="IH9" s="75"/>
      <c r="II9" s="75"/>
      <c r="IJ9" s="75"/>
      <c r="IK9" s="75"/>
      <c r="IL9" s="75"/>
      <c r="IM9" s="75"/>
      <c r="IN9" s="75"/>
      <c r="IO9" s="75"/>
      <c r="IP9" s="75"/>
      <c r="IQ9" s="75"/>
      <c r="IR9" s="75"/>
      <c r="IS9" s="75"/>
      <c r="IT9" s="75"/>
      <c r="IU9" s="75"/>
      <c r="IV9" s="75"/>
      <c r="IW9" s="75"/>
      <c r="IX9" s="75"/>
      <c r="IY9" s="75"/>
      <c r="IZ9" s="75"/>
      <c r="JA9" s="75"/>
      <c r="JB9" s="75"/>
      <c r="JC9" s="75"/>
      <c r="JD9" s="75"/>
      <c r="JE9" s="75"/>
      <c r="JF9" s="75"/>
      <c r="JG9" s="75"/>
      <c r="JH9" s="75"/>
      <c r="JI9" s="75"/>
      <c r="JJ9" s="75"/>
      <c r="JK9" s="75"/>
      <c r="JL9" s="75"/>
      <c r="JM9" s="75"/>
      <c r="JN9" s="75"/>
      <c r="JO9" s="75"/>
      <c r="JP9" s="75"/>
      <c r="JQ9" s="75"/>
      <c r="JR9" s="75"/>
      <c r="JS9" s="75"/>
      <c r="JT9" s="75"/>
      <c r="JU9" s="75"/>
      <c r="JV9" s="75"/>
      <c r="JW9" s="75"/>
      <c r="JX9" s="75"/>
      <c r="JY9" s="75"/>
      <c r="JZ9" s="75"/>
      <c r="KA9" s="75"/>
      <c r="KB9" s="75"/>
      <c r="KC9" s="75"/>
      <c r="KD9" s="75"/>
      <c r="KE9" s="75"/>
      <c r="KF9" s="75"/>
      <c r="KG9" s="75"/>
      <c r="KH9" s="75"/>
      <c r="KI9" s="75"/>
      <c r="KJ9" s="75"/>
      <c r="KK9" s="75"/>
      <c r="KL9" s="75"/>
      <c r="KM9" s="75"/>
      <c r="KN9" s="75"/>
      <c r="KO9" s="75"/>
      <c r="KP9" s="75"/>
      <c r="KQ9" s="75"/>
      <c r="KR9" s="75"/>
      <c r="KS9" s="75"/>
      <c r="KT9" s="75"/>
      <c r="KU9" s="75"/>
      <c r="KV9" s="75"/>
      <c r="KW9" s="75"/>
      <c r="KX9" s="75"/>
      <c r="KY9" s="75"/>
      <c r="KZ9" s="75"/>
      <c r="LA9" s="75"/>
      <c r="LB9" s="75"/>
      <c r="LC9" s="74"/>
      <c r="LD9" s="74"/>
      <c r="LE9" s="74"/>
      <c r="LF9" s="74"/>
      <c r="LG9" s="74"/>
      <c r="LH9" s="74"/>
      <c r="LI9" s="74"/>
      <c r="LJ9" s="74"/>
      <c r="LK9" s="74"/>
      <c r="LL9" s="74"/>
      <c r="LM9" s="74"/>
      <c r="LN9" s="74"/>
      <c r="LO9" s="74"/>
      <c r="LP9" s="74"/>
      <c r="LQ9" s="74"/>
      <c r="LR9" s="74"/>
      <c r="LS9" s="74"/>
      <c r="LT9" s="74"/>
      <c r="LU9" s="74"/>
      <c r="LV9" s="74"/>
      <c r="LW9" s="74"/>
      <c r="LX9" s="74"/>
      <c r="LY9" s="74"/>
      <c r="LZ9" s="74"/>
      <c r="MA9" s="74"/>
      <c r="MB9" s="74"/>
      <c r="MC9" s="74"/>
      <c r="MD9" s="74"/>
      <c r="ME9" s="75"/>
      <c r="MF9" s="75"/>
      <c r="MG9" s="75"/>
      <c r="MH9" s="75"/>
      <c r="MI9" s="75"/>
      <c r="MJ9" s="75"/>
      <c r="MK9" s="75"/>
      <c r="ML9" s="75"/>
      <c r="MM9" s="75"/>
      <c r="MN9" s="75"/>
      <c r="MO9" s="75"/>
      <c r="MP9" s="75"/>
      <c r="MQ9" s="75"/>
      <c r="MR9" s="75"/>
      <c r="MS9" s="75"/>
      <c r="MT9" s="75"/>
      <c r="MU9" s="75"/>
      <c r="MV9" s="75"/>
      <c r="MW9" s="75"/>
      <c r="MX9" s="75"/>
      <c r="MY9" s="75"/>
      <c r="MZ9" s="75"/>
      <c r="NA9" s="75"/>
      <c r="NB9" s="75"/>
      <c r="NC9" s="75"/>
      <c r="ND9" s="75"/>
      <c r="NE9" s="75"/>
      <c r="NF9" s="75"/>
      <c r="NG9" s="75"/>
      <c r="NH9" s="75"/>
      <c r="NI9" s="75"/>
      <c r="NJ9" s="75"/>
      <c r="NK9" s="75"/>
      <c r="NL9" s="75"/>
      <c r="NM9" s="75"/>
      <c r="NN9" s="75"/>
      <c r="NO9" s="75"/>
      <c r="NP9" s="75"/>
      <c r="NQ9" s="75"/>
      <c r="NR9" s="75"/>
      <c r="NS9" s="75"/>
      <c r="NT9" s="75"/>
      <c r="NU9" s="75"/>
      <c r="NV9" s="75"/>
      <c r="NW9" s="75"/>
      <c r="NX9" s="75"/>
      <c r="NY9" s="75"/>
      <c r="NZ9" s="75"/>
      <c r="OA9" s="75"/>
      <c r="OB9" s="75"/>
      <c r="OC9" s="75"/>
      <c r="OD9" s="75"/>
      <c r="OE9" s="75"/>
      <c r="OF9" s="75"/>
      <c r="OG9" s="75"/>
      <c r="OH9" s="75"/>
      <c r="OI9" s="75"/>
      <c r="OJ9" s="75"/>
      <c r="OK9" s="75"/>
      <c r="OL9" s="75"/>
      <c r="OM9" s="75"/>
      <c r="ON9" s="75"/>
      <c r="OO9" s="75"/>
      <c r="OP9" s="75"/>
      <c r="OQ9" s="75"/>
      <c r="OR9" s="75"/>
      <c r="OS9" s="75"/>
      <c r="OT9" s="75"/>
      <c r="OU9" s="75"/>
      <c r="OV9" s="75"/>
      <c r="OW9" s="75"/>
      <c r="OX9" s="75"/>
      <c r="OY9" s="75"/>
      <c r="OZ9" s="75"/>
      <c r="PA9" s="75"/>
      <c r="PB9" s="75"/>
      <c r="PC9" s="75"/>
      <c r="PD9" s="75"/>
      <c r="PE9" s="75"/>
      <c r="PF9" s="75"/>
      <c r="PG9" s="75"/>
      <c r="PH9" s="75"/>
      <c r="PI9" s="75"/>
      <c r="PJ9" s="75"/>
      <c r="PK9" s="75"/>
      <c r="PL9" s="75"/>
      <c r="PM9" s="75"/>
      <c r="PN9" s="75"/>
      <c r="PO9" s="75"/>
      <c r="PP9" s="75"/>
      <c r="PQ9" s="75"/>
      <c r="PR9" s="75"/>
      <c r="PS9" s="75"/>
      <c r="PT9" s="75"/>
      <c r="PU9" s="75"/>
      <c r="PV9" s="75"/>
      <c r="PW9" s="75"/>
      <c r="PX9" s="75"/>
      <c r="PY9" s="75"/>
      <c r="PZ9" s="75"/>
      <c r="QA9" s="75"/>
      <c r="QB9" s="75"/>
      <c r="QC9" s="75"/>
      <c r="QD9" s="75"/>
      <c r="QE9" s="75"/>
      <c r="QF9" s="75"/>
      <c r="QG9" s="75"/>
      <c r="QH9" s="75"/>
      <c r="QI9" s="75"/>
      <c r="QJ9" s="75"/>
      <c r="QK9" s="75"/>
      <c r="QL9" s="75"/>
      <c r="QM9" s="75"/>
      <c r="QN9" s="75"/>
      <c r="QO9" s="75"/>
      <c r="QP9" s="75"/>
      <c r="QQ9" s="75"/>
      <c r="QR9" s="75"/>
      <c r="QS9" s="75"/>
      <c r="QT9" s="75"/>
      <c r="QU9" s="75"/>
      <c r="QV9" s="75"/>
      <c r="QW9" s="75"/>
      <c r="QX9" s="75"/>
      <c r="QY9" s="75"/>
      <c r="QZ9" s="75"/>
      <c r="RA9" s="75"/>
      <c r="RB9" s="75"/>
      <c r="RC9" s="75"/>
      <c r="RD9" s="75"/>
      <c r="RE9" s="75"/>
      <c r="RF9" s="75"/>
      <c r="RG9" s="75"/>
      <c r="RH9" s="75"/>
      <c r="RI9" s="75"/>
      <c r="RJ9" s="75"/>
      <c r="RK9" s="75"/>
      <c r="RL9" s="75"/>
    </row>
    <row r="10" spans="1:480" ht="15.75"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c r="AE10" s="86"/>
      <c r="AF10" s="86" t="s">
        <v>12</v>
      </c>
      <c r="AG10" s="86" t="s">
        <v>84</v>
      </c>
      <c r="AH10" s="86" t="s">
        <v>85</v>
      </c>
      <c r="AI10" s="86" t="s">
        <v>86</v>
      </c>
      <c r="AJ10" s="86" t="s">
        <v>87</v>
      </c>
      <c r="AK10" s="86" t="s">
        <v>88</v>
      </c>
      <c r="AL10" s="86" t="s">
        <v>89</v>
      </c>
      <c r="AM10" s="86" t="s">
        <v>90</v>
      </c>
      <c r="AN10" s="86" t="s">
        <v>91</v>
      </c>
      <c r="AO10" s="86" t="s">
        <v>92</v>
      </c>
      <c r="AP10" s="86" t="s">
        <v>93</v>
      </c>
      <c r="AQ10" s="86" t="s">
        <v>94</v>
      </c>
      <c r="AR10" s="86" t="s">
        <v>95</v>
      </c>
      <c r="AS10" s="86" t="s">
        <v>96</v>
      </c>
      <c r="AT10" s="86" t="s">
        <v>97</v>
      </c>
      <c r="AU10" s="86" t="s">
        <v>98</v>
      </c>
      <c r="AV10" s="86" t="s">
        <v>99</v>
      </c>
      <c r="AW10" s="86" t="s">
        <v>100</v>
      </c>
      <c r="AX10" s="86" t="s">
        <v>14</v>
      </c>
      <c r="AY10" s="86" t="s">
        <v>101</v>
      </c>
      <c r="AZ10" s="86" t="s">
        <v>102</v>
      </c>
      <c r="BA10" s="86" t="s">
        <v>103</v>
      </c>
      <c r="BB10" s="86" t="s">
        <v>104</v>
      </c>
      <c r="BC10" s="86" t="s">
        <v>105</v>
      </c>
      <c r="BD10" s="86" t="s">
        <v>106</v>
      </c>
      <c r="BE10" s="86" t="s">
        <v>107</v>
      </c>
      <c r="BF10" s="86"/>
      <c r="BG10" s="86"/>
      <c r="BH10" s="146" t="s">
        <v>12</v>
      </c>
      <c r="BI10" s="86" t="s">
        <v>84</v>
      </c>
      <c r="BJ10" s="86" t="s">
        <v>85</v>
      </c>
      <c r="BK10" s="86" t="s">
        <v>86</v>
      </c>
      <c r="BL10" s="86" t="s">
        <v>87</v>
      </c>
      <c r="BM10" s="86" t="s">
        <v>88</v>
      </c>
      <c r="BN10" s="86" t="s">
        <v>89</v>
      </c>
      <c r="BO10" s="86" t="s">
        <v>90</v>
      </c>
      <c r="BP10" s="86" t="s">
        <v>91</v>
      </c>
      <c r="BQ10" s="86" t="s">
        <v>92</v>
      </c>
      <c r="BR10" s="86" t="s">
        <v>93</v>
      </c>
      <c r="BS10" s="86" t="s">
        <v>94</v>
      </c>
      <c r="BT10" s="86" t="s">
        <v>95</v>
      </c>
      <c r="BU10" s="86" t="s">
        <v>96</v>
      </c>
      <c r="BV10" s="86" t="s">
        <v>97</v>
      </c>
      <c r="BW10" s="86" t="s">
        <v>98</v>
      </c>
      <c r="BX10" s="86" t="s">
        <v>99</v>
      </c>
      <c r="BY10" s="86" t="s">
        <v>100</v>
      </c>
      <c r="BZ10" s="86" t="s">
        <v>14</v>
      </c>
      <c r="CA10" s="86" t="s">
        <v>101</v>
      </c>
      <c r="CB10" s="86" t="s">
        <v>102</v>
      </c>
      <c r="CC10" s="86" t="s">
        <v>103</v>
      </c>
      <c r="CD10" s="86" t="s">
        <v>104</v>
      </c>
      <c r="CE10" s="86" t="s">
        <v>105</v>
      </c>
      <c r="CF10" s="86" t="s">
        <v>106</v>
      </c>
      <c r="CG10" s="86" t="s">
        <v>107</v>
      </c>
      <c r="CH10" s="86"/>
      <c r="CI10" s="86"/>
      <c r="CJ10" s="86"/>
      <c r="CK10" s="86"/>
      <c r="CL10" s="86"/>
      <c r="CM10" s="86"/>
      <c r="CN10" s="86"/>
      <c r="CO10" s="86" t="s">
        <v>84</v>
      </c>
      <c r="CP10" s="86" t="s">
        <v>85</v>
      </c>
      <c r="CQ10" s="86" t="s">
        <v>86</v>
      </c>
      <c r="CR10" s="86" t="s">
        <v>87</v>
      </c>
      <c r="CS10" s="86" t="s">
        <v>88</v>
      </c>
      <c r="CT10" s="86" t="s">
        <v>89</v>
      </c>
      <c r="CU10" s="86" t="s">
        <v>90</v>
      </c>
      <c r="CV10" s="86" t="s">
        <v>91</v>
      </c>
      <c r="CW10" s="86" t="s">
        <v>92</v>
      </c>
      <c r="CX10" s="86" t="s">
        <v>93</v>
      </c>
      <c r="CY10" s="86" t="s">
        <v>94</v>
      </c>
      <c r="CZ10" s="86" t="s">
        <v>95</v>
      </c>
      <c r="DA10" s="86" t="s">
        <v>96</v>
      </c>
      <c r="DB10" s="86" t="s">
        <v>97</v>
      </c>
      <c r="DC10" s="86" t="s">
        <v>98</v>
      </c>
      <c r="DD10" s="86" t="s">
        <v>99</v>
      </c>
      <c r="DE10" s="86" t="s">
        <v>100</v>
      </c>
      <c r="DF10" s="86" t="s">
        <v>14</v>
      </c>
      <c r="DG10" s="86" t="s">
        <v>101</v>
      </c>
      <c r="DH10" s="86" t="s">
        <v>102</v>
      </c>
      <c r="DI10" s="86" t="s">
        <v>103</v>
      </c>
      <c r="DJ10" s="86" t="s">
        <v>104</v>
      </c>
      <c r="DK10" s="86" t="s">
        <v>105</v>
      </c>
      <c r="DL10" s="86" t="s">
        <v>106</v>
      </c>
      <c r="DM10" s="86" t="s">
        <v>107</v>
      </c>
      <c r="DN10" s="86"/>
      <c r="DO10" s="86"/>
      <c r="DP10" s="86"/>
      <c r="DQ10" s="86"/>
      <c r="DR10" s="86"/>
      <c r="DS10" s="130"/>
      <c r="DT10" s="130"/>
      <c r="DU10" s="130"/>
      <c r="DV10" s="131"/>
      <c r="DW10" s="130"/>
      <c r="DX10" s="130"/>
      <c r="DY10" s="130"/>
      <c r="DZ10" s="130"/>
      <c r="EA10" s="130"/>
      <c r="EB10" s="130"/>
      <c r="EC10" s="130"/>
      <c r="ED10" s="130"/>
      <c r="EE10" s="130"/>
      <c r="EF10" s="130"/>
      <c r="EG10" s="130"/>
      <c r="EH10" s="130"/>
      <c r="EI10" s="130"/>
      <c r="EJ10" s="130"/>
      <c r="EK10" s="130"/>
      <c r="EL10" s="130"/>
      <c r="EM10" s="130"/>
      <c r="EN10" s="130"/>
      <c r="EO10" s="130"/>
      <c r="EP10" s="130"/>
      <c r="EQ10" s="130"/>
      <c r="ER10" s="130"/>
      <c r="ES10" s="130"/>
      <c r="ET10" s="130"/>
      <c r="EU10" s="130"/>
      <c r="EV10" s="131"/>
      <c r="EW10" s="131"/>
      <c r="EX10" s="131"/>
      <c r="EY10" s="131"/>
      <c r="EZ10" s="131"/>
      <c r="FA10" s="131"/>
      <c r="FB10" s="131"/>
      <c r="FC10" s="131"/>
      <c r="FD10" s="131"/>
      <c r="FE10" s="131"/>
      <c r="FF10" s="131"/>
      <c r="FG10" s="131"/>
      <c r="FH10" s="131"/>
      <c r="FI10" s="131"/>
      <c r="FJ10" s="131"/>
      <c r="FK10" s="131"/>
      <c r="FL10" s="131"/>
      <c r="FM10" s="131"/>
      <c r="FN10" s="131"/>
      <c r="FO10" s="131"/>
      <c r="FP10" s="131"/>
      <c r="FQ10" s="131"/>
      <c r="FR10" s="131"/>
      <c r="FS10" s="131"/>
      <c r="FT10" s="131"/>
      <c r="FU10" s="131"/>
      <c r="FV10" s="131"/>
      <c r="FW10" s="131"/>
      <c r="FX10" s="131"/>
      <c r="FY10" s="131"/>
      <c r="FZ10" s="131"/>
      <c r="GA10" s="131"/>
      <c r="GB10" s="131"/>
      <c r="GC10" s="131"/>
      <c r="GD10" s="131"/>
      <c r="GE10" s="131"/>
      <c r="GF10" s="131"/>
      <c r="GG10" s="131"/>
      <c r="GH10" s="131"/>
      <c r="GI10" s="131"/>
      <c r="GJ10" s="131"/>
      <c r="GK10" s="131"/>
      <c r="GL10" s="131"/>
      <c r="GM10" s="131"/>
      <c r="GN10" s="131"/>
      <c r="GO10" s="131"/>
      <c r="GP10" s="131"/>
      <c r="GQ10" s="131"/>
      <c r="GR10" s="131"/>
      <c r="GS10" s="131"/>
      <c r="GT10" s="131"/>
      <c r="GU10" s="131"/>
      <c r="GV10" s="131"/>
      <c r="GW10" s="131"/>
      <c r="GX10" s="131"/>
      <c r="GY10" s="131"/>
      <c r="GZ10" s="131"/>
      <c r="HA10" s="131"/>
      <c r="HB10" s="131"/>
      <c r="HC10" s="130"/>
      <c r="HD10" s="130"/>
      <c r="HE10" s="130"/>
      <c r="HF10" s="130"/>
      <c r="HG10" s="130"/>
      <c r="HH10" s="130"/>
      <c r="HI10" s="130"/>
      <c r="HJ10" s="130"/>
      <c r="HK10" s="130"/>
      <c r="HL10" s="130"/>
      <c r="HM10" s="130"/>
      <c r="HN10" s="130"/>
      <c r="HO10" s="130"/>
      <c r="HP10" s="130"/>
      <c r="HQ10" s="130"/>
      <c r="HR10" s="130"/>
      <c r="HS10" s="130"/>
      <c r="HT10" s="130"/>
      <c r="HU10" s="130"/>
      <c r="HV10" s="130"/>
      <c r="HW10" s="130"/>
      <c r="HX10" s="130"/>
      <c r="HY10" s="130"/>
      <c r="HZ10" s="130"/>
      <c r="IA10" s="130"/>
      <c r="IB10" s="130"/>
      <c r="IC10" s="130"/>
      <c r="ID10" s="130"/>
      <c r="IE10" s="130"/>
      <c r="IF10" s="130"/>
      <c r="IG10" s="130"/>
      <c r="IH10" s="130"/>
      <c r="II10" s="130"/>
      <c r="IJ10" s="130"/>
      <c r="IK10" s="130"/>
      <c r="IL10" s="130"/>
      <c r="IM10" s="130"/>
      <c r="IN10" s="130"/>
      <c r="IO10" s="130"/>
      <c r="IP10" s="130"/>
      <c r="IQ10" s="130"/>
      <c r="IR10" s="130"/>
      <c r="IS10" s="130"/>
      <c r="IT10" s="130"/>
      <c r="IU10" s="130"/>
      <c r="IV10" s="130"/>
      <c r="IW10" s="130"/>
      <c r="IX10" s="130"/>
      <c r="IY10" s="130"/>
      <c r="IZ10" s="130"/>
      <c r="JA10" s="130"/>
      <c r="JB10" s="130"/>
      <c r="JC10" s="130"/>
      <c r="JD10" s="130"/>
      <c r="JE10" s="130"/>
      <c r="JF10" s="130"/>
      <c r="JG10" s="130"/>
      <c r="JH10" s="130"/>
      <c r="JI10" s="130"/>
      <c r="JJ10" s="130"/>
      <c r="JK10" s="130"/>
      <c r="JL10" s="130"/>
      <c r="JM10" s="130"/>
      <c r="JN10" s="130"/>
      <c r="JO10" s="130"/>
      <c r="JP10" s="130"/>
      <c r="JQ10" s="130"/>
      <c r="JR10" s="130"/>
      <c r="JS10" s="130"/>
      <c r="JT10" s="130"/>
      <c r="JU10" s="130"/>
      <c r="JV10" s="130"/>
      <c r="JW10" s="130"/>
      <c r="JX10" s="130"/>
      <c r="JY10" s="130"/>
      <c r="JZ10" s="130"/>
      <c r="KA10" s="130"/>
      <c r="KB10" s="130"/>
      <c r="KC10" s="130"/>
      <c r="KD10" s="130"/>
      <c r="KE10" s="130"/>
      <c r="KF10" s="130"/>
      <c r="KG10" s="130"/>
      <c r="KH10" s="130"/>
      <c r="KI10" s="130"/>
      <c r="KJ10" s="130"/>
      <c r="KK10" s="130"/>
      <c r="KL10" s="130"/>
      <c r="KM10" s="130"/>
      <c r="KN10" s="130"/>
      <c r="KO10" s="130"/>
      <c r="KP10" s="130"/>
      <c r="KQ10" s="130"/>
      <c r="KR10" s="130"/>
      <c r="KS10" s="130"/>
      <c r="KT10" s="130"/>
      <c r="KU10" s="130"/>
      <c r="KV10" s="130"/>
      <c r="KW10" s="130"/>
      <c r="KX10" s="130"/>
      <c r="KY10" s="130"/>
      <c r="KZ10" s="130"/>
      <c r="LA10" s="130"/>
      <c r="LB10" s="130"/>
      <c r="LC10" s="130"/>
      <c r="LD10" s="130"/>
      <c r="LE10" s="130"/>
      <c r="LF10" s="130"/>
      <c r="LG10" s="130"/>
      <c r="LH10" s="130"/>
      <c r="LI10" s="130"/>
      <c r="LJ10" s="130"/>
      <c r="LK10" s="130"/>
      <c r="LL10" s="130"/>
      <c r="LM10" s="130"/>
      <c r="LN10" s="130"/>
      <c r="LO10" s="130"/>
      <c r="LP10" s="130"/>
      <c r="LQ10" s="130"/>
      <c r="LR10" s="130"/>
      <c r="LS10" s="130"/>
      <c r="LT10" s="130"/>
      <c r="LU10" s="130"/>
      <c r="LV10" s="130"/>
      <c r="LW10" s="130"/>
      <c r="LX10" s="130"/>
      <c r="LY10" s="130"/>
      <c r="LZ10" s="130"/>
      <c r="MA10" s="130"/>
      <c r="MB10" s="130"/>
      <c r="MC10" s="130"/>
      <c r="MD10" s="130"/>
      <c r="ME10" s="130"/>
      <c r="MF10" s="130"/>
      <c r="MG10" s="130"/>
      <c r="MH10" s="130"/>
      <c r="MI10" s="130"/>
      <c r="MJ10" s="130"/>
      <c r="MK10" s="130"/>
      <c r="ML10" s="130"/>
      <c r="MM10" s="130"/>
      <c r="MN10" s="130"/>
      <c r="MO10" s="130"/>
      <c r="MP10" s="130"/>
      <c r="MQ10" s="130"/>
      <c r="MR10" s="130"/>
      <c r="MS10" s="130"/>
      <c r="MT10" s="130"/>
      <c r="MU10" s="130"/>
      <c r="MV10" s="130"/>
      <c r="MW10" s="130"/>
      <c r="MX10" s="130"/>
      <c r="MY10" s="130"/>
      <c r="MZ10" s="130"/>
      <c r="NA10" s="130"/>
      <c r="NB10" s="130"/>
      <c r="NC10" s="130"/>
      <c r="ND10" s="130"/>
      <c r="NE10" s="130"/>
      <c r="NF10" s="130"/>
      <c r="NG10" s="130"/>
      <c r="NH10" s="130"/>
      <c r="NI10" s="130"/>
      <c r="NJ10" s="130"/>
      <c r="NK10" s="130"/>
      <c r="NL10" s="130"/>
      <c r="NM10" s="130"/>
      <c r="NN10" s="130"/>
      <c r="NO10" s="130"/>
      <c r="NP10" s="130"/>
      <c r="NQ10" s="130"/>
      <c r="NR10" s="130"/>
      <c r="NS10" s="130"/>
      <c r="NT10" s="130"/>
      <c r="NU10" s="130"/>
      <c r="NV10" s="130"/>
      <c r="NW10" s="130"/>
      <c r="NX10" s="130"/>
      <c r="NY10" s="130"/>
      <c r="NZ10" s="130"/>
      <c r="OA10" s="130"/>
      <c r="OB10" s="130"/>
      <c r="OC10" s="130"/>
      <c r="OD10" s="130"/>
      <c r="OE10" s="130"/>
      <c r="OF10" s="130"/>
      <c r="OG10" s="130"/>
      <c r="OH10" s="130"/>
      <c r="OI10" s="130"/>
      <c r="OJ10" s="130"/>
      <c r="OK10" s="130"/>
      <c r="OL10" s="130"/>
      <c r="OM10" s="130"/>
      <c r="ON10" s="130"/>
      <c r="OO10" s="130"/>
      <c r="OP10" s="130"/>
      <c r="OQ10" s="130"/>
      <c r="OR10" s="130"/>
      <c r="OS10" s="130"/>
      <c r="OT10" s="130"/>
      <c r="OU10" s="130"/>
      <c r="OV10" s="130"/>
      <c r="OW10" s="130"/>
      <c r="OX10" s="130"/>
      <c r="OY10" s="130"/>
      <c r="OZ10" s="130"/>
      <c r="PA10" s="130"/>
      <c r="PB10" s="130"/>
      <c r="PC10" s="130"/>
      <c r="PD10" s="130"/>
      <c r="PE10" s="130"/>
      <c r="PF10" s="130"/>
      <c r="PG10" s="130"/>
      <c r="PH10" s="130"/>
      <c r="PI10" s="130"/>
      <c r="PJ10" s="130"/>
      <c r="PK10" s="130"/>
      <c r="PL10" s="130"/>
      <c r="PM10" s="130"/>
      <c r="PN10" s="130"/>
      <c r="PO10" s="130"/>
      <c r="PP10" s="130"/>
      <c r="PQ10" s="130"/>
      <c r="PR10" s="130"/>
      <c r="PS10" s="130"/>
      <c r="PT10" s="130"/>
      <c r="PU10" s="130"/>
      <c r="PV10" s="130"/>
      <c r="PW10" s="130"/>
      <c r="PX10" s="130"/>
      <c r="PY10" s="130"/>
      <c r="PZ10" s="130"/>
      <c r="QA10" s="130"/>
      <c r="QB10" s="130"/>
      <c r="QC10" s="130"/>
      <c r="QD10" s="130"/>
      <c r="QE10" s="130"/>
      <c r="QF10" s="130"/>
      <c r="QG10" s="130"/>
      <c r="QH10" s="130"/>
      <c r="QI10" s="130"/>
      <c r="QJ10" s="130"/>
      <c r="QK10" s="130"/>
      <c r="QL10" s="130"/>
      <c r="QM10" s="130"/>
      <c r="QN10" s="130"/>
      <c r="QO10" s="130"/>
      <c r="QP10" s="130"/>
      <c r="QQ10" s="130"/>
      <c r="QR10" s="130"/>
      <c r="QS10" s="130"/>
      <c r="QT10" s="130"/>
      <c r="QU10" s="130"/>
      <c r="QV10" s="130"/>
      <c r="QW10" s="130"/>
      <c r="QX10" s="130"/>
      <c r="QY10" s="130"/>
      <c r="QZ10" s="130"/>
      <c r="RA10" s="130"/>
      <c r="RB10" s="130"/>
      <c r="RC10" s="130"/>
      <c r="RD10" s="130"/>
      <c r="RE10" s="130"/>
      <c r="RF10" s="130"/>
      <c r="RG10" s="130"/>
      <c r="RH10" s="130"/>
      <c r="RI10" s="130"/>
      <c r="RJ10" s="130"/>
      <c r="RK10" s="130"/>
      <c r="RL10" s="130"/>
    </row>
    <row r="11" spans="1:480" s="210" customFormat="1" ht="28.5"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5"/>
      <c r="AC11" s="206"/>
      <c r="AD11" s="209"/>
      <c r="AE11" s="209"/>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8"/>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185"/>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122"/>
      <c r="DT11" s="122"/>
      <c r="DU11" s="122"/>
      <c r="DV11" s="122"/>
      <c r="DW11" s="122"/>
      <c r="DX11" s="122"/>
      <c r="DY11" s="122"/>
      <c r="DZ11" s="122"/>
      <c r="EA11" s="122"/>
      <c r="EB11" s="122"/>
      <c r="EC11" s="122"/>
      <c r="ED11" s="122"/>
      <c r="EE11" s="122"/>
      <c r="EF11" s="122"/>
      <c r="EG11" s="122"/>
      <c r="EH11" s="122"/>
      <c r="EI11" s="122"/>
      <c r="EJ11" s="122"/>
      <c r="EK11" s="122"/>
      <c r="EL11" s="122"/>
      <c r="EM11" s="122"/>
      <c r="EN11" s="122"/>
      <c r="EO11" s="122"/>
      <c r="EP11" s="122"/>
      <c r="EQ11" s="122"/>
      <c r="ER11" s="122"/>
      <c r="ES11" s="122"/>
      <c r="ET11" s="122"/>
      <c r="EU11" s="122"/>
      <c r="EV11" s="122"/>
      <c r="EW11" s="123"/>
      <c r="EX11" s="122"/>
      <c r="EY11" s="123"/>
      <c r="EZ11" s="123"/>
      <c r="FA11" s="123"/>
      <c r="FB11" s="123"/>
      <c r="FC11" s="123"/>
      <c r="FD11" s="123"/>
      <c r="FE11" s="123"/>
      <c r="FF11" s="123"/>
      <c r="FG11" s="123"/>
      <c r="FH11" s="123"/>
      <c r="FI11" s="123"/>
      <c r="FJ11" s="123"/>
      <c r="FK11" s="123"/>
      <c r="FL11" s="123"/>
      <c r="FM11" s="123"/>
      <c r="FN11" s="123"/>
      <c r="FO11" s="123"/>
      <c r="FP11" s="123"/>
      <c r="FQ11" s="123"/>
      <c r="FR11" s="123"/>
      <c r="FS11" s="123"/>
      <c r="FT11" s="123"/>
      <c r="FU11" s="123"/>
      <c r="FV11" s="123"/>
      <c r="FW11" s="123"/>
      <c r="FX11" s="123"/>
      <c r="FY11" s="123"/>
      <c r="FZ11" s="123"/>
      <c r="GA11" s="123"/>
      <c r="GB11" s="123"/>
      <c r="GC11" s="123"/>
      <c r="GD11" s="123"/>
      <c r="GE11" s="123"/>
      <c r="GF11" s="123"/>
      <c r="GG11" s="123"/>
      <c r="GH11" s="123"/>
      <c r="GI11" s="123"/>
      <c r="GJ11" s="123"/>
      <c r="GK11" s="123"/>
      <c r="GL11" s="123"/>
      <c r="GM11" s="123"/>
      <c r="GN11" s="123"/>
      <c r="GO11" s="123"/>
      <c r="GP11" s="123"/>
      <c r="GQ11" s="123"/>
      <c r="GR11" s="123"/>
      <c r="GS11" s="123"/>
      <c r="GT11" s="123"/>
      <c r="GU11" s="123"/>
      <c r="GV11" s="123"/>
      <c r="GW11" s="123"/>
      <c r="GX11" s="123"/>
      <c r="GY11" s="123"/>
      <c r="GZ11" s="122"/>
      <c r="HA11" s="122"/>
      <c r="HB11" s="122"/>
      <c r="HC11" s="122"/>
      <c r="HD11" s="122"/>
      <c r="HE11" s="122"/>
      <c r="HF11" s="122"/>
      <c r="HG11" s="122"/>
      <c r="HH11" s="122"/>
      <c r="HI11" s="122"/>
      <c r="HJ11" s="122"/>
      <c r="HK11" s="122"/>
      <c r="HL11" s="122"/>
      <c r="HM11" s="122"/>
      <c r="HN11" s="122"/>
      <c r="HO11" s="122"/>
      <c r="HP11" s="122"/>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3"/>
      <c r="JD11" s="123"/>
      <c r="JE11" s="123"/>
      <c r="JF11" s="123"/>
      <c r="JG11" s="123"/>
      <c r="JH11" s="123"/>
      <c r="JI11" s="123"/>
      <c r="JJ11" s="123"/>
      <c r="JK11" s="123"/>
      <c r="JL11" s="123"/>
      <c r="JM11" s="123"/>
      <c r="JN11" s="123"/>
      <c r="JO11" s="123"/>
      <c r="JP11" s="123"/>
      <c r="JQ11" s="123"/>
      <c r="JR11" s="123"/>
      <c r="JS11" s="123"/>
      <c r="JT11" s="123"/>
      <c r="JU11" s="123"/>
      <c r="JV11" s="123"/>
      <c r="JW11" s="123"/>
      <c r="JX11" s="123"/>
      <c r="JY11" s="123"/>
      <c r="JZ11" s="123"/>
      <c r="KA11" s="123"/>
      <c r="KB11" s="123"/>
      <c r="KC11" s="122"/>
      <c r="KD11" s="122"/>
      <c r="KE11" s="122"/>
      <c r="KF11" s="122"/>
      <c r="KG11" s="122"/>
      <c r="KH11" s="122"/>
      <c r="KI11" s="122"/>
      <c r="KJ11" s="122"/>
      <c r="KK11" s="122"/>
      <c r="KL11" s="122"/>
      <c r="KM11" s="122"/>
      <c r="KN11" s="122"/>
      <c r="KO11" s="122"/>
      <c r="KP11" s="122"/>
      <c r="KQ11" s="122"/>
      <c r="KR11" s="122"/>
      <c r="KS11" s="122"/>
      <c r="KT11" s="122"/>
      <c r="KU11" s="122"/>
      <c r="KV11" s="122"/>
      <c r="KW11" s="122"/>
      <c r="KX11" s="122"/>
      <c r="KY11" s="122"/>
      <c r="KZ11" s="122"/>
      <c r="LA11" s="122"/>
      <c r="LB11" s="122"/>
      <c r="LC11" s="122"/>
      <c r="LD11" s="122"/>
      <c r="LE11" s="122"/>
      <c r="LF11" s="122"/>
      <c r="LG11" s="122"/>
      <c r="LH11" s="122"/>
      <c r="LI11" s="122"/>
      <c r="LJ11" s="122"/>
      <c r="LK11" s="122"/>
      <c r="LL11" s="122"/>
      <c r="LM11" s="122"/>
      <c r="LN11" s="122"/>
      <c r="LO11" s="122"/>
      <c r="LP11" s="122"/>
      <c r="LQ11" s="122"/>
      <c r="LR11" s="122"/>
      <c r="LS11" s="122"/>
      <c r="LT11" s="122"/>
      <c r="LU11" s="122"/>
      <c r="LV11" s="122"/>
      <c r="LW11" s="122"/>
      <c r="LX11" s="122"/>
      <c r="LY11" s="122"/>
      <c r="LZ11" s="122"/>
      <c r="MA11" s="122"/>
      <c r="MB11" s="122"/>
      <c r="MC11" s="123"/>
      <c r="MD11" s="122"/>
      <c r="ME11" s="122"/>
      <c r="MF11" s="122"/>
      <c r="MG11" s="122"/>
      <c r="MH11" s="122"/>
      <c r="MI11" s="122"/>
      <c r="MJ11" s="122"/>
      <c r="MK11" s="122"/>
      <c r="ML11" s="122"/>
      <c r="MM11" s="122"/>
      <c r="MN11" s="122"/>
      <c r="MO11" s="122"/>
      <c r="MP11" s="122"/>
      <c r="MQ11" s="122"/>
      <c r="MR11" s="122"/>
      <c r="MS11" s="122"/>
      <c r="MT11" s="122"/>
      <c r="MU11" s="122"/>
      <c r="MV11" s="122"/>
      <c r="MW11" s="122"/>
      <c r="MX11" s="122"/>
      <c r="MY11" s="122"/>
      <c r="MZ11" s="122"/>
      <c r="NA11" s="122"/>
      <c r="NB11" s="122"/>
      <c r="NC11" s="122"/>
      <c r="ND11" s="122"/>
      <c r="NE11" s="122"/>
      <c r="NF11" s="122"/>
      <c r="NG11" s="122"/>
      <c r="NH11" s="123"/>
      <c r="NI11" s="122"/>
      <c r="NJ11" s="122"/>
      <c r="NK11" s="123"/>
      <c r="NL11" s="123"/>
      <c r="NM11" s="122"/>
      <c r="NN11" s="122"/>
      <c r="NO11" s="122"/>
      <c r="NP11" s="122"/>
      <c r="NQ11" s="122"/>
      <c r="NR11" s="122"/>
      <c r="NS11" s="122"/>
      <c r="NT11" s="122"/>
      <c r="NU11" s="122"/>
      <c r="NV11" s="122"/>
      <c r="NW11" s="122"/>
      <c r="NX11" s="122"/>
      <c r="NY11" s="122"/>
      <c r="NZ11" s="122"/>
      <c r="OA11" s="122"/>
      <c r="OB11" s="122"/>
      <c r="OC11" s="122"/>
      <c r="OD11" s="122"/>
      <c r="OE11" s="122"/>
      <c r="OF11" s="122"/>
      <c r="OG11" s="122"/>
      <c r="OH11" s="122"/>
      <c r="OI11" s="122"/>
      <c r="OJ11" s="122"/>
      <c r="OK11" s="122"/>
      <c r="OL11" s="122"/>
      <c r="OM11" s="122"/>
      <c r="ON11" s="122"/>
      <c r="OO11" s="122"/>
      <c r="OP11" s="122"/>
      <c r="OQ11" s="122"/>
      <c r="OR11" s="122"/>
      <c r="OS11" s="122"/>
      <c r="OT11" s="122"/>
      <c r="OU11" s="122"/>
      <c r="OV11" s="122"/>
      <c r="OW11" s="122"/>
      <c r="OX11" s="122"/>
      <c r="OY11" s="122"/>
      <c r="OZ11" s="122"/>
      <c r="PA11" s="122"/>
      <c r="PB11" s="122"/>
      <c r="PC11" s="122"/>
      <c r="PD11" s="122"/>
      <c r="PE11" s="122"/>
      <c r="PF11" s="122"/>
      <c r="PG11" s="122"/>
      <c r="PH11" s="122"/>
      <c r="PI11" s="122"/>
      <c r="PJ11" s="122"/>
      <c r="PK11" s="122"/>
      <c r="PL11" s="122"/>
      <c r="PM11" s="123"/>
      <c r="PN11" s="123"/>
      <c r="PO11" s="123"/>
      <c r="PP11" s="123"/>
      <c r="PQ11" s="123"/>
      <c r="PR11" s="123"/>
      <c r="PS11" s="123"/>
      <c r="PT11" s="123"/>
      <c r="PU11" s="123"/>
      <c r="PV11" s="123"/>
      <c r="PW11" s="123"/>
      <c r="PX11" s="123"/>
      <c r="PY11" s="123"/>
      <c r="PZ11" s="123"/>
      <c r="QA11" s="123"/>
      <c r="QB11" s="123"/>
      <c r="QC11" s="123"/>
      <c r="QD11" s="123"/>
      <c r="QE11" s="123"/>
      <c r="QF11" s="123"/>
      <c r="QG11" s="123"/>
      <c r="QH11" s="123"/>
      <c r="QI11" s="123"/>
      <c r="QJ11" s="123"/>
      <c r="QK11" s="123"/>
      <c r="QL11" s="123"/>
      <c r="QM11" s="122"/>
      <c r="QN11" s="122"/>
      <c r="QO11" s="122"/>
      <c r="QP11" s="122"/>
      <c r="QQ11" s="122"/>
      <c r="QR11" s="122"/>
      <c r="QS11" s="122"/>
      <c r="QT11" s="122"/>
      <c r="QU11" s="122"/>
      <c r="QV11" s="122"/>
      <c r="QW11" s="122"/>
      <c r="QX11" s="122"/>
      <c r="QY11" s="122"/>
      <c r="QZ11" s="122"/>
      <c r="RA11" s="122"/>
      <c r="RB11" s="122"/>
      <c r="RC11" s="122"/>
      <c r="RD11" s="122"/>
      <c r="RE11" s="122"/>
      <c r="RF11" s="122"/>
      <c r="RG11" s="122"/>
      <c r="RH11" s="122"/>
      <c r="RI11" s="122"/>
      <c r="RJ11" s="122"/>
      <c r="RK11" s="122"/>
      <c r="RL11" s="122"/>
    </row>
    <row r="12" spans="1:480" ht="30" hidden="1">
      <c r="A12" s="99"/>
      <c r="B12" s="99" t="s">
        <v>239</v>
      </c>
      <c r="C12" s="99" t="s">
        <v>1502</v>
      </c>
      <c r="D12" s="99" t="s">
        <v>1503</v>
      </c>
      <c r="E12" s="99" t="s">
        <v>1504</v>
      </c>
      <c r="F12" s="99" t="s">
        <v>1505</v>
      </c>
      <c r="G12" s="99" t="s">
        <v>1506</v>
      </c>
      <c r="H12" s="99" t="s">
        <v>1507</v>
      </c>
      <c r="I12" s="99" t="s">
        <v>1508</v>
      </c>
      <c r="J12" s="99" t="s">
        <v>1509</v>
      </c>
      <c r="K12" s="99" t="s">
        <v>1510</v>
      </c>
      <c r="L12" s="99" t="s">
        <v>1511</v>
      </c>
      <c r="M12" s="99" t="s">
        <v>1512</v>
      </c>
      <c r="N12" s="99" t="s">
        <v>1513</v>
      </c>
      <c r="O12" s="99" t="s">
        <v>1514</v>
      </c>
      <c r="P12" s="99" t="s">
        <v>1515</v>
      </c>
      <c r="Q12" s="99" t="s">
        <v>1516</v>
      </c>
      <c r="R12" s="99" t="s">
        <v>1517</v>
      </c>
      <c r="S12" s="99" t="s">
        <v>1518</v>
      </c>
      <c r="T12" s="99" t="s">
        <v>1519</v>
      </c>
      <c r="U12" s="99" t="s">
        <v>1520</v>
      </c>
      <c r="V12" s="99" t="s">
        <v>1521</v>
      </c>
      <c r="W12" s="99" t="s">
        <v>1522</v>
      </c>
      <c r="X12" s="99" t="s">
        <v>1523</v>
      </c>
      <c r="Y12" s="99" t="s">
        <v>1524</v>
      </c>
      <c r="Z12" s="99" t="s">
        <v>1525</v>
      </c>
      <c r="AA12" s="99" t="s">
        <v>1526</v>
      </c>
      <c r="AB12" s="99" t="s">
        <v>1527</v>
      </c>
      <c r="AC12" s="99" t="s">
        <v>238</v>
      </c>
      <c r="AD12" s="124" t="s">
        <v>1528</v>
      </c>
      <c r="AE12" s="124" t="s">
        <v>1529</v>
      </c>
      <c r="AF12" s="99" t="s">
        <v>1530</v>
      </c>
      <c r="AG12" s="99" t="s">
        <v>1531</v>
      </c>
      <c r="AH12" s="99" t="s">
        <v>1532</v>
      </c>
      <c r="AI12" s="99" t="s">
        <v>1533</v>
      </c>
      <c r="AJ12" s="99" t="s">
        <v>1534</v>
      </c>
      <c r="AK12" s="99" t="s">
        <v>1535</v>
      </c>
      <c r="AL12" s="99" t="s">
        <v>1536</v>
      </c>
      <c r="AM12" s="99" t="s">
        <v>1537</v>
      </c>
      <c r="AN12" s="99" t="s">
        <v>1538</v>
      </c>
      <c r="AO12" s="99" t="s">
        <v>1539</v>
      </c>
      <c r="AP12" s="99" t="s">
        <v>1540</v>
      </c>
      <c r="AQ12" s="99" t="s">
        <v>1541</v>
      </c>
      <c r="AR12" s="99" t="s">
        <v>1542</v>
      </c>
      <c r="AS12" s="99" t="s">
        <v>1543</v>
      </c>
      <c r="AT12" s="99" t="s">
        <v>1544</v>
      </c>
      <c r="AU12" s="99" t="s">
        <v>1545</v>
      </c>
      <c r="AV12" s="99" t="s">
        <v>1546</v>
      </c>
      <c r="AW12" s="99" t="s">
        <v>1547</v>
      </c>
      <c r="AX12" s="99" t="s">
        <v>1548</v>
      </c>
      <c r="AY12" s="99" t="s">
        <v>1549</v>
      </c>
      <c r="AZ12" s="99" t="s">
        <v>1550</v>
      </c>
      <c r="BA12" s="99" t="s">
        <v>1551</v>
      </c>
      <c r="BB12" s="99" t="s">
        <v>1552</v>
      </c>
      <c r="BC12" s="99" t="s">
        <v>1553</v>
      </c>
      <c r="BD12" s="99" t="s">
        <v>1554</v>
      </c>
      <c r="BE12" s="99" t="s">
        <v>1555</v>
      </c>
      <c r="BF12" s="99" t="s">
        <v>1556</v>
      </c>
      <c r="BG12" s="99" t="s">
        <v>1557</v>
      </c>
      <c r="BH12" s="225" t="s">
        <v>1558</v>
      </c>
      <c r="BI12" s="119" t="s">
        <v>1559</v>
      </c>
      <c r="BJ12" s="119" t="s">
        <v>1560</v>
      </c>
      <c r="BK12" s="119" t="s">
        <v>1561</v>
      </c>
      <c r="BL12" s="119" t="s">
        <v>1562</v>
      </c>
      <c r="BM12" s="119" t="s">
        <v>1563</v>
      </c>
      <c r="BN12" s="119" t="s">
        <v>1564</v>
      </c>
      <c r="BO12" s="119" t="s">
        <v>1565</v>
      </c>
      <c r="BP12" s="119" t="s">
        <v>1566</v>
      </c>
      <c r="BQ12" s="119" t="s">
        <v>1567</v>
      </c>
      <c r="BR12" s="119" t="s">
        <v>1568</v>
      </c>
      <c r="BS12" s="119" t="s">
        <v>1569</v>
      </c>
      <c r="BT12" s="119" t="s">
        <v>1570</v>
      </c>
      <c r="BU12" s="119" t="s">
        <v>1571</v>
      </c>
      <c r="BV12" s="119" t="s">
        <v>1572</v>
      </c>
      <c r="BW12" s="119" t="s">
        <v>1573</v>
      </c>
      <c r="BX12" s="119" t="s">
        <v>1574</v>
      </c>
      <c r="BY12" s="119" t="s">
        <v>1575</v>
      </c>
      <c r="BZ12" s="119" t="s">
        <v>1576</v>
      </c>
      <c r="CA12" s="119" t="s">
        <v>1577</v>
      </c>
      <c r="CB12" s="119" t="s">
        <v>1578</v>
      </c>
      <c r="CC12" s="119" t="s">
        <v>1579</v>
      </c>
      <c r="CD12" s="119" t="s">
        <v>1580</v>
      </c>
      <c r="CE12" s="119" t="s">
        <v>1581</v>
      </c>
      <c r="CF12" s="119" t="s">
        <v>1582</v>
      </c>
      <c r="CG12" s="119" t="s">
        <v>1583</v>
      </c>
      <c r="CH12" s="119" t="s">
        <v>1584</v>
      </c>
      <c r="CI12" s="119" t="s">
        <v>1585</v>
      </c>
      <c r="CJ12" s="119" t="s">
        <v>1586</v>
      </c>
      <c r="CK12" s="119" t="s">
        <v>1587</v>
      </c>
      <c r="CL12" s="99" t="s">
        <v>1588</v>
      </c>
      <c r="CM12" s="99" t="s">
        <v>1589</v>
      </c>
      <c r="CN12" s="99" t="s">
        <v>1590</v>
      </c>
      <c r="CO12" s="99" t="s">
        <v>1591</v>
      </c>
      <c r="CP12" s="99" t="s">
        <v>1592</v>
      </c>
      <c r="CQ12" s="99" t="s">
        <v>1593</v>
      </c>
      <c r="CR12" s="99" t="s">
        <v>1594</v>
      </c>
      <c r="CS12" s="99" t="s">
        <v>1595</v>
      </c>
      <c r="CT12" s="99" t="s">
        <v>1596</v>
      </c>
      <c r="CU12" s="99" t="s">
        <v>1597</v>
      </c>
      <c r="CV12" s="99" t="s">
        <v>1598</v>
      </c>
      <c r="CW12" s="99" t="s">
        <v>1599</v>
      </c>
      <c r="CX12" s="99" t="s">
        <v>1600</v>
      </c>
      <c r="CY12" s="99" t="s">
        <v>1601</v>
      </c>
      <c r="CZ12" s="99" t="s">
        <v>1602</v>
      </c>
      <c r="DA12" s="99" t="s">
        <v>1603</v>
      </c>
      <c r="DB12" s="99" t="s">
        <v>1604</v>
      </c>
      <c r="DC12" s="99" t="s">
        <v>1605</v>
      </c>
      <c r="DD12" s="99" t="s">
        <v>1606</v>
      </c>
      <c r="DE12" s="99" t="s">
        <v>1607</v>
      </c>
      <c r="DF12" s="99" t="s">
        <v>1608</v>
      </c>
      <c r="DG12" s="99" t="s">
        <v>1609</v>
      </c>
      <c r="DH12" s="99" t="s">
        <v>1610</v>
      </c>
      <c r="DI12" s="99" t="s">
        <v>1611</v>
      </c>
      <c r="DJ12" s="99" t="s">
        <v>1612</v>
      </c>
      <c r="DK12" s="99" t="s">
        <v>1613</v>
      </c>
      <c r="DL12" s="99" t="s">
        <v>1614</v>
      </c>
      <c r="DM12" s="99" t="s">
        <v>1615</v>
      </c>
      <c r="DN12" s="99" t="s">
        <v>1616</v>
      </c>
      <c r="DO12" s="99" t="s">
        <v>1617</v>
      </c>
      <c r="DP12" s="99" t="s">
        <v>1618</v>
      </c>
      <c r="DQ12" s="99" t="s">
        <v>1619</v>
      </c>
      <c r="DR12" s="116" t="s">
        <v>1620</v>
      </c>
    </row>
    <row r="13" spans="1:480" ht="29.1" customHeight="1">
      <c r="B13" s="248"/>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IF(ISBLANK(AB$11),"",AB$11)</f>
        <v/>
      </c>
      <c r="AC13" s="89"/>
      <c r="AD13" s="90" t="str">
        <f t="shared" ref="AD13" si="0">IF(ISBLANK(AD$11),"",AD$11)</f>
        <v/>
      </c>
      <c r="AE13" s="90" t="str">
        <f t="shared" ref="AE13" si="1">IF(ISBLANK(AE$11),"",AE$11)</f>
        <v/>
      </c>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t="str" cm="1">
        <f t="array" ref="BG13">MultiMatch(Entitlements[[#This Row],[Column9]],EntitlementNames,0)</f>
        <v/>
      </c>
      <c r="BH13" s="147" t="str">
        <f>IF(ISBLANK(Entitlements[[#This Row],[Column1]]),"",Entitlements[[#This Row],[Column1]])</f>
        <v/>
      </c>
      <c r="CH13" s="250"/>
      <c r="CI13" s="226" t="str" cm="1">
        <f t="array" ref="CI13">MultiMatch(Entitlements[[#This Row],[Column160]],Vocabularies[name],0)</f>
        <v/>
      </c>
      <c r="CJ13" s="250"/>
      <c r="CK13" s="111" t="str" cm="1">
        <f t="array" ref="CK13">MultiMatch(Entitlements[[#This Row],[Column161]],Vocabularies[name],0)</f>
        <v/>
      </c>
      <c r="CL13" s="92" t="str">
        <f t="shared" ref="CL13" si="2">IF(ISBLANK(CL$11),"",CL$11)</f>
        <v/>
      </c>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1" t="str" cm="1">
        <f t="array" ref="DO13">MultiMatch(Entitlements[[#This Row],[Column23]],OrganisationNames,0)</f>
        <v/>
      </c>
      <c r="DP13" s="89"/>
      <c r="DQ13" s="81" t="str" cm="1">
        <f t="array" ref="DQ13">MultiMatch(Entitlements[[#This Row],[Column25]],Vocabularies[],0)</f>
        <v/>
      </c>
      <c r="DR13" s="190"/>
    </row>
  </sheetData>
  <sheetProtection formatColumns="0"/>
  <phoneticPr fontId="12" type="noConversion"/>
  <dataValidations count="7">
    <dataValidation type="list" allowBlank="1" showInputMessage="1" showErrorMessage="1" sqref="BF13">
      <formula1>EntitlementNames</formula1>
    </dataValidation>
    <dataValidation type="list" allowBlank="1" showInputMessage="1" showErrorMessage="1" sqref="CH13">
      <formula1>entitlementTypeNames</formula1>
    </dataValidation>
    <dataValidation type="list" allowBlank="1" showInputMessage="1" showErrorMessage="1" sqref="CJ13">
      <formula1>EntitlementStatusNames</formula1>
    </dataValidation>
    <dataValidation type="list" allowBlank="1" showInputMessage="1" showErrorMessage="1" sqref="DN13">
      <formula1>OrganisationNames</formula1>
    </dataValidation>
    <dataValidation type="list" allowBlank="1" showInputMessage="1" showErrorMessage="1" sqref="DP13">
      <formula1>CountryNames</formula1>
    </dataValidation>
    <dataValidation type="date" operator="greaterThan" allowBlank="1" showInputMessage="1" showErrorMessage="1" sqref="AD11 AD13">
      <formula1>1</formula1>
    </dataValidation>
    <dataValidation type="date" operator="greaterThanOrEqual" allowBlank="1" showInputMessage="1" showErrorMessage="1" sqref="AE11 AE13">
      <formula1>AD11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244"/>
  <sheetViews>
    <sheetView topLeftCell="D1" zoomScale="80" zoomScaleNormal="80" workbookViewId="0">
      <pane ySplit="12" topLeftCell="A19" activePane="bottomLeft" state="frozen"/>
      <selection activeCell="C1" sqref="C1"/>
      <selection pane="bottomLeft" activeCell="H38" sqref="H38"/>
    </sheetView>
  </sheetViews>
  <sheetFormatPr baseColWidth="10" defaultColWidth="9.140625" defaultRowHeight="15"/>
  <cols>
    <col min="1" max="2" width="30.85546875" customWidth="1"/>
    <col min="3" max="3" width="56.42578125" customWidth="1"/>
    <col min="4" max="4" width="34.5703125" customWidth="1"/>
    <col min="5" max="5" width="11" customWidth="1"/>
    <col min="6" max="6" width="106.28515625" customWidth="1"/>
    <col min="7" max="7" width="70.42578125" bestFit="1" customWidth="1"/>
    <col min="8" max="8" width="39.5703125" bestFit="1" customWidth="1"/>
  </cols>
  <sheetData>
    <row r="1" spans="1:7" ht="23.25">
      <c r="A1" s="2" t="s">
        <v>1621</v>
      </c>
    </row>
    <row r="2" spans="1:7">
      <c r="A2" s="1" t="s">
        <v>16</v>
      </c>
      <c r="B2" s="1" t="s">
        <v>36</v>
      </c>
      <c r="C2" s="1" t="s">
        <v>36</v>
      </c>
      <c r="D2" s="1" t="s">
        <v>36</v>
      </c>
      <c r="E2" s="1" t="s">
        <v>36</v>
      </c>
      <c r="F2" s="1" t="s">
        <v>36</v>
      </c>
      <c r="G2" s="1" t="s">
        <v>36</v>
      </c>
    </row>
    <row r="3" spans="1:7" ht="30">
      <c r="A3" s="1" t="s">
        <v>19</v>
      </c>
      <c r="B3" s="1" t="s">
        <v>1622</v>
      </c>
      <c r="C3" s="1" t="s">
        <v>1623</v>
      </c>
      <c r="D3" s="1" t="s">
        <v>1624</v>
      </c>
      <c r="E3" s="1" t="s">
        <v>1625</v>
      </c>
      <c r="F3" s="1" t="s">
        <v>1626</v>
      </c>
      <c r="G3" s="1" t="s">
        <v>1627</v>
      </c>
    </row>
    <row r="4" spans="1:7">
      <c r="A4" s="1" t="s">
        <v>29</v>
      </c>
      <c r="B4" s="1" t="s">
        <v>30</v>
      </c>
      <c r="C4" s="1" t="s">
        <v>30</v>
      </c>
      <c r="D4" s="1" t="s">
        <v>30</v>
      </c>
      <c r="E4" s="1" t="s">
        <v>30</v>
      </c>
      <c r="F4" s="1" t="s">
        <v>30</v>
      </c>
      <c r="G4" s="1" t="s">
        <v>30</v>
      </c>
    </row>
    <row r="5" spans="1:7">
      <c r="A5" s="1" t="s">
        <v>34</v>
      </c>
      <c r="B5" s="1"/>
      <c r="C5" s="1"/>
      <c r="D5" s="1"/>
      <c r="E5" s="1"/>
      <c r="F5" s="1"/>
      <c r="G5" s="1"/>
    </row>
    <row r="6" spans="1:7">
      <c r="A6" s="1" t="s">
        <v>41</v>
      </c>
      <c r="B6" s="1"/>
      <c r="C6" s="1"/>
      <c r="D6" s="1"/>
      <c r="E6" s="1"/>
      <c r="F6" s="1"/>
      <c r="G6" s="1"/>
    </row>
    <row r="7" spans="1:7">
      <c r="A7" s="1" t="s">
        <v>42</v>
      </c>
      <c r="B7" s="1" t="s">
        <v>11</v>
      </c>
      <c r="C7" s="1"/>
      <c r="D7" s="1" t="s">
        <v>11</v>
      </c>
      <c r="E7" s="1"/>
      <c r="F7" s="1"/>
      <c r="G7" s="1" t="s">
        <v>11</v>
      </c>
    </row>
    <row r="8" spans="1:7">
      <c r="A8" s="6" t="s">
        <v>68</v>
      </c>
      <c r="B8" s="6"/>
      <c r="C8" s="6"/>
      <c r="D8" s="6"/>
      <c r="E8" s="6"/>
      <c r="F8" s="6"/>
      <c r="G8" s="6"/>
    </row>
    <row r="9" spans="1:7">
      <c r="A9" s="6" t="s">
        <v>70</v>
      </c>
      <c r="B9" s="6"/>
      <c r="C9" s="6"/>
      <c r="D9" s="6"/>
      <c r="E9" s="6"/>
      <c r="F9" s="6"/>
      <c r="G9" s="6"/>
    </row>
    <row r="10" spans="1:7" ht="15.75" thickBot="1">
      <c r="A10" s="23" t="s">
        <v>42</v>
      </c>
      <c r="B10" s="23"/>
      <c r="C10" s="23"/>
      <c r="D10" s="23"/>
      <c r="E10" s="23"/>
      <c r="F10" s="23"/>
      <c r="G10" s="23"/>
    </row>
    <row r="11" spans="1:7">
      <c r="A11" s="10" t="s">
        <v>1628</v>
      </c>
      <c r="B11" s="10"/>
      <c r="C11" s="10"/>
      <c r="D11" s="10"/>
      <c r="E11" s="10"/>
      <c r="F11" s="10"/>
    </row>
    <row r="12" spans="1:7">
      <c r="A12" s="11" t="s">
        <v>1629</v>
      </c>
      <c r="B12" s="11" t="s">
        <v>1630</v>
      </c>
      <c r="C12" s="11" t="s">
        <v>1631</v>
      </c>
      <c r="D12" s="11" t="s">
        <v>782</v>
      </c>
      <c r="E12" s="11" t="s">
        <v>1632</v>
      </c>
      <c r="F12" s="11" t="s">
        <v>1633</v>
      </c>
      <c r="G12" s="11" t="s">
        <v>70</v>
      </c>
    </row>
    <row r="13" spans="1:7">
      <c r="A13" t="s">
        <v>84</v>
      </c>
      <c r="B13" t="s">
        <v>1634</v>
      </c>
      <c r="C13" t="s">
        <v>1635</v>
      </c>
      <c r="D13" t="s">
        <v>84</v>
      </c>
      <c r="E13" t="s">
        <v>43</v>
      </c>
      <c r="F13" s="3" t="s">
        <v>1636</v>
      </c>
    </row>
    <row r="14" spans="1:7">
      <c r="A14" t="s">
        <v>85</v>
      </c>
      <c r="B14" t="s">
        <v>1634</v>
      </c>
      <c r="C14" t="s">
        <v>1635</v>
      </c>
      <c r="D14" t="s">
        <v>85</v>
      </c>
      <c r="E14" t="s">
        <v>44</v>
      </c>
      <c r="F14" s="3" t="s">
        <v>1637</v>
      </c>
    </row>
    <row r="15" spans="1:7">
      <c r="A15" t="s">
        <v>86</v>
      </c>
      <c r="B15" t="s">
        <v>1634</v>
      </c>
      <c r="C15" t="s">
        <v>1635</v>
      </c>
      <c r="D15" t="s">
        <v>86</v>
      </c>
      <c r="E15" t="s">
        <v>45</v>
      </c>
      <c r="F15" t="s">
        <v>1638</v>
      </c>
    </row>
    <row r="16" spans="1:7">
      <c r="A16" t="s">
        <v>87</v>
      </c>
      <c r="B16" t="s">
        <v>1634</v>
      </c>
      <c r="C16" t="s">
        <v>1635</v>
      </c>
      <c r="D16" t="s">
        <v>87</v>
      </c>
      <c r="E16" t="s">
        <v>46</v>
      </c>
      <c r="F16" t="s">
        <v>1639</v>
      </c>
    </row>
    <row r="17" spans="1:6">
      <c r="A17" t="s">
        <v>88</v>
      </c>
      <c r="B17" t="s">
        <v>1634</v>
      </c>
      <c r="C17" t="s">
        <v>1635</v>
      </c>
      <c r="D17" t="s">
        <v>88</v>
      </c>
      <c r="E17" t="s">
        <v>47</v>
      </c>
      <c r="F17" t="s">
        <v>1640</v>
      </c>
    </row>
    <row r="18" spans="1:6">
      <c r="A18" t="s">
        <v>12</v>
      </c>
      <c r="B18" t="s">
        <v>1634</v>
      </c>
      <c r="C18" t="s">
        <v>1635</v>
      </c>
      <c r="D18" t="s">
        <v>12</v>
      </c>
      <c r="E18" t="s">
        <v>11</v>
      </c>
      <c r="F18" s="3" t="s">
        <v>1641</v>
      </c>
    </row>
    <row r="19" spans="1:6">
      <c r="A19" t="s">
        <v>89</v>
      </c>
      <c r="B19" t="s">
        <v>1634</v>
      </c>
      <c r="C19" t="s">
        <v>1635</v>
      </c>
      <c r="D19" t="s">
        <v>89</v>
      </c>
      <c r="E19" t="s">
        <v>48</v>
      </c>
      <c r="F19" s="3" t="s">
        <v>1642</v>
      </c>
    </row>
    <row r="20" spans="1:6">
      <c r="A20" t="s">
        <v>90</v>
      </c>
      <c r="B20" t="s">
        <v>1634</v>
      </c>
      <c r="C20" t="s">
        <v>1635</v>
      </c>
      <c r="D20" t="s">
        <v>90</v>
      </c>
      <c r="E20" t="s">
        <v>49</v>
      </c>
      <c r="F20" t="s">
        <v>1643</v>
      </c>
    </row>
    <row r="21" spans="1:6">
      <c r="A21" t="s">
        <v>91</v>
      </c>
      <c r="B21" t="s">
        <v>1634</v>
      </c>
      <c r="C21" t="s">
        <v>1635</v>
      </c>
      <c r="D21" t="s">
        <v>91</v>
      </c>
      <c r="E21" t="s">
        <v>50</v>
      </c>
      <c r="F21" t="s">
        <v>1644</v>
      </c>
    </row>
    <row r="22" spans="1:6">
      <c r="A22" t="s">
        <v>92</v>
      </c>
      <c r="B22" t="s">
        <v>1634</v>
      </c>
      <c r="C22" t="s">
        <v>1635</v>
      </c>
      <c r="D22" t="s">
        <v>92</v>
      </c>
      <c r="E22" t="s">
        <v>51</v>
      </c>
      <c r="F22" t="s">
        <v>1645</v>
      </c>
    </row>
    <row r="23" spans="1:6">
      <c r="A23" t="s">
        <v>93</v>
      </c>
      <c r="B23" t="s">
        <v>1634</v>
      </c>
      <c r="C23" t="s">
        <v>1635</v>
      </c>
      <c r="D23" t="s">
        <v>93</v>
      </c>
      <c r="E23" t="s">
        <v>52</v>
      </c>
      <c r="F23" t="s">
        <v>1646</v>
      </c>
    </row>
    <row r="24" spans="1:6">
      <c r="A24" t="s">
        <v>94</v>
      </c>
      <c r="B24" t="s">
        <v>1634</v>
      </c>
      <c r="C24" t="s">
        <v>1635</v>
      </c>
      <c r="D24" t="s">
        <v>94</v>
      </c>
      <c r="E24" t="s">
        <v>53</v>
      </c>
      <c r="F24" t="s">
        <v>1647</v>
      </c>
    </row>
    <row r="25" spans="1:6">
      <c r="A25" t="s">
        <v>95</v>
      </c>
      <c r="B25" t="s">
        <v>1634</v>
      </c>
      <c r="C25" t="s">
        <v>1635</v>
      </c>
      <c r="D25" t="s">
        <v>95</v>
      </c>
      <c r="E25" t="s">
        <v>54</v>
      </c>
      <c r="F25" t="s">
        <v>1648</v>
      </c>
    </row>
    <row r="26" spans="1:6">
      <c r="A26" t="s">
        <v>96</v>
      </c>
      <c r="B26" t="s">
        <v>1634</v>
      </c>
      <c r="C26" t="s">
        <v>1635</v>
      </c>
      <c r="D26" t="s">
        <v>96</v>
      </c>
      <c r="E26" t="s">
        <v>55</v>
      </c>
      <c r="F26" t="s">
        <v>1649</v>
      </c>
    </row>
    <row r="27" spans="1:6">
      <c r="A27" t="s">
        <v>97</v>
      </c>
      <c r="B27" t="s">
        <v>1634</v>
      </c>
      <c r="C27" t="s">
        <v>1635</v>
      </c>
      <c r="D27" t="s">
        <v>97</v>
      </c>
      <c r="E27" t="s">
        <v>56</v>
      </c>
      <c r="F27" t="s">
        <v>1650</v>
      </c>
    </row>
    <row r="28" spans="1:6">
      <c r="A28" t="s">
        <v>98</v>
      </c>
      <c r="B28" t="s">
        <v>1634</v>
      </c>
      <c r="C28" t="s">
        <v>1635</v>
      </c>
      <c r="D28" t="s">
        <v>98</v>
      </c>
      <c r="E28" t="s">
        <v>57</v>
      </c>
      <c r="F28" t="s">
        <v>1651</v>
      </c>
    </row>
    <row r="29" spans="1:6">
      <c r="A29" t="s">
        <v>99</v>
      </c>
      <c r="B29" t="s">
        <v>1634</v>
      </c>
      <c r="C29" t="s">
        <v>1635</v>
      </c>
      <c r="D29" t="s">
        <v>99</v>
      </c>
      <c r="E29" t="s">
        <v>58</v>
      </c>
      <c r="F29" t="s">
        <v>1652</v>
      </c>
    </row>
    <row r="30" spans="1:6">
      <c r="A30" t="s">
        <v>100</v>
      </c>
      <c r="B30" t="s">
        <v>1634</v>
      </c>
      <c r="C30" t="s">
        <v>1635</v>
      </c>
      <c r="D30" t="s">
        <v>100</v>
      </c>
      <c r="E30" t="s">
        <v>59</v>
      </c>
      <c r="F30" t="s">
        <v>1653</v>
      </c>
    </row>
    <row r="31" spans="1:6">
      <c r="A31" t="s">
        <v>14</v>
      </c>
      <c r="B31" t="s">
        <v>1634</v>
      </c>
      <c r="C31" t="s">
        <v>1635</v>
      </c>
      <c r="D31" t="s">
        <v>14</v>
      </c>
      <c r="E31" t="s">
        <v>60</v>
      </c>
      <c r="F31" t="s">
        <v>1654</v>
      </c>
    </row>
    <row r="32" spans="1:6">
      <c r="A32" t="s">
        <v>101</v>
      </c>
      <c r="B32" t="s">
        <v>1634</v>
      </c>
      <c r="C32" t="s">
        <v>1635</v>
      </c>
      <c r="D32" t="s">
        <v>101</v>
      </c>
      <c r="E32" t="s">
        <v>61</v>
      </c>
      <c r="F32" t="s">
        <v>1655</v>
      </c>
    </row>
    <row r="33" spans="1:7">
      <c r="A33" t="s">
        <v>102</v>
      </c>
      <c r="B33" t="s">
        <v>1634</v>
      </c>
      <c r="C33" t="s">
        <v>1635</v>
      </c>
      <c r="D33" t="s">
        <v>102</v>
      </c>
      <c r="E33" t="s">
        <v>62</v>
      </c>
      <c r="F33" t="s">
        <v>1656</v>
      </c>
    </row>
    <row r="34" spans="1:7">
      <c r="A34" t="s">
        <v>103</v>
      </c>
      <c r="B34" t="s">
        <v>1634</v>
      </c>
      <c r="C34" t="s">
        <v>1635</v>
      </c>
      <c r="D34" t="s">
        <v>103</v>
      </c>
      <c r="E34" t="s">
        <v>63</v>
      </c>
      <c r="F34" t="s">
        <v>1657</v>
      </c>
    </row>
    <row r="35" spans="1:7">
      <c r="A35" t="s">
        <v>104</v>
      </c>
      <c r="B35" t="s">
        <v>1634</v>
      </c>
      <c r="C35" t="s">
        <v>1635</v>
      </c>
      <c r="D35" t="s">
        <v>104</v>
      </c>
      <c r="E35" t="s">
        <v>64</v>
      </c>
      <c r="F35" t="s">
        <v>1658</v>
      </c>
    </row>
    <row r="36" spans="1:7">
      <c r="A36" t="s">
        <v>105</v>
      </c>
      <c r="B36" t="s">
        <v>1634</v>
      </c>
      <c r="C36" t="s">
        <v>1635</v>
      </c>
      <c r="D36" t="s">
        <v>105</v>
      </c>
      <c r="E36" t="s">
        <v>65</v>
      </c>
      <c r="F36" t="s">
        <v>1659</v>
      </c>
    </row>
    <row r="37" spans="1:7">
      <c r="A37" t="s">
        <v>106</v>
      </c>
      <c r="B37" t="s">
        <v>1634</v>
      </c>
      <c r="C37" t="s">
        <v>1635</v>
      </c>
      <c r="D37" t="s">
        <v>106</v>
      </c>
      <c r="E37" t="s">
        <v>66</v>
      </c>
      <c r="F37" t="s">
        <v>1660</v>
      </c>
    </row>
    <row r="38" spans="1:7">
      <c r="A38" t="s">
        <v>107</v>
      </c>
      <c r="B38" t="s">
        <v>1634</v>
      </c>
      <c r="C38" t="s">
        <v>1635</v>
      </c>
      <c r="D38" t="s">
        <v>107</v>
      </c>
      <c r="E38" t="s">
        <v>67</v>
      </c>
      <c r="F38" t="s">
        <v>1661</v>
      </c>
    </row>
    <row r="39" spans="1:7">
      <c r="A39" s="38" t="s">
        <v>1662</v>
      </c>
      <c r="B39" s="38" t="s">
        <v>1663</v>
      </c>
      <c r="C39" s="39" t="s">
        <v>1664</v>
      </c>
      <c r="D39" s="39" t="s">
        <v>1662</v>
      </c>
      <c r="E39" s="40"/>
      <c r="F39" s="3" t="s">
        <v>5386</v>
      </c>
      <c r="G39" t="s">
        <v>1665</v>
      </c>
    </row>
    <row r="40" spans="1:7">
      <c r="A40" s="41" t="s">
        <v>1666</v>
      </c>
      <c r="B40" s="41" t="s">
        <v>1663</v>
      </c>
      <c r="C40" s="42" t="s">
        <v>1664</v>
      </c>
      <c r="D40" s="42" t="s">
        <v>1666</v>
      </c>
      <c r="E40" s="42"/>
      <c r="F40" s="3" t="s">
        <v>5387</v>
      </c>
      <c r="G40" t="s">
        <v>1667</v>
      </c>
    </row>
    <row r="41" spans="1:7">
      <c r="A41" s="41" t="s">
        <v>1668</v>
      </c>
      <c r="B41" s="41" t="s">
        <v>1663</v>
      </c>
      <c r="C41" s="42" t="s">
        <v>1664</v>
      </c>
      <c r="D41" s="42" t="s">
        <v>1669</v>
      </c>
      <c r="E41" s="42"/>
      <c r="F41" s="277" t="s">
        <v>5385</v>
      </c>
      <c r="G41" t="s">
        <v>1670</v>
      </c>
    </row>
    <row r="42" spans="1:7" ht="30">
      <c r="A42" s="41" t="s">
        <v>1671</v>
      </c>
      <c r="B42" s="41" t="s">
        <v>1663</v>
      </c>
      <c r="C42" s="42" t="s">
        <v>1664</v>
      </c>
      <c r="D42" s="42" t="s">
        <v>1672</v>
      </c>
      <c r="E42" s="42"/>
      <c r="F42" s="3" t="s">
        <v>5386</v>
      </c>
      <c r="G42" s="237" t="s">
        <v>1673</v>
      </c>
    </row>
    <row r="43" spans="1:7">
      <c r="A43" s="33" t="s">
        <v>203</v>
      </c>
      <c r="B43" s="33" t="s">
        <v>1663</v>
      </c>
      <c r="C43" s="29" t="s">
        <v>1664</v>
      </c>
      <c r="D43" s="29" t="s">
        <v>1674</v>
      </c>
      <c r="E43" s="29"/>
      <c r="F43" s="3" t="s">
        <v>5387</v>
      </c>
      <c r="G43" t="s">
        <v>1675</v>
      </c>
    </row>
    <row r="44" spans="1:7">
      <c r="A44" s="45" t="s">
        <v>1676</v>
      </c>
      <c r="B44" s="45" t="s">
        <v>1677</v>
      </c>
      <c r="C44" s="45" t="s">
        <v>1678</v>
      </c>
      <c r="D44" s="45" t="s">
        <v>1676</v>
      </c>
      <c r="E44" s="45" t="s">
        <v>1679</v>
      </c>
      <c r="F44" s="46" t="s">
        <v>1680</v>
      </c>
    </row>
    <row r="45" spans="1:7">
      <c r="A45" s="48" t="s">
        <v>1681</v>
      </c>
      <c r="B45" s="48" t="s">
        <v>1677</v>
      </c>
      <c r="C45" s="48" t="s">
        <v>1678</v>
      </c>
      <c r="D45" s="48" t="s">
        <v>1681</v>
      </c>
      <c r="E45" s="48" t="s">
        <v>1682</v>
      </c>
      <c r="F45" s="49" t="s">
        <v>1683</v>
      </c>
    </row>
    <row r="46" spans="1:7">
      <c r="A46" s="45" t="s">
        <v>1684</v>
      </c>
      <c r="B46" s="45" t="s">
        <v>1677</v>
      </c>
      <c r="C46" s="45" t="s">
        <v>1678</v>
      </c>
      <c r="D46" s="45" t="s">
        <v>1684</v>
      </c>
      <c r="E46" s="45" t="s">
        <v>1685</v>
      </c>
      <c r="F46" s="50" t="s">
        <v>1686</v>
      </c>
    </row>
    <row r="47" spans="1:7">
      <c r="A47" s="48" t="s">
        <v>1687</v>
      </c>
      <c r="B47" s="48" t="s">
        <v>1677</v>
      </c>
      <c r="C47" s="48" t="s">
        <v>1678</v>
      </c>
      <c r="D47" s="48" t="s">
        <v>1687</v>
      </c>
      <c r="E47" s="48" t="s">
        <v>1688</v>
      </c>
      <c r="F47" s="49" t="s">
        <v>1689</v>
      </c>
    </row>
    <row r="48" spans="1:7">
      <c r="A48" s="45" t="s">
        <v>1690</v>
      </c>
      <c r="B48" s="45" t="s">
        <v>1677</v>
      </c>
      <c r="C48" s="45" t="s">
        <v>1678</v>
      </c>
      <c r="D48" s="45" t="s">
        <v>1690</v>
      </c>
      <c r="E48" s="45" t="s">
        <v>1691</v>
      </c>
      <c r="F48" s="50" t="s">
        <v>1692</v>
      </c>
    </row>
    <row r="49" spans="1:6">
      <c r="A49" s="48" t="s">
        <v>1693</v>
      </c>
      <c r="B49" s="48" t="s">
        <v>1677</v>
      </c>
      <c r="C49" s="48" t="s">
        <v>1678</v>
      </c>
      <c r="D49" s="48" t="s">
        <v>1693</v>
      </c>
      <c r="E49" s="48" t="s">
        <v>1694</v>
      </c>
      <c r="F49" s="49" t="s">
        <v>1695</v>
      </c>
    </row>
    <row r="50" spans="1:6">
      <c r="A50" s="45" t="s">
        <v>1696</v>
      </c>
      <c r="B50" s="45" t="s">
        <v>1677</v>
      </c>
      <c r="C50" s="45" t="s">
        <v>1678</v>
      </c>
      <c r="D50" s="45" t="s">
        <v>1696</v>
      </c>
      <c r="E50" s="45" t="s">
        <v>1697</v>
      </c>
      <c r="F50" s="50" t="s">
        <v>1698</v>
      </c>
    </row>
    <row r="51" spans="1:6">
      <c r="A51" s="48" t="s">
        <v>1699</v>
      </c>
      <c r="B51" s="48" t="s">
        <v>1677</v>
      </c>
      <c r="C51" s="48" t="s">
        <v>1678</v>
      </c>
      <c r="D51" s="48" t="s">
        <v>1699</v>
      </c>
      <c r="E51" s="48" t="s">
        <v>1700</v>
      </c>
      <c r="F51" s="49" t="s">
        <v>1701</v>
      </c>
    </row>
    <row r="52" spans="1:6">
      <c r="A52" s="45" t="s">
        <v>1702</v>
      </c>
      <c r="B52" s="45" t="s">
        <v>1677</v>
      </c>
      <c r="C52" s="45" t="s">
        <v>1678</v>
      </c>
      <c r="D52" s="45" t="s">
        <v>1702</v>
      </c>
      <c r="E52" s="45" t="s">
        <v>1703</v>
      </c>
      <c r="F52" s="50" t="s">
        <v>1704</v>
      </c>
    </row>
    <row r="53" spans="1:6">
      <c r="A53" s="48" t="s">
        <v>1705</v>
      </c>
      <c r="B53" s="48" t="s">
        <v>1677</v>
      </c>
      <c r="C53" s="48" t="s">
        <v>1678</v>
      </c>
      <c r="D53" s="48" t="s">
        <v>1705</v>
      </c>
      <c r="E53" s="48" t="s">
        <v>1706</v>
      </c>
      <c r="F53" s="49" t="s">
        <v>1707</v>
      </c>
    </row>
    <row r="54" spans="1:6">
      <c r="A54" s="45" t="s">
        <v>1708</v>
      </c>
      <c r="B54" s="45" t="s">
        <v>1677</v>
      </c>
      <c r="C54" s="45" t="s">
        <v>1678</v>
      </c>
      <c r="D54" s="45" t="s">
        <v>1708</v>
      </c>
      <c r="E54" s="45" t="s">
        <v>1709</v>
      </c>
      <c r="F54" s="50" t="s">
        <v>1710</v>
      </c>
    </row>
    <row r="55" spans="1:6">
      <c r="A55" s="48" t="s">
        <v>1711</v>
      </c>
      <c r="B55" s="48" t="s">
        <v>1677</v>
      </c>
      <c r="C55" s="48" t="s">
        <v>1678</v>
      </c>
      <c r="D55" s="48" t="s">
        <v>1711</v>
      </c>
      <c r="E55" s="48" t="s">
        <v>1712</v>
      </c>
      <c r="F55" s="49" t="s">
        <v>1713</v>
      </c>
    </row>
    <row r="56" spans="1:6">
      <c r="A56" s="45" t="s">
        <v>1714</v>
      </c>
      <c r="B56" s="45" t="s">
        <v>1677</v>
      </c>
      <c r="C56" s="45" t="s">
        <v>1678</v>
      </c>
      <c r="D56" s="45" t="s">
        <v>1714</v>
      </c>
      <c r="E56" s="45" t="s">
        <v>1715</v>
      </c>
      <c r="F56" s="50" t="s">
        <v>1716</v>
      </c>
    </row>
    <row r="57" spans="1:6">
      <c r="A57" s="48" t="s">
        <v>1717</v>
      </c>
      <c r="B57" s="48" t="s">
        <v>1677</v>
      </c>
      <c r="C57" s="48" t="s">
        <v>1678</v>
      </c>
      <c r="D57" s="48" t="s">
        <v>1717</v>
      </c>
      <c r="E57" s="48" t="s">
        <v>1718</v>
      </c>
      <c r="F57" s="49" t="s">
        <v>1719</v>
      </c>
    </row>
    <row r="58" spans="1:6">
      <c r="A58" s="45" t="s">
        <v>1720</v>
      </c>
      <c r="B58" s="45" t="s">
        <v>1677</v>
      </c>
      <c r="C58" s="45" t="s">
        <v>1678</v>
      </c>
      <c r="D58" s="45" t="s">
        <v>1720</v>
      </c>
      <c r="E58" s="45" t="s">
        <v>1721</v>
      </c>
      <c r="F58" s="50" t="s">
        <v>1722</v>
      </c>
    </row>
    <row r="59" spans="1:6">
      <c r="A59" s="48" t="s">
        <v>1723</v>
      </c>
      <c r="B59" s="48" t="s">
        <v>1677</v>
      </c>
      <c r="C59" s="48" t="s">
        <v>1678</v>
      </c>
      <c r="D59" s="48" t="s">
        <v>1723</v>
      </c>
      <c r="E59" s="48" t="s">
        <v>1724</v>
      </c>
      <c r="F59" s="49" t="s">
        <v>1725</v>
      </c>
    </row>
    <row r="60" spans="1:6">
      <c r="A60" s="45" t="s">
        <v>1726</v>
      </c>
      <c r="B60" s="45" t="s">
        <v>1677</v>
      </c>
      <c r="C60" s="45" t="s">
        <v>1678</v>
      </c>
      <c r="D60" s="45" t="s">
        <v>1726</v>
      </c>
      <c r="E60" s="45" t="s">
        <v>1727</v>
      </c>
      <c r="F60" s="50" t="s">
        <v>1728</v>
      </c>
    </row>
    <row r="61" spans="1:6">
      <c r="A61" s="48" t="s">
        <v>1729</v>
      </c>
      <c r="B61" s="48" t="s">
        <v>1677</v>
      </c>
      <c r="C61" s="48" t="s">
        <v>1678</v>
      </c>
      <c r="D61" s="48" t="s">
        <v>1729</v>
      </c>
      <c r="E61" s="48" t="s">
        <v>1730</v>
      </c>
      <c r="F61" s="49" t="s">
        <v>1731</v>
      </c>
    </row>
    <row r="62" spans="1:6">
      <c r="A62" s="45" t="s">
        <v>1732</v>
      </c>
      <c r="B62" s="45" t="s">
        <v>1677</v>
      </c>
      <c r="C62" s="45" t="s">
        <v>1678</v>
      </c>
      <c r="D62" s="45" t="s">
        <v>1732</v>
      </c>
      <c r="E62" s="45" t="s">
        <v>1733</v>
      </c>
      <c r="F62" s="50" t="s">
        <v>1734</v>
      </c>
    </row>
    <row r="63" spans="1:6">
      <c r="A63" s="48" t="s">
        <v>1735</v>
      </c>
      <c r="B63" s="48" t="s">
        <v>1677</v>
      </c>
      <c r="C63" s="48" t="s">
        <v>1678</v>
      </c>
      <c r="D63" s="48" t="s">
        <v>1735</v>
      </c>
      <c r="E63" s="48" t="s">
        <v>1736</v>
      </c>
      <c r="F63" s="49" t="s">
        <v>1737</v>
      </c>
    </row>
    <row r="64" spans="1:6">
      <c r="A64" s="45" t="s">
        <v>1738</v>
      </c>
      <c r="B64" s="45" t="s">
        <v>1677</v>
      </c>
      <c r="C64" s="45" t="s">
        <v>1678</v>
      </c>
      <c r="D64" s="45" t="s">
        <v>1738</v>
      </c>
      <c r="E64" s="45" t="s">
        <v>1739</v>
      </c>
      <c r="F64" s="50" t="s">
        <v>1740</v>
      </c>
    </row>
    <row r="65" spans="1:6">
      <c r="A65" s="48" t="s">
        <v>1738</v>
      </c>
      <c r="B65" s="48" t="s">
        <v>1677</v>
      </c>
      <c r="C65" s="48" t="s">
        <v>1678</v>
      </c>
      <c r="D65" s="48" t="s">
        <v>1738</v>
      </c>
      <c r="E65" s="48" t="s">
        <v>1741</v>
      </c>
      <c r="F65" s="49" t="s">
        <v>1742</v>
      </c>
    </row>
    <row r="66" spans="1:6">
      <c r="A66" s="45" t="s">
        <v>1743</v>
      </c>
      <c r="B66" s="45" t="s">
        <v>1677</v>
      </c>
      <c r="C66" s="45" t="s">
        <v>1678</v>
      </c>
      <c r="D66" s="45" t="s">
        <v>1743</v>
      </c>
      <c r="E66" s="45" t="s">
        <v>1744</v>
      </c>
      <c r="F66" s="50" t="s">
        <v>1745</v>
      </c>
    </row>
    <row r="67" spans="1:6">
      <c r="A67" s="48" t="s">
        <v>1746</v>
      </c>
      <c r="B67" s="48" t="s">
        <v>1677</v>
      </c>
      <c r="C67" s="48" t="s">
        <v>1678</v>
      </c>
      <c r="D67" s="48" t="s">
        <v>1746</v>
      </c>
      <c r="E67" s="48" t="s">
        <v>1747</v>
      </c>
      <c r="F67" s="49" t="s">
        <v>1748</v>
      </c>
    </row>
    <row r="68" spans="1:6">
      <c r="A68" s="45" t="s">
        <v>1749</v>
      </c>
      <c r="B68" s="45" t="s">
        <v>1677</v>
      </c>
      <c r="C68" s="45" t="s">
        <v>1678</v>
      </c>
      <c r="D68" s="45" t="s">
        <v>1749</v>
      </c>
      <c r="E68" s="45" t="s">
        <v>1750</v>
      </c>
      <c r="F68" s="50" t="s">
        <v>1751</v>
      </c>
    </row>
    <row r="69" spans="1:6">
      <c r="A69" s="48" t="s">
        <v>1752</v>
      </c>
      <c r="B69" s="48" t="s">
        <v>1677</v>
      </c>
      <c r="C69" s="48" t="s">
        <v>1678</v>
      </c>
      <c r="D69" s="48" t="s">
        <v>1752</v>
      </c>
      <c r="E69" s="48" t="s">
        <v>1753</v>
      </c>
      <c r="F69" s="49" t="s">
        <v>1754</v>
      </c>
    </row>
    <row r="70" spans="1:6">
      <c r="A70" s="45" t="s">
        <v>1755</v>
      </c>
      <c r="B70" s="45" t="s">
        <v>1677</v>
      </c>
      <c r="C70" s="45" t="s">
        <v>1678</v>
      </c>
      <c r="D70" s="45" t="s">
        <v>1755</v>
      </c>
      <c r="E70" s="45" t="s">
        <v>1756</v>
      </c>
      <c r="F70" s="50" t="s">
        <v>1757</v>
      </c>
    </row>
    <row r="71" spans="1:6">
      <c r="A71" s="48" t="s">
        <v>1758</v>
      </c>
      <c r="B71" s="48" t="s">
        <v>1677</v>
      </c>
      <c r="C71" s="48" t="s">
        <v>1678</v>
      </c>
      <c r="D71" s="48" t="s">
        <v>1758</v>
      </c>
      <c r="E71" s="48" t="s">
        <v>1759</v>
      </c>
      <c r="F71" s="49" t="s">
        <v>1760</v>
      </c>
    </row>
    <row r="72" spans="1:6">
      <c r="A72" s="45" t="s">
        <v>1761</v>
      </c>
      <c r="B72" s="45" t="s">
        <v>1677</v>
      </c>
      <c r="C72" s="45" t="s">
        <v>1678</v>
      </c>
      <c r="D72" s="45" t="s">
        <v>1761</v>
      </c>
      <c r="E72" s="45" t="s">
        <v>1762</v>
      </c>
      <c r="F72" s="50" t="s">
        <v>1763</v>
      </c>
    </row>
    <row r="73" spans="1:6">
      <c r="A73" s="48" t="s">
        <v>1764</v>
      </c>
      <c r="B73" s="48" t="s">
        <v>1677</v>
      </c>
      <c r="C73" s="48" t="s">
        <v>1678</v>
      </c>
      <c r="D73" s="48" t="s">
        <v>1764</v>
      </c>
      <c r="E73" s="48" t="s">
        <v>1765</v>
      </c>
      <c r="F73" s="49" t="s">
        <v>1766</v>
      </c>
    </row>
    <row r="74" spans="1:6">
      <c r="A74" s="45" t="s">
        <v>1767</v>
      </c>
      <c r="B74" s="45" t="s">
        <v>1677</v>
      </c>
      <c r="C74" s="45" t="s">
        <v>1678</v>
      </c>
      <c r="D74" s="45" t="s">
        <v>1767</v>
      </c>
      <c r="E74" s="45" t="s">
        <v>1768</v>
      </c>
      <c r="F74" s="50" t="s">
        <v>1769</v>
      </c>
    </row>
    <row r="75" spans="1:6">
      <c r="A75" s="48" t="s">
        <v>1770</v>
      </c>
      <c r="B75" s="48" t="s">
        <v>1677</v>
      </c>
      <c r="C75" s="48" t="s">
        <v>1678</v>
      </c>
      <c r="D75" s="48" t="s">
        <v>1770</v>
      </c>
      <c r="E75" s="48" t="s">
        <v>1771</v>
      </c>
      <c r="F75" s="49" t="s">
        <v>1772</v>
      </c>
    </row>
    <row r="76" spans="1:6">
      <c r="A76" s="45" t="s">
        <v>1773</v>
      </c>
      <c r="B76" s="45" t="s">
        <v>1677</v>
      </c>
      <c r="C76" s="45" t="s">
        <v>1678</v>
      </c>
      <c r="D76" s="45" t="s">
        <v>1773</v>
      </c>
      <c r="E76" s="45" t="s">
        <v>1774</v>
      </c>
      <c r="F76" s="50" t="s">
        <v>1775</v>
      </c>
    </row>
    <row r="77" spans="1:6">
      <c r="A77" s="48" t="s">
        <v>1776</v>
      </c>
      <c r="B77" s="48" t="s">
        <v>1677</v>
      </c>
      <c r="C77" s="48" t="s">
        <v>1678</v>
      </c>
      <c r="D77" s="48" t="s">
        <v>1776</v>
      </c>
      <c r="E77" s="48" t="s">
        <v>1777</v>
      </c>
      <c r="F77" s="49" t="s">
        <v>1778</v>
      </c>
    </row>
    <row r="78" spans="1:6">
      <c r="A78" s="45" t="s">
        <v>1779</v>
      </c>
      <c r="B78" s="45" t="s">
        <v>1677</v>
      </c>
      <c r="C78" s="45" t="s">
        <v>1678</v>
      </c>
      <c r="D78" s="45" t="s">
        <v>1779</v>
      </c>
      <c r="E78" s="45" t="s">
        <v>1780</v>
      </c>
      <c r="F78" s="50" t="s">
        <v>1781</v>
      </c>
    </row>
    <row r="79" spans="1:6">
      <c r="A79" s="48" t="s">
        <v>1782</v>
      </c>
      <c r="B79" s="48" t="s">
        <v>1677</v>
      </c>
      <c r="C79" s="48" t="s">
        <v>1678</v>
      </c>
      <c r="D79" s="48" t="s">
        <v>1782</v>
      </c>
      <c r="E79" s="48" t="s">
        <v>1783</v>
      </c>
      <c r="F79" s="49" t="s">
        <v>1784</v>
      </c>
    </row>
    <row r="80" spans="1:6">
      <c r="A80" s="45" t="s">
        <v>1785</v>
      </c>
      <c r="B80" s="45" t="s">
        <v>1677</v>
      </c>
      <c r="C80" s="45" t="s">
        <v>1678</v>
      </c>
      <c r="D80" s="45" t="s">
        <v>1785</v>
      </c>
      <c r="E80" s="45" t="s">
        <v>1786</v>
      </c>
      <c r="F80" s="50" t="s">
        <v>1787</v>
      </c>
    </row>
    <row r="81" spans="1:6">
      <c r="A81" s="48" t="s">
        <v>1788</v>
      </c>
      <c r="B81" s="48" t="s">
        <v>1677</v>
      </c>
      <c r="C81" s="48" t="s">
        <v>1678</v>
      </c>
      <c r="D81" s="48" t="s">
        <v>1788</v>
      </c>
      <c r="E81" s="48" t="s">
        <v>1789</v>
      </c>
      <c r="F81" s="49" t="s">
        <v>1790</v>
      </c>
    </row>
    <row r="82" spans="1:6">
      <c r="A82" s="45" t="s">
        <v>1791</v>
      </c>
      <c r="B82" s="45" t="s">
        <v>1677</v>
      </c>
      <c r="C82" s="45" t="s">
        <v>1678</v>
      </c>
      <c r="D82" s="45" t="s">
        <v>1791</v>
      </c>
      <c r="E82" s="45" t="s">
        <v>1792</v>
      </c>
      <c r="F82" s="50" t="s">
        <v>1793</v>
      </c>
    </row>
    <row r="83" spans="1:6">
      <c r="A83" s="48" t="s">
        <v>1794</v>
      </c>
      <c r="B83" s="48" t="s">
        <v>1677</v>
      </c>
      <c r="C83" s="48" t="s">
        <v>1678</v>
      </c>
      <c r="D83" s="48" t="s">
        <v>1794</v>
      </c>
      <c r="E83" s="48" t="s">
        <v>1795</v>
      </c>
      <c r="F83" s="49" t="s">
        <v>1796</v>
      </c>
    </row>
    <row r="84" spans="1:6">
      <c r="A84" s="45" t="s">
        <v>1797</v>
      </c>
      <c r="B84" s="45" t="s">
        <v>1677</v>
      </c>
      <c r="C84" s="45" t="s">
        <v>1678</v>
      </c>
      <c r="D84" s="45" t="s">
        <v>1797</v>
      </c>
      <c r="E84" s="45" t="s">
        <v>1798</v>
      </c>
      <c r="F84" s="50" t="s">
        <v>1799</v>
      </c>
    </row>
    <row r="85" spans="1:6">
      <c r="A85" s="48" t="s">
        <v>1800</v>
      </c>
      <c r="B85" s="48" t="s">
        <v>1677</v>
      </c>
      <c r="C85" s="48" t="s">
        <v>1678</v>
      </c>
      <c r="D85" s="48" t="s">
        <v>1800</v>
      </c>
      <c r="E85" s="48" t="s">
        <v>1801</v>
      </c>
      <c r="F85" s="49" t="s">
        <v>1802</v>
      </c>
    </row>
    <row r="86" spans="1:6">
      <c r="A86" s="45" t="s">
        <v>1803</v>
      </c>
      <c r="B86" s="45" t="s">
        <v>1677</v>
      </c>
      <c r="C86" s="45" t="s">
        <v>1678</v>
      </c>
      <c r="D86" s="45" t="s">
        <v>1803</v>
      </c>
      <c r="E86" s="45" t="s">
        <v>1804</v>
      </c>
      <c r="F86" s="50" t="s">
        <v>1805</v>
      </c>
    </row>
    <row r="87" spans="1:6">
      <c r="A87" s="48" t="s">
        <v>1806</v>
      </c>
      <c r="B87" s="48" t="s">
        <v>1677</v>
      </c>
      <c r="C87" s="48" t="s">
        <v>1678</v>
      </c>
      <c r="D87" s="48" t="s">
        <v>1806</v>
      </c>
      <c r="E87" s="48" t="s">
        <v>1807</v>
      </c>
      <c r="F87" s="49" t="s">
        <v>1808</v>
      </c>
    </row>
    <row r="88" spans="1:6">
      <c r="A88" s="45" t="s">
        <v>1809</v>
      </c>
      <c r="B88" s="45" t="s">
        <v>1677</v>
      </c>
      <c r="C88" s="45" t="s">
        <v>1678</v>
      </c>
      <c r="D88" s="45" t="s">
        <v>1809</v>
      </c>
      <c r="E88" s="45" t="s">
        <v>1810</v>
      </c>
      <c r="F88" s="50" t="s">
        <v>1811</v>
      </c>
    </row>
    <row r="89" spans="1:6">
      <c r="A89" s="48" t="s">
        <v>1812</v>
      </c>
      <c r="B89" s="48" t="s">
        <v>1677</v>
      </c>
      <c r="C89" s="48" t="s">
        <v>1678</v>
      </c>
      <c r="D89" s="48" t="s">
        <v>1812</v>
      </c>
      <c r="E89" s="48" t="s">
        <v>1813</v>
      </c>
      <c r="F89" s="49" t="s">
        <v>1814</v>
      </c>
    </row>
    <row r="90" spans="1:6">
      <c r="A90" s="45" t="s">
        <v>1815</v>
      </c>
      <c r="B90" s="45" t="s">
        <v>1677</v>
      </c>
      <c r="C90" s="45" t="s">
        <v>1678</v>
      </c>
      <c r="D90" s="45" t="s">
        <v>1815</v>
      </c>
      <c r="E90" s="45" t="s">
        <v>1816</v>
      </c>
      <c r="F90" s="50" t="s">
        <v>1817</v>
      </c>
    </row>
    <row r="91" spans="1:6">
      <c r="A91" s="48" t="s">
        <v>1818</v>
      </c>
      <c r="B91" s="48" t="s">
        <v>1677</v>
      </c>
      <c r="C91" s="48" t="s">
        <v>1678</v>
      </c>
      <c r="D91" s="48" t="s">
        <v>1818</v>
      </c>
      <c r="E91" s="48" t="s">
        <v>1819</v>
      </c>
      <c r="F91" s="49" t="s">
        <v>1820</v>
      </c>
    </row>
    <row r="92" spans="1:6">
      <c r="A92" s="45" t="s">
        <v>1821</v>
      </c>
      <c r="B92" s="45" t="s">
        <v>1677</v>
      </c>
      <c r="C92" s="45" t="s">
        <v>1678</v>
      </c>
      <c r="D92" s="45" t="s">
        <v>1821</v>
      </c>
      <c r="E92" s="45" t="s">
        <v>1822</v>
      </c>
      <c r="F92" s="50" t="s">
        <v>1823</v>
      </c>
    </row>
    <row r="93" spans="1:6">
      <c r="A93" s="48" t="s">
        <v>1824</v>
      </c>
      <c r="B93" s="48" t="s">
        <v>1677</v>
      </c>
      <c r="C93" s="48" t="s">
        <v>1678</v>
      </c>
      <c r="D93" s="48" t="s">
        <v>1824</v>
      </c>
      <c r="E93" s="48" t="s">
        <v>1825</v>
      </c>
      <c r="F93" s="49" t="s">
        <v>1826</v>
      </c>
    </row>
    <row r="94" spans="1:6">
      <c r="A94" s="45" t="s">
        <v>1827</v>
      </c>
      <c r="B94" s="45" t="s">
        <v>1677</v>
      </c>
      <c r="C94" s="45" t="s">
        <v>1678</v>
      </c>
      <c r="D94" s="45" t="s">
        <v>1827</v>
      </c>
      <c r="E94" s="45" t="s">
        <v>1828</v>
      </c>
      <c r="F94" s="50" t="s">
        <v>1829</v>
      </c>
    </row>
    <row r="95" spans="1:6">
      <c r="A95" s="48" t="s">
        <v>1830</v>
      </c>
      <c r="B95" s="48" t="s">
        <v>1677</v>
      </c>
      <c r="C95" s="48" t="s">
        <v>1678</v>
      </c>
      <c r="D95" s="48" t="s">
        <v>1830</v>
      </c>
      <c r="E95" s="48" t="s">
        <v>1831</v>
      </c>
      <c r="F95" s="49" t="s">
        <v>1832</v>
      </c>
    </row>
    <row r="96" spans="1:6">
      <c r="A96" s="45" t="s">
        <v>1833</v>
      </c>
      <c r="B96" s="45" t="s">
        <v>1677</v>
      </c>
      <c r="C96" s="45" t="s">
        <v>1678</v>
      </c>
      <c r="D96" s="45" t="s">
        <v>1833</v>
      </c>
      <c r="E96" s="45" t="s">
        <v>1834</v>
      </c>
      <c r="F96" s="50" t="s">
        <v>1835</v>
      </c>
    </row>
    <row r="97" spans="1:6">
      <c r="A97" s="48" t="s">
        <v>1836</v>
      </c>
      <c r="B97" s="48" t="s">
        <v>1677</v>
      </c>
      <c r="C97" s="48" t="s">
        <v>1678</v>
      </c>
      <c r="D97" s="48" t="s">
        <v>1836</v>
      </c>
      <c r="E97" s="48" t="s">
        <v>1837</v>
      </c>
      <c r="F97" s="49" t="s">
        <v>1838</v>
      </c>
    </row>
    <row r="98" spans="1:6">
      <c r="A98" s="45" t="s">
        <v>1839</v>
      </c>
      <c r="B98" s="45" t="s">
        <v>1677</v>
      </c>
      <c r="C98" s="45" t="s">
        <v>1678</v>
      </c>
      <c r="D98" s="45" t="s">
        <v>1839</v>
      </c>
      <c r="E98" s="45" t="s">
        <v>1840</v>
      </c>
      <c r="F98" s="50" t="s">
        <v>1841</v>
      </c>
    </row>
    <row r="99" spans="1:6">
      <c r="A99" s="48" t="s">
        <v>1842</v>
      </c>
      <c r="B99" s="48" t="s">
        <v>1677</v>
      </c>
      <c r="C99" s="48" t="s">
        <v>1678</v>
      </c>
      <c r="D99" s="48" t="s">
        <v>1842</v>
      </c>
      <c r="E99" s="48" t="s">
        <v>1843</v>
      </c>
      <c r="F99" s="49" t="s">
        <v>1844</v>
      </c>
    </row>
    <row r="100" spans="1:6">
      <c r="A100" s="45" t="s">
        <v>1845</v>
      </c>
      <c r="B100" s="45" t="s">
        <v>1677</v>
      </c>
      <c r="C100" s="45" t="s">
        <v>1678</v>
      </c>
      <c r="D100" s="45" t="s">
        <v>1845</v>
      </c>
      <c r="E100" s="45" t="s">
        <v>1846</v>
      </c>
      <c r="F100" s="50" t="s">
        <v>1847</v>
      </c>
    </row>
    <row r="101" spans="1:6">
      <c r="A101" s="48" t="s">
        <v>1848</v>
      </c>
      <c r="B101" s="48" t="s">
        <v>1677</v>
      </c>
      <c r="C101" s="48" t="s">
        <v>1678</v>
      </c>
      <c r="D101" s="48" t="s">
        <v>1848</v>
      </c>
      <c r="E101" s="48" t="s">
        <v>1849</v>
      </c>
      <c r="F101" s="49" t="s">
        <v>1850</v>
      </c>
    </row>
    <row r="102" spans="1:6">
      <c r="A102" s="45" t="s">
        <v>1851</v>
      </c>
      <c r="B102" s="45" t="s">
        <v>1677</v>
      </c>
      <c r="C102" s="45" t="s">
        <v>1678</v>
      </c>
      <c r="D102" s="45" t="s">
        <v>1851</v>
      </c>
      <c r="E102" s="45" t="s">
        <v>1852</v>
      </c>
      <c r="F102" s="50" t="s">
        <v>1853</v>
      </c>
    </row>
    <row r="103" spans="1:6">
      <c r="A103" s="48" t="s">
        <v>1854</v>
      </c>
      <c r="B103" s="48" t="s">
        <v>1677</v>
      </c>
      <c r="C103" s="48" t="s">
        <v>1678</v>
      </c>
      <c r="D103" s="48" t="s">
        <v>1854</v>
      </c>
      <c r="E103" s="48" t="s">
        <v>1855</v>
      </c>
      <c r="F103" s="49" t="s">
        <v>1856</v>
      </c>
    </row>
    <row r="104" spans="1:6">
      <c r="A104" s="45" t="s">
        <v>1857</v>
      </c>
      <c r="B104" s="45" t="s">
        <v>1677</v>
      </c>
      <c r="C104" s="45" t="s">
        <v>1678</v>
      </c>
      <c r="D104" s="45" t="s">
        <v>1857</v>
      </c>
      <c r="E104" s="45" t="s">
        <v>1858</v>
      </c>
      <c r="F104" s="50" t="s">
        <v>1859</v>
      </c>
    </row>
    <row r="105" spans="1:6">
      <c r="A105" s="48" t="s">
        <v>1860</v>
      </c>
      <c r="B105" s="48" t="s">
        <v>1677</v>
      </c>
      <c r="C105" s="48" t="s">
        <v>1678</v>
      </c>
      <c r="D105" s="48" t="s">
        <v>1860</v>
      </c>
      <c r="E105" s="48" t="s">
        <v>1861</v>
      </c>
      <c r="F105" s="49" t="s">
        <v>1862</v>
      </c>
    </row>
    <row r="106" spans="1:6">
      <c r="A106" s="45" t="s">
        <v>1863</v>
      </c>
      <c r="B106" s="45" t="s">
        <v>1677</v>
      </c>
      <c r="C106" s="45" t="s">
        <v>1678</v>
      </c>
      <c r="D106" s="45" t="s">
        <v>1863</v>
      </c>
      <c r="E106" s="45" t="s">
        <v>1864</v>
      </c>
      <c r="F106" s="50" t="s">
        <v>1865</v>
      </c>
    </row>
    <row r="107" spans="1:6">
      <c r="A107" s="48" t="s">
        <v>1866</v>
      </c>
      <c r="B107" s="48" t="s">
        <v>1677</v>
      </c>
      <c r="C107" s="48" t="s">
        <v>1678</v>
      </c>
      <c r="D107" s="48" t="s">
        <v>1866</v>
      </c>
      <c r="E107" s="48" t="s">
        <v>1867</v>
      </c>
      <c r="F107" s="49" t="s">
        <v>1868</v>
      </c>
    </row>
    <row r="108" spans="1:6">
      <c r="A108" s="45" t="s">
        <v>1869</v>
      </c>
      <c r="B108" s="45" t="s">
        <v>1677</v>
      </c>
      <c r="C108" s="45" t="s">
        <v>1678</v>
      </c>
      <c r="D108" s="45" t="s">
        <v>1869</v>
      </c>
      <c r="E108" s="45" t="s">
        <v>1870</v>
      </c>
      <c r="F108" s="50" t="s">
        <v>1871</v>
      </c>
    </row>
    <row r="109" spans="1:6">
      <c r="A109" s="48" t="s">
        <v>1872</v>
      </c>
      <c r="B109" s="48" t="s">
        <v>1677</v>
      </c>
      <c r="C109" s="48" t="s">
        <v>1678</v>
      </c>
      <c r="D109" s="48" t="s">
        <v>1872</v>
      </c>
      <c r="E109" s="48" t="s">
        <v>1873</v>
      </c>
      <c r="F109" s="49" t="s">
        <v>1874</v>
      </c>
    </row>
    <row r="110" spans="1:6">
      <c r="A110" s="45" t="s">
        <v>1875</v>
      </c>
      <c r="B110" s="45" t="s">
        <v>1677</v>
      </c>
      <c r="C110" s="45" t="s">
        <v>1678</v>
      </c>
      <c r="D110" s="45" t="s">
        <v>1875</v>
      </c>
      <c r="E110" s="45" t="s">
        <v>1876</v>
      </c>
      <c r="F110" s="50" t="s">
        <v>1877</v>
      </c>
    </row>
    <row r="111" spans="1:6">
      <c r="A111" s="48" t="s">
        <v>1878</v>
      </c>
      <c r="B111" s="48" t="s">
        <v>1677</v>
      </c>
      <c r="C111" s="48" t="s">
        <v>1678</v>
      </c>
      <c r="D111" s="48" t="s">
        <v>1878</v>
      </c>
      <c r="E111" s="48" t="s">
        <v>1879</v>
      </c>
      <c r="F111" s="49" t="s">
        <v>1880</v>
      </c>
    </row>
    <row r="112" spans="1:6">
      <c r="A112" s="45" t="s">
        <v>1881</v>
      </c>
      <c r="B112" s="45" t="s">
        <v>1677</v>
      </c>
      <c r="C112" s="45" t="s">
        <v>1678</v>
      </c>
      <c r="D112" s="45" t="s">
        <v>1881</v>
      </c>
      <c r="E112" s="45" t="s">
        <v>1882</v>
      </c>
      <c r="F112" s="50" t="s">
        <v>1883</v>
      </c>
    </row>
    <row r="113" spans="1:6">
      <c r="A113" s="48" t="s">
        <v>1884</v>
      </c>
      <c r="B113" s="48" t="s">
        <v>1677</v>
      </c>
      <c r="C113" s="48" t="s">
        <v>1678</v>
      </c>
      <c r="D113" s="48" t="s">
        <v>1884</v>
      </c>
      <c r="E113" s="48" t="s">
        <v>1885</v>
      </c>
      <c r="F113" s="49" t="s">
        <v>1886</v>
      </c>
    </row>
    <row r="114" spans="1:6">
      <c r="A114" s="45" t="s">
        <v>1887</v>
      </c>
      <c r="B114" s="45" t="s">
        <v>1677</v>
      </c>
      <c r="C114" s="45" t="s">
        <v>1678</v>
      </c>
      <c r="D114" s="45" t="s">
        <v>1887</v>
      </c>
      <c r="E114" s="45" t="s">
        <v>1888</v>
      </c>
      <c r="F114" s="50" t="s">
        <v>1889</v>
      </c>
    </row>
    <row r="115" spans="1:6">
      <c r="A115" s="48" t="s">
        <v>1890</v>
      </c>
      <c r="B115" s="48" t="s">
        <v>1677</v>
      </c>
      <c r="C115" s="48" t="s">
        <v>1678</v>
      </c>
      <c r="D115" s="48" t="s">
        <v>1890</v>
      </c>
      <c r="E115" s="48" t="s">
        <v>1891</v>
      </c>
      <c r="F115" s="49" t="s">
        <v>1892</v>
      </c>
    </row>
    <row r="116" spans="1:6">
      <c r="A116" s="45" t="s">
        <v>1893</v>
      </c>
      <c r="B116" s="45" t="s">
        <v>1677</v>
      </c>
      <c r="C116" s="45" t="s">
        <v>1678</v>
      </c>
      <c r="D116" s="45" t="s">
        <v>1893</v>
      </c>
      <c r="E116" s="45" t="s">
        <v>1894</v>
      </c>
      <c r="F116" s="50" t="s">
        <v>1895</v>
      </c>
    </row>
    <row r="117" spans="1:6">
      <c r="A117" s="48" t="s">
        <v>1896</v>
      </c>
      <c r="B117" s="48" t="s">
        <v>1677</v>
      </c>
      <c r="C117" s="48" t="s">
        <v>1678</v>
      </c>
      <c r="D117" s="48" t="s">
        <v>1896</v>
      </c>
      <c r="E117" s="48" t="s">
        <v>1897</v>
      </c>
      <c r="F117" s="49" t="s">
        <v>1898</v>
      </c>
    </row>
    <row r="118" spans="1:6">
      <c r="A118" s="45" t="s">
        <v>1899</v>
      </c>
      <c r="B118" s="45" t="s">
        <v>1677</v>
      </c>
      <c r="C118" s="45" t="s">
        <v>1678</v>
      </c>
      <c r="D118" s="45" t="s">
        <v>1899</v>
      </c>
      <c r="E118" s="45" t="s">
        <v>1900</v>
      </c>
      <c r="F118" s="50" t="s">
        <v>1901</v>
      </c>
    </row>
    <row r="119" spans="1:6">
      <c r="A119" s="48" t="s">
        <v>1902</v>
      </c>
      <c r="B119" s="48" t="s">
        <v>1677</v>
      </c>
      <c r="C119" s="48" t="s">
        <v>1678</v>
      </c>
      <c r="D119" s="48" t="s">
        <v>1902</v>
      </c>
      <c r="E119" s="48" t="s">
        <v>1903</v>
      </c>
      <c r="F119" s="49" t="s">
        <v>1904</v>
      </c>
    </row>
    <row r="120" spans="1:6">
      <c r="A120" s="45" t="s">
        <v>1905</v>
      </c>
      <c r="B120" s="45" t="s">
        <v>1677</v>
      </c>
      <c r="C120" s="45" t="s">
        <v>1678</v>
      </c>
      <c r="D120" s="45" t="s">
        <v>1905</v>
      </c>
      <c r="E120" s="45" t="s">
        <v>1906</v>
      </c>
      <c r="F120" s="50" t="s">
        <v>1907</v>
      </c>
    </row>
    <row r="121" spans="1:6">
      <c r="A121" s="48" t="s">
        <v>1908</v>
      </c>
      <c r="B121" s="48" t="s">
        <v>1677</v>
      </c>
      <c r="C121" s="48" t="s">
        <v>1678</v>
      </c>
      <c r="D121" s="48" t="s">
        <v>1908</v>
      </c>
      <c r="E121" s="48" t="s">
        <v>1909</v>
      </c>
      <c r="F121" s="49" t="s">
        <v>1910</v>
      </c>
    </row>
    <row r="122" spans="1:6">
      <c r="A122" s="45" t="s">
        <v>1911</v>
      </c>
      <c r="B122" s="45" t="s">
        <v>1677</v>
      </c>
      <c r="C122" s="45" t="s">
        <v>1678</v>
      </c>
      <c r="D122" s="45" t="s">
        <v>1911</v>
      </c>
      <c r="E122" s="45" t="s">
        <v>1912</v>
      </c>
      <c r="F122" s="50" t="s">
        <v>1913</v>
      </c>
    </row>
    <row r="123" spans="1:6">
      <c r="A123" s="48" t="s">
        <v>1914</v>
      </c>
      <c r="B123" s="48" t="s">
        <v>1677</v>
      </c>
      <c r="C123" s="48" t="s">
        <v>1678</v>
      </c>
      <c r="D123" s="48" t="s">
        <v>1914</v>
      </c>
      <c r="E123" s="48" t="s">
        <v>1915</v>
      </c>
      <c r="F123" s="49" t="s">
        <v>1916</v>
      </c>
    </row>
    <row r="124" spans="1:6">
      <c r="A124" s="45" t="s">
        <v>1917</v>
      </c>
      <c r="B124" s="45" t="s">
        <v>1677</v>
      </c>
      <c r="C124" s="45" t="s">
        <v>1678</v>
      </c>
      <c r="D124" s="45" t="s">
        <v>1917</v>
      </c>
      <c r="E124" s="45" t="s">
        <v>1918</v>
      </c>
      <c r="F124" s="50" t="s">
        <v>1919</v>
      </c>
    </row>
    <row r="125" spans="1:6">
      <c r="A125" s="48" t="s">
        <v>1920</v>
      </c>
      <c r="B125" s="48" t="s">
        <v>1677</v>
      </c>
      <c r="C125" s="48" t="s">
        <v>1678</v>
      </c>
      <c r="D125" s="48" t="s">
        <v>1920</v>
      </c>
      <c r="E125" s="48" t="s">
        <v>1921</v>
      </c>
      <c r="F125" s="49" t="s">
        <v>1922</v>
      </c>
    </row>
    <row r="126" spans="1:6">
      <c r="A126" s="45" t="s">
        <v>1923</v>
      </c>
      <c r="B126" s="45" t="s">
        <v>1677</v>
      </c>
      <c r="C126" s="45" t="s">
        <v>1678</v>
      </c>
      <c r="D126" s="45" t="s">
        <v>1923</v>
      </c>
      <c r="E126" s="45" t="s">
        <v>1924</v>
      </c>
      <c r="F126" s="50" t="s">
        <v>1925</v>
      </c>
    </row>
    <row r="127" spans="1:6">
      <c r="A127" s="48" t="s">
        <v>1926</v>
      </c>
      <c r="B127" s="48" t="s">
        <v>1677</v>
      </c>
      <c r="C127" s="48" t="s">
        <v>1678</v>
      </c>
      <c r="D127" s="48" t="s">
        <v>1926</v>
      </c>
      <c r="E127" s="48" t="s">
        <v>1927</v>
      </c>
      <c r="F127" s="49" t="s">
        <v>1928</v>
      </c>
    </row>
    <row r="128" spans="1:6">
      <c r="A128" s="45" t="s">
        <v>1929</v>
      </c>
      <c r="B128" s="45" t="s">
        <v>1677</v>
      </c>
      <c r="C128" s="45" t="s">
        <v>1678</v>
      </c>
      <c r="D128" s="45" t="s">
        <v>1929</v>
      </c>
      <c r="E128" s="45" t="s">
        <v>1930</v>
      </c>
      <c r="F128" s="50" t="s">
        <v>1931</v>
      </c>
    </row>
    <row r="129" spans="1:6">
      <c r="A129" s="48" t="s">
        <v>1932</v>
      </c>
      <c r="B129" s="48" t="s">
        <v>1677</v>
      </c>
      <c r="C129" s="48" t="s">
        <v>1678</v>
      </c>
      <c r="D129" s="48" t="s">
        <v>1932</v>
      </c>
      <c r="E129" s="48" t="s">
        <v>1933</v>
      </c>
      <c r="F129" s="49" t="s">
        <v>1934</v>
      </c>
    </row>
    <row r="130" spans="1:6">
      <c r="A130" s="45" t="s">
        <v>1935</v>
      </c>
      <c r="B130" s="45" t="s">
        <v>1677</v>
      </c>
      <c r="C130" s="45" t="s">
        <v>1678</v>
      </c>
      <c r="D130" s="45" t="s">
        <v>1935</v>
      </c>
      <c r="E130" s="45" t="s">
        <v>1936</v>
      </c>
      <c r="F130" s="50" t="s">
        <v>1937</v>
      </c>
    </row>
    <row r="131" spans="1:6">
      <c r="A131" s="48" t="s">
        <v>1938</v>
      </c>
      <c r="B131" s="48" t="s">
        <v>1677</v>
      </c>
      <c r="C131" s="48" t="s">
        <v>1678</v>
      </c>
      <c r="D131" s="48" t="s">
        <v>1938</v>
      </c>
      <c r="E131" s="48" t="s">
        <v>1939</v>
      </c>
      <c r="F131" s="49" t="s">
        <v>1940</v>
      </c>
    </row>
    <row r="132" spans="1:6">
      <c r="A132" s="45" t="s">
        <v>1941</v>
      </c>
      <c r="B132" s="45" t="s">
        <v>1677</v>
      </c>
      <c r="C132" s="45" t="s">
        <v>1678</v>
      </c>
      <c r="D132" s="45" t="s">
        <v>1941</v>
      </c>
      <c r="E132" s="45" t="s">
        <v>1942</v>
      </c>
      <c r="F132" s="50" t="s">
        <v>1943</v>
      </c>
    </row>
    <row r="133" spans="1:6">
      <c r="A133" s="48" t="s">
        <v>1944</v>
      </c>
      <c r="B133" s="48" t="s">
        <v>1677</v>
      </c>
      <c r="C133" s="48" t="s">
        <v>1678</v>
      </c>
      <c r="D133" s="48" t="s">
        <v>1944</v>
      </c>
      <c r="E133" s="48" t="s">
        <v>1945</v>
      </c>
      <c r="F133" s="49" t="s">
        <v>1946</v>
      </c>
    </row>
    <row r="134" spans="1:6">
      <c r="A134" s="45" t="s">
        <v>1947</v>
      </c>
      <c r="B134" s="45" t="s">
        <v>1677</v>
      </c>
      <c r="C134" s="45" t="s">
        <v>1678</v>
      </c>
      <c r="D134" s="45" t="s">
        <v>1947</v>
      </c>
      <c r="E134" s="45" t="s">
        <v>1948</v>
      </c>
      <c r="F134" s="50" t="s">
        <v>1949</v>
      </c>
    </row>
    <row r="135" spans="1:6">
      <c r="A135" s="48" t="s">
        <v>1950</v>
      </c>
      <c r="B135" s="48" t="s">
        <v>1677</v>
      </c>
      <c r="C135" s="48" t="s">
        <v>1678</v>
      </c>
      <c r="D135" s="48" t="s">
        <v>1950</v>
      </c>
      <c r="E135" s="48" t="s">
        <v>1951</v>
      </c>
      <c r="F135" s="49" t="s">
        <v>1952</v>
      </c>
    </row>
    <row r="136" spans="1:6">
      <c r="A136" s="45" t="s">
        <v>1953</v>
      </c>
      <c r="B136" s="45" t="s">
        <v>1677</v>
      </c>
      <c r="C136" s="45" t="s">
        <v>1678</v>
      </c>
      <c r="D136" s="45" t="s">
        <v>1953</v>
      </c>
      <c r="E136" s="45" t="s">
        <v>1954</v>
      </c>
      <c r="F136" s="50" t="s">
        <v>1955</v>
      </c>
    </row>
    <row r="137" spans="1:6">
      <c r="A137" s="48" t="s">
        <v>1956</v>
      </c>
      <c r="B137" s="48" t="s">
        <v>1677</v>
      </c>
      <c r="C137" s="48" t="s">
        <v>1678</v>
      </c>
      <c r="D137" s="48" t="s">
        <v>1956</v>
      </c>
      <c r="E137" s="48" t="s">
        <v>1957</v>
      </c>
      <c r="F137" s="49" t="s">
        <v>1958</v>
      </c>
    </row>
    <row r="138" spans="1:6">
      <c r="A138" s="45" t="s">
        <v>1959</v>
      </c>
      <c r="B138" s="45" t="s">
        <v>1677</v>
      </c>
      <c r="C138" s="45" t="s">
        <v>1678</v>
      </c>
      <c r="D138" s="45" t="s">
        <v>1959</v>
      </c>
      <c r="E138" s="45" t="s">
        <v>1960</v>
      </c>
      <c r="F138" s="50" t="s">
        <v>1961</v>
      </c>
    </row>
    <row r="139" spans="1:6">
      <c r="A139" s="48" t="s">
        <v>1962</v>
      </c>
      <c r="B139" s="48" t="s">
        <v>1677</v>
      </c>
      <c r="C139" s="48" t="s">
        <v>1678</v>
      </c>
      <c r="D139" s="48" t="s">
        <v>1962</v>
      </c>
      <c r="E139" s="48" t="s">
        <v>1963</v>
      </c>
      <c r="F139" s="49" t="s">
        <v>1964</v>
      </c>
    </row>
    <row r="140" spans="1:6">
      <c r="A140" s="45" t="s">
        <v>1965</v>
      </c>
      <c r="B140" s="45" t="s">
        <v>1677</v>
      </c>
      <c r="C140" s="45" t="s">
        <v>1678</v>
      </c>
      <c r="D140" s="45" t="s">
        <v>1965</v>
      </c>
      <c r="E140" s="45" t="s">
        <v>1966</v>
      </c>
      <c r="F140" s="50" t="s">
        <v>1967</v>
      </c>
    </row>
    <row r="141" spans="1:6">
      <c r="A141" s="48" t="s">
        <v>1968</v>
      </c>
      <c r="B141" s="48" t="s">
        <v>1677</v>
      </c>
      <c r="C141" s="48" t="s">
        <v>1678</v>
      </c>
      <c r="D141" s="48" t="s">
        <v>1968</v>
      </c>
      <c r="E141" s="48" t="s">
        <v>1969</v>
      </c>
      <c r="F141" s="49" t="s">
        <v>1970</v>
      </c>
    </row>
    <row r="142" spans="1:6">
      <c r="A142" s="45" t="s">
        <v>1971</v>
      </c>
      <c r="B142" s="45" t="s">
        <v>1677</v>
      </c>
      <c r="C142" s="45" t="s">
        <v>1678</v>
      </c>
      <c r="D142" s="45" t="s">
        <v>1971</v>
      </c>
      <c r="E142" s="45" t="s">
        <v>1972</v>
      </c>
      <c r="F142" s="50" t="s">
        <v>1973</v>
      </c>
    </row>
    <row r="143" spans="1:6">
      <c r="A143" s="48" t="s">
        <v>1974</v>
      </c>
      <c r="B143" s="48" t="s">
        <v>1677</v>
      </c>
      <c r="C143" s="48" t="s">
        <v>1678</v>
      </c>
      <c r="D143" s="48" t="s">
        <v>1974</v>
      </c>
      <c r="E143" s="48" t="s">
        <v>1975</v>
      </c>
      <c r="F143" s="49" t="s">
        <v>1976</v>
      </c>
    </row>
    <row r="144" spans="1:6">
      <c r="A144" s="45" t="s">
        <v>1977</v>
      </c>
      <c r="B144" s="45" t="s">
        <v>1677</v>
      </c>
      <c r="C144" s="45" t="s">
        <v>1678</v>
      </c>
      <c r="D144" s="45" t="s">
        <v>1977</v>
      </c>
      <c r="E144" s="45" t="s">
        <v>1978</v>
      </c>
      <c r="F144" s="50" t="s">
        <v>1979</v>
      </c>
    </row>
    <row r="145" spans="1:6">
      <c r="A145" s="48" t="s">
        <v>1980</v>
      </c>
      <c r="B145" s="48" t="s">
        <v>1677</v>
      </c>
      <c r="C145" s="48" t="s">
        <v>1678</v>
      </c>
      <c r="D145" s="48" t="s">
        <v>1980</v>
      </c>
      <c r="E145" s="48" t="s">
        <v>1981</v>
      </c>
      <c r="F145" s="49" t="s">
        <v>1982</v>
      </c>
    </row>
    <row r="146" spans="1:6">
      <c r="A146" s="45" t="s">
        <v>1983</v>
      </c>
      <c r="B146" s="45" t="s">
        <v>1677</v>
      </c>
      <c r="C146" s="45" t="s">
        <v>1678</v>
      </c>
      <c r="D146" s="45" t="s">
        <v>1983</v>
      </c>
      <c r="E146" s="45" t="s">
        <v>1984</v>
      </c>
      <c r="F146" s="50" t="s">
        <v>1985</v>
      </c>
    </row>
    <row r="147" spans="1:6">
      <c r="A147" s="48" t="s">
        <v>1986</v>
      </c>
      <c r="B147" s="48" t="s">
        <v>1677</v>
      </c>
      <c r="C147" s="48" t="s">
        <v>1678</v>
      </c>
      <c r="D147" s="48" t="s">
        <v>1986</v>
      </c>
      <c r="E147" s="48" t="s">
        <v>1987</v>
      </c>
      <c r="F147" s="49" t="s">
        <v>1988</v>
      </c>
    </row>
    <row r="148" spans="1:6">
      <c r="A148" s="45" t="s">
        <v>1989</v>
      </c>
      <c r="B148" s="45" t="s">
        <v>1677</v>
      </c>
      <c r="C148" s="45" t="s">
        <v>1678</v>
      </c>
      <c r="D148" s="45" t="s">
        <v>1989</v>
      </c>
      <c r="E148" s="45" t="s">
        <v>1990</v>
      </c>
      <c r="F148" s="50" t="s">
        <v>1991</v>
      </c>
    </row>
    <row r="149" spans="1:6">
      <c r="A149" s="48" t="s">
        <v>1992</v>
      </c>
      <c r="B149" s="48" t="s">
        <v>1677</v>
      </c>
      <c r="C149" s="48" t="s">
        <v>1678</v>
      </c>
      <c r="D149" s="48" t="s">
        <v>1992</v>
      </c>
      <c r="E149" s="48" t="s">
        <v>1993</v>
      </c>
      <c r="F149" s="49" t="s">
        <v>1994</v>
      </c>
    </row>
    <row r="150" spans="1:6">
      <c r="A150" s="45" t="s">
        <v>1995</v>
      </c>
      <c r="B150" s="45" t="s">
        <v>1677</v>
      </c>
      <c r="C150" s="45" t="s">
        <v>1678</v>
      </c>
      <c r="D150" s="45" t="s">
        <v>1995</v>
      </c>
      <c r="E150" s="45" t="s">
        <v>1996</v>
      </c>
      <c r="F150" s="50" t="s">
        <v>1997</v>
      </c>
    </row>
    <row r="151" spans="1:6">
      <c r="A151" s="48" t="s">
        <v>1998</v>
      </c>
      <c r="B151" s="48" t="s">
        <v>1677</v>
      </c>
      <c r="C151" s="48" t="s">
        <v>1678</v>
      </c>
      <c r="D151" s="48" t="s">
        <v>1998</v>
      </c>
      <c r="E151" s="48" t="s">
        <v>1999</v>
      </c>
      <c r="F151" s="49" t="s">
        <v>2000</v>
      </c>
    </row>
    <row r="152" spans="1:6">
      <c r="A152" s="45" t="s">
        <v>2001</v>
      </c>
      <c r="B152" s="45" t="s">
        <v>1677</v>
      </c>
      <c r="C152" s="45" t="s">
        <v>1678</v>
      </c>
      <c r="D152" s="45" t="s">
        <v>2001</v>
      </c>
      <c r="E152" s="45" t="s">
        <v>2002</v>
      </c>
      <c r="F152" s="50" t="s">
        <v>2003</v>
      </c>
    </row>
    <row r="153" spans="1:6">
      <c r="A153" s="48" t="s">
        <v>2004</v>
      </c>
      <c r="B153" s="48" t="s">
        <v>1677</v>
      </c>
      <c r="C153" s="48" t="s">
        <v>1678</v>
      </c>
      <c r="D153" s="48" t="s">
        <v>2004</v>
      </c>
      <c r="E153" s="48" t="s">
        <v>2005</v>
      </c>
      <c r="F153" s="49" t="s">
        <v>2006</v>
      </c>
    </row>
    <row r="154" spans="1:6">
      <c r="A154" s="45" t="s">
        <v>2007</v>
      </c>
      <c r="B154" s="45" t="s">
        <v>1677</v>
      </c>
      <c r="C154" s="45" t="s">
        <v>1678</v>
      </c>
      <c r="D154" s="45" t="s">
        <v>2007</v>
      </c>
      <c r="E154" s="45" t="s">
        <v>2008</v>
      </c>
      <c r="F154" s="50" t="s">
        <v>2009</v>
      </c>
    </row>
    <row r="155" spans="1:6">
      <c r="A155" s="48" t="s">
        <v>2010</v>
      </c>
      <c r="B155" s="48" t="s">
        <v>1677</v>
      </c>
      <c r="C155" s="48" t="s">
        <v>1678</v>
      </c>
      <c r="D155" s="48" t="s">
        <v>2010</v>
      </c>
      <c r="E155" s="48" t="s">
        <v>2011</v>
      </c>
      <c r="F155" s="49" t="s">
        <v>2012</v>
      </c>
    </row>
    <row r="156" spans="1:6">
      <c r="A156" s="45" t="s">
        <v>2013</v>
      </c>
      <c r="B156" s="45" t="s">
        <v>1677</v>
      </c>
      <c r="C156" s="45" t="s">
        <v>1678</v>
      </c>
      <c r="D156" s="45" t="s">
        <v>2013</v>
      </c>
      <c r="E156" s="45" t="s">
        <v>2014</v>
      </c>
      <c r="F156" s="50" t="s">
        <v>2015</v>
      </c>
    </row>
    <row r="157" spans="1:6">
      <c r="A157" s="48" t="s">
        <v>2016</v>
      </c>
      <c r="B157" s="48" t="s">
        <v>1677</v>
      </c>
      <c r="C157" s="48" t="s">
        <v>1678</v>
      </c>
      <c r="D157" s="48" t="s">
        <v>2016</v>
      </c>
      <c r="E157" s="48" t="s">
        <v>2017</v>
      </c>
      <c r="F157" s="49" t="s">
        <v>2018</v>
      </c>
    </row>
    <row r="158" spans="1:6">
      <c r="A158" s="45" t="s">
        <v>2019</v>
      </c>
      <c r="B158" s="45" t="s">
        <v>1677</v>
      </c>
      <c r="C158" s="45" t="s">
        <v>1678</v>
      </c>
      <c r="D158" s="45" t="s">
        <v>2019</v>
      </c>
      <c r="E158" s="45" t="s">
        <v>2020</v>
      </c>
      <c r="F158" s="50" t="s">
        <v>2021</v>
      </c>
    </row>
    <row r="159" spans="1:6">
      <c r="A159" s="48" t="s">
        <v>2022</v>
      </c>
      <c r="B159" s="48" t="s">
        <v>1677</v>
      </c>
      <c r="C159" s="48" t="s">
        <v>1678</v>
      </c>
      <c r="D159" s="48" t="s">
        <v>2022</v>
      </c>
      <c r="E159" s="48" t="s">
        <v>2023</v>
      </c>
      <c r="F159" s="49" t="s">
        <v>2024</v>
      </c>
    </row>
    <row r="160" spans="1:6">
      <c r="A160" s="45" t="s">
        <v>2025</v>
      </c>
      <c r="B160" s="45" t="s">
        <v>1677</v>
      </c>
      <c r="C160" s="45" t="s">
        <v>1678</v>
      </c>
      <c r="D160" s="45" t="s">
        <v>2025</v>
      </c>
      <c r="E160" s="45" t="s">
        <v>2026</v>
      </c>
      <c r="F160" s="50" t="s">
        <v>2027</v>
      </c>
    </row>
    <row r="161" spans="1:6">
      <c r="A161" s="48" t="s">
        <v>2028</v>
      </c>
      <c r="B161" s="48" t="s">
        <v>1677</v>
      </c>
      <c r="C161" s="48" t="s">
        <v>1678</v>
      </c>
      <c r="D161" s="48" t="s">
        <v>2028</v>
      </c>
      <c r="E161" s="48" t="s">
        <v>2029</v>
      </c>
      <c r="F161" s="49" t="s">
        <v>2030</v>
      </c>
    </row>
    <row r="162" spans="1:6">
      <c r="A162" s="45" t="s">
        <v>2031</v>
      </c>
      <c r="B162" s="45" t="s">
        <v>1677</v>
      </c>
      <c r="C162" s="45" t="s">
        <v>1678</v>
      </c>
      <c r="D162" s="45" t="s">
        <v>2031</v>
      </c>
      <c r="E162" s="45" t="s">
        <v>2032</v>
      </c>
      <c r="F162" s="50" t="s">
        <v>2033</v>
      </c>
    </row>
    <row r="163" spans="1:6">
      <c r="A163" s="48" t="s">
        <v>2034</v>
      </c>
      <c r="B163" s="48" t="s">
        <v>1677</v>
      </c>
      <c r="C163" s="48" t="s">
        <v>1678</v>
      </c>
      <c r="D163" s="48" t="s">
        <v>2034</v>
      </c>
      <c r="E163" s="48" t="s">
        <v>2035</v>
      </c>
      <c r="F163" s="49" t="s">
        <v>2036</v>
      </c>
    </row>
    <row r="164" spans="1:6">
      <c r="A164" s="45" t="s">
        <v>2037</v>
      </c>
      <c r="B164" s="45" t="s">
        <v>1677</v>
      </c>
      <c r="C164" s="45" t="s">
        <v>1678</v>
      </c>
      <c r="D164" s="45" t="s">
        <v>2037</v>
      </c>
      <c r="E164" s="45" t="s">
        <v>2038</v>
      </c>
      <c r="F164" s="50" t="s">
        <v>2039</v>
      </c>
    </row>
    <row r="165" spans="1:6">
      <c r="A165" s="48" t="s">
        <v>2040</v>
      </c>
      <c r="B165" s="48" t="s">
        <v>1677</v>
      </c>
      <c r="C165" s="48" t="s">
        <v>1678</v>
      </c>
      <c r="D165" s="48" t="s">
        <v>2040</v>
      </c>
      <c r="E165" s="48" t="s">
        <v>2041</v>
      </c>
      <c r="F165" s="49" t="s">
        <v>2042</v>
      </c>
    </row>
    <row r="166" spans="1:6">
      <c r="A166" s="45" t="s">
        <v>2043</v>
      </c>
      <c r="B166" s="45" t="s">
        <v>1677</v>
      </c>
      <c r="C166" s="45" t="s">
        <v>1678</v>
      </c>
      <c r="D166" s="45" t="s">
        <v>2043</v>
      </c>
      <c r="E166" s="45" t="s">
        <v>2044</v>
      </c>
      <c r="F166" s="50" t="s">
        <v>2045</v>
      </c>
    </row>
    <row r="167" spans="1:6">
      <c r="A167" s="48" t="s">
        <v>2046</v>
      </c>
      <c r="B167" s="48" t="s">
        <v>1677</v>
      </c>
      <c r="C167" s="48" t="s">
        <v>1678</v>
      </c>
      <c r="D167" s="48" t="s">
        <v>2046</v>
      </c>
      <c r="E167" s="48" t="s">
        <v>2047</v>
      </c>
      <c r="F167" s="49" t="s">
        <v>2048</v>
      </c>
    </row>
    <row r="168" spans="1:6">
      <c r="A168" s="45" t="s">
        <v>2049</v>
      </c>
      <c r="B168" s="45" t="s">
        <v>1677</v>
      </c>
      <c r="C168" s="45" t="s">
        <v>1678</v>
      </c>
      <c r="D168" s="45" t="s">
        <v>2049</v>
      </c>
      <c r="E168" s="45" t="s">
        <v>2050</v>
      </c>
      <c r="F168" s="50" t="s">
        <v>2051</v>
      </c>
    </row>
    <row r="169" spans="1:6">
      <c r="A169" s="48" t="s">
        <v>2052</v>
      </c>
      <c r="B169" s="48" t="s">
        <v>1677</v>
      </c>
      <c r="C169" s="48" t="s">
        <v>1678</v>
      </c>
      <c r="D169" s="48" t="s">
        <v>2052</v>
      </c>
      <c r="E169" s="48" t="s">
        <v>2053</v>
      </c>
      <c r="F169" s="49" t="s">
        <v>2054</v>
      </c>
    </row>
    <row r="170" spans="1:6">
      <c r="A170" s="45" t="s">
        <v>2055</v>
      </c>
      <c r="B170" s="45" t="s">
        <v>1677</v>
      </c>
      <c r="C170" s="45" t="s">
        <v>1678</v>
      </c>
      <c r="D170" s="45" t="s">
        <v>2055</v>
      </c>
      <c r="E170" s="45" t="s">
        <v>2056</v>
      </c>
      <c r="F170" s="50" t="s">
        <v>2057</v>
      </c>
    </row>
    <row r="171" spans="1:6">
      <c r="A171" s="48" t="s">
        <v>2058</v>
      </c>
      <c r="B171" s="48" t="s">
        <v>1677</v>
      </c>
      <c r="C171" s="48" t="s">
        <v>1678</v>
      </c>
      <c r="D171" s="48" t="s">
        <v>2058</v>
      </c>
      <c r="E171" s="48" t="s">
        <v>2059</v>
      </c>
      <c r="F171" s="49" t="s">
        <v>2060</v>
      </c>
    </row>
    <row r="172" spans="1:6">
      <c r="A172" s="45" t="s">
        <v>2061</v>
      </c>
      <c r="B172" s="45" t="s">
        <v>1677</v>
      </c>
      <c r="C172" s="45" t="s">
        <v>1678</v>
      </c>
      <c r="D172" s="45" t="s">
        <v>2061</v>
      </c>
      <c r="E172" s="45" t="s">
        <v>2062</v>
      </c>
      <c r="F172" s="50" t="s">
        <v>2063</v>
      </c>
    </row>
    <row r="173" spans="1:6">
      <c r="A173" s="48" t="s">
        <v>2064</v>
      </c>
      <c r="B173" s="48" t="s">
        <v>1677</v>
      </c>
      <c r="C173" s="48" t="s">
        <v>1678</v>
      </c>
      <c r="D173" s="48" t="s">
        <v>2064</v>
      </c>
      <c r="E173" s="48" t="s">
        <v>2065</v>
      </c>
      <c r="F173" s="49" t="s">
        <v>2066</v>
      </c>
    </row>
    <row r="174" spans="1:6">
      <c r="A174" s="45" t="s">
        <v>2067</v>
      </c>
      <c r="B174" s="45" t="s">
        <v>1677</v>
      </c>
      <c r="C174" s="45" t="s">
        <v>1678</v>
      </c>
      <c r="D174" s="45" t="s">
        <v>2067</v>
      </c>
      <c r="E174" s="45" t="s">
        <v>2068</v>
      </c>
      <c r="F174" s="50" t="s">
        <v>2069</v>
      </c>
    </row>
    <row r="175" spans="1:6">
      <c r="A175" s="48" t="s">
        <v>2070</v>
      </c>
      <c r="B175" s="48" t="s">
        <v>1677</v>
      </c>
      <c r="C175" s="48" t="s">
        <v>1678</v>
      </c>
      <c r="D175" s="48" t="s">
        <v>2070</v>
      </c>
      <c r="E175" s="48" t="s">
        <v>2071</v>
      </c>
      <c r="F175" s="49" t="s">
        <v>2072</v>
      </c>
    </row>
    <row r="176" spans="1:6">
      <c r="A176" s="45" t="s">
        <v>2073</v>
      </c>
      <c r="B176" s="45" t="s">
        <v>1677</v>
      </c>
      <c r="C176" s="45" t="s">
        <v>1678</v>
      </c>
      <c r="D176" s="45" t="s">
        <v>2073</v>
      </c>
      <c r="E176" s="45" t="s">
        <v>2074</v>
      </c>
      <c r="F176" s="50" t="s">
        <v>2075</v>
      </c>
    </row>
    <row r="177" spans="1:6">
      <c r="A177" s="48" t="s">
        <v>2076</v>
      </c>
      <c r="B177" s="48" t="s">
        <v>1677</v>
      </c>
      <c r="C177" s="48" t="s">
        <v>1678</v>
      </c>
      <c r="D177" s="48" t="s">
        <v>2076</v>
      </c>
      <c r="E177" s="48" t="s">
        <v>2077</v>
      </c>
      <c r="F177" s="49" t="s">
        <v>2078</v>
      </c>
    </row>
    <row r="178" spans="1:6">
      <c r="A178" s="45" t="s">
        <v>2079</v>
      </c>
      <c r="B178" s="45" t="s">
        <v>1677</v>
      </c>
      <c r="C178" s="45" t="s">
        <v>1678</v>
      </c>
      <c r="D178" s="45" t="s">
        <v>2079</v>
      </c>
      <c r="E178" s="45" t="s">
        <v>2080</v>
      </c>
      <c r="F178" s="50" t="s">
        <v>2081</v>
      </c>
    </row>
    <row r="179" spans="1:6">
      <c r="A179" s="48" t="s">
        <v>2082</v>
      </c>
      <c r="B179" s="48" t="s">
        <v>1677</v>
      </c>
      <c r="C179" s="48" t="s">
        <v>1678</v>
      </c>
      <c r="D179" s="48" t="s">
        <v>2082</v>
      </c>
      <c r="E179" s="48" t="s">
        <v>2083</v>
      </c>
      <c r="F179" s="49" t="s">
        <v>2084</v>
      </c>
    </row>
    <row r="180" spans="1:6">
      <c r="A180" s="45" t="s">
        <v>2085</v>
      </c>
      <c r="B180" s="45" t="s">
        <v>1677</v>
      </c>
      <c r="C180" s="45" t="s">
        <v>1678</v>
      </c>
      <c r="D180" s="45" t="s">
        <v>2085</v>
      </c>
      <c r="E180" s="45" t="s">
        <v>2086</v>
      </c>
      <c r="F180" s="50" t="s">
        <v>2087</v>
      </c>
    </row>
    <row r="181" spans="1:6">
      <c r="A181" s="48" t="s">
        <v>2088</v>
      </c>
      <c r="B181" s="48" t="s">
        <v>1677</v>
      </c>
      <c r="C181" s="48" t="s">
        <v>1678</v>
      </c>
      <c r="D181" s="48" t="s">
        <v>2088</v>
      </c>
      <c r="E181" s="48" t="s">
        <v>2089</v>
      </c>
      <c r="F181" s="49" t="s">
        <v>2090</v>
      </c>
    </row>
    <row r="182" spans="1:6">
      <c r="A182" s="45" t="s">
        <v>2091</v>
      </c>
      <c r="B182" s="45" t="s">
        <v>1677</v>
      </c>
      <c r="C182" s="45" t="s">
        <v>1678</v>
      </c>
      <c r="D182" s="45" t="s">
        <v>2091</v>
      </c>
      <c r="E182" s="45" t="s">
        <v>2092</v>
      </c>
      <c r="F182" s="50" t="s">
        <v>2093</v>
      </c>
    </row>
    <row r="183" spans="1:6">
      <c r="A183" s="48" t="s">
        <v>2094</v>
      </c>
      <c r="B183" s="48" t="s">
        <v>1677</v>
      </c>
      <c r="C183" s="48" t="s">
        <v>1678</v>
      </c>
      <c r="D183" s="48" t="s">
        <v>2094</v>
      </c>
      <c r="E183" s="48" t="s">
        <v>2095</v>
      </c>
      <c r="F183" s="49" t="s">
        <v>2096</v>
      </c>
    </row>
    <row r="184" spans="1:6">
      <c r="A184" s="45" t="s">
        <v>2097</v>
      </c>
      <c r="B184" s="45" t="s">
        <v>1677</v>
      </c>
      <c r="C184" s="45" t="s">
        <v>1678</v>
      </c>
      <c r="D184" s="45" t="s">
        <v>2097</v>
      </c>
      <c r="E184" s="45" t="s">
        <v>2098</v>
      </c>
      <c r="F184" s="50" t="s">
        <v>2099</v>
      </c>
    </row>
    <row r="185" spans="1:6">
      <c r="A185" s="48" t="s">
        <v>2100</v>
      </c>
      <c r="B185" s="48" t="s">
        <v>1677</v>
      </c>
      <c r="C185" s="48" t="s">
        <v>1678</v>
      </c>
      <c r="D185" s="48" t="s">
        <v>2100</v>
      </c>
      <c r="E185" s="48" t="s">
        <v>2101</v>
      </c>
      <c r="F185" s="49" t="s">
        <v>2102</v>
      </c>
    </row>
    <row r="186" spans="1:6">
      <c r="A186" s="45" t="s">
        <v>2103</v>
      </c>
      <c r="B186" s="45" t="s">
        <v>1677</v>
      </c>
      <c r="C186" s="45" t="s">
        <v>1678</v>
      </c>
      <c r="D186" s="45" t="s">
        <v>2103</v>
      </c>
      <c r="E186" s="45" t="s">
        <v>2104</v>
      </c>
      <c r="F186" s="50" t="s">
        <v>2105</v>
      </c>
    </row>
    <row r="187" spans="1:6">
      <c r="A187" s="48" t="s">
        <v>2106</v>
      </c>
      <c r="B187" s="48" t="s">
        <v>1677</v>
      </c>
      <c r="C187" s="48" t="s">
        <v>1678</v>
      </c>
      <c r="D187" s="48" t="s">
        <v>2106</v>
      </c>
      <c r="E187" s="48" t="s">
        <v>2107</v>
      </c>
      <c r="F187" s="49" t="s">
        <v>2108</v>
      </c>
    </row>
    <row r="188" spans="1:6">
      <c r="A188" s="45" t="s">
        <v>2109</v>
      </c>
      <c r="B188" s="45" t="s">
        <v>1677</v>
      </c>
      <c r="C188" s="45" t="s">
        <v>1678</v>
      </c>
      <c r="D188" s="45" t="s">
        <v>2109</v>
      </c>
      <c r="E188" s="45" t="s">
        <v>2110</v>
      </c>
      <c r="F188" s="50" t="s">
        <v>2111</v>
      </c>
    </row>
    <row r="189" spans="1:6">
      <c r="A189" s="48" t="s">
        <v>2112</v>
      </c>
      <c r="B189" s="48" t="s">
        <v>1677</v>
      </c>
      <c r="C189" s="48" t="s">
        <v>1678</v>
      </c>
      <c r="D189" s="48" t="s">
        <v>2112</v>
      </c>
      <c r="E189" s="48" t="s">
        <v>2113</v>
      </c>
      <c r="F189" s="49" t="s">
        <v>2114</v>
      </c>
    </row>
    <row r="190" spans="1:6">
      <c r="A190" s="45" t="s">
        <v>2115</v>
      </c>
      <c r="B190" s="45" t="s">
        <v>1677</v>
      </c>
      <c r="C190" s="45" t="s">
        <v>1678</v>
      </c>
      <c r="D190" s="45" t="s">
        <v>2115</v>
      </c>
      <c r="E190" s="45" t="s">
        <v>2116</v>
      </c>
      <c r="F190" s="50" t="s">
        <v>2117</v>
      </c>
    </row>
    <row r="191" spans="1:6">
      <c r="A191" s="48" t="s">
        <v>2118</v>
      </c>
      <c r="B191" s="48" t="s">
        <v>1677</v>
      </c>
      <c r="C191" s="48" t="s">
        <v>1678</v>
      </c>
      <c r="D191" s="48" t="s">
        <v>2118</v>
      </c>
      <c r="E191" s="48" t="s">
        <v>2119</v>
      </c>
      <c r="F191" s="49" t="s">
        <v>2120</v>
      </c>
    </row>
    <row r="192" spans="1:6">
      <c r="A192" s="45" t="s">
        <v>2121</v>
      </c>
      <c r="B192" s="45" t="s">
        <v>1677</v>
      </c>
      <c r="C192" s="45" t="s">
        <v>1678</v>
      </c>
      <c r="D192" s="45" t="s">
        <v>2121</v>
      </c>
      <c r="E192" s="45" t="s">
        <v>2122</v>
      </c>
      <c r="F192" s="50" t="s">
        <v>2123</v>
      </c>
    </row>
    <row r="193" spans="1:6">
      <c r="A193" s="48" t="s">
        <v>2124</v>
      </c>
      <c r="B193" s="48" t="s">
        <v>1677</v>
      </c>
      <c r="C193" s="48" t="s">
        <v>1678</v>
      </c>
      <c r="D193" s="48" t="s">
        <v>2124</v>
      </c>
      <c r="E193" s="48" t="s">
        <v>2125</v>
      </c>
      <c r="F193" s="49" t="s">
        <v>2126</v>
      </c>
    </row>
    <row r="194" spans="1:6">
      <c r="A194" s="45" t="s">
        <v>2127</v>
      </c>
      <c r="B194" s="45" t="s">
        <v>1677</v>
      </c>
      <c r="C194" s="45" t="s">
        <v>1678</v>
      </c>
      <c r="D194" s="45" t="s">
        <v>2127</v>
      </c>
      <c r="E194" s="45" t="s">
        <v>2128</v>
      </c>
      <c r="F194" s="50" t="s">
        <v>2129</v>
      </c>
    </row>
    <row r="195" spans="1:6">
      <c r="A195" s="48" t="s">
        <v>2130</v>
      </c>
      <c r="B195" s="48" t="s">
        <v>1677</v>
      </c>
      <c r="C195" s="48" t="s">
        <v>1678</v>
      </c>
      <c r="D195" s="48" t="s">
        <v>2130</v>
      </c>
      <c r="E195" s="48" t="s">
        <v>2131</v>
      </c>
      <c r="F195" s="49" t="s">
        <v>2132</v>
      </c>
    </row>
    <row r="196" spans="1:6">
      <c r="A196" s="45" t="s">
        <v>2133</v>
      </c>
      <c r="B196" s="45" t="s">
        <v>1677</v>
      </c>
      <c r="C196" s="45" t="s">
        <v>1678</v>
      </c>
      <c r="D196" s="45" t="s">
        <v>2133</v>
      </c>
      <c r="E196" s="45" t="s">
        <v>2134</v>
      </c>
      <c r="F196" s="50" t="s">
        <v>2135</v>
      </c>
    </row>
    <row r="197" spans="1:6">
      <c r="A197" s="48" t="s">
        <v>2136</v>
      </c>
      <c r="B197" s="48" t="s">
        <v>1677</v>
      </c>
      <c r="C197" s="48" t="s">
        <v>1678</v>
      </c>
      <c r="D197" s="48" t="s">
        <v>2136</v>
      </c>
      <c r="E197" s="48" t="s">
        <v>2137</v>
      </c>
      <c r="F197" s="49" t="s">
        <v>2138</v>
      </c>
    </row>
    <row r="198" spans="1:6">
      <c r="A198" s="45" t="s">
        <v>2139</v>
      </c>
      <c r="B198" s="45" t="s">
        <v>1677</v>
      </c>
      <c r="C198" s="45" t="s">
        <v>1678</v>
      </c>
      <c r="D198" s="45" t="s">
        <v>2139</v>
      </c>
      <c r="E198" s="45" t="s">
        <v>2140</v>
      </c>
      <c r="F198" s="50" t="s">
        <v>2141</v>
      </c>
    </row>
    <row r="199" spans="1:6">
      <c r="A199" s="48" t="s">
        <v>2142</v>
      </c>
      <c r="B199" s="48" t="s">
        <v>1677</v>
      </c>
      <c r="C199" s="48" t="s">
        <v>1678</v>
      </c>
      <c r="D199" s="48" t="s">
        <v>2142</v>
      </c>
      <c r="E199" s="48" t="s">
        <v>2143</v>
      </c>
      <c r="F199" s="49" t="s">
        <v>2144</v>
      </c>
    </row>
    <row r="200" spans="1:6">
      <c r="A200" s="45" t="s">
        <v>2145</v>
      </c>
      <c r="B200" s="45" t="s">
        <v>1677</v>
      </c>
      <c r="C200" s="45" t="s">
        <v>1678</v>
      </c>
      <c r="D200" s="45" t="s">
        <v>2145</v>
      </c>
      <c r="E200" s="45" t="s">
        <v>2146</v>
      </c>
      <c r="F200" s="50" t="s">
        <v>2147</v>
      </c>
    </row>
    <row r="201" spans="1:6">
      <c r="A201" s="48" t="s">
        <v>2148</v>
      </c>
      <c r="B201" s="48" t="s">
        <v>1677</v>
      </c>
      <c r="C201" s="48" t="s">
        <v>1678</v>
      </c>
      <c r="D201" s="48" t="s">
        <v>2148</v>
      </c>
      <c r="E201" s="48" t="s">
        <v>2149</v>
      </c>
      <c r="F201" s="49" t="s">
        <v>2150</v>
      </c>
    </row>
    <row r="202" spans="1:6">
      <c r="A202" s="45" t="s">
        <v>2151</v>
      </c>
      <c r="B202" s="45" t="s">
        <v>1677</v>
      </c>
      <c r="C202" s="45" t="s">
        <v>1678</v>
      </c>
      <c r="D202" s="45" t="s">
        <v>2151</v>
      </c>
      <c r="E202" s="45" t="s">
        <v>2152</v>
      </c>
      <c r="F202" s="50" t="s">
        <v>2153</v>
      </c>
    </row>
    <row r="203" spans="1:6">
      <c r="A203" s="48" t="s">
        <v>2154</v>
      </c>
      <c r="B203" s="48" t="s">
        <v>1677</v>
      </c>
      <c r="C203" s="48" t="s">
        <v>1678</v>
      </c>
      <c r="D203" s="48" t="s">
        <v>2154</v>
      </c>
      <c r="E203" s="48" t="s">
        <v>2155</v>
      </c>
      <c r="F203" s="49" t="s">
        <v>2156</v>
      </c>
    </row>
    <row r="204" spans="1:6">
      <c r="A204" s="45" t="s">
        <v>2157</v>
      </c>
      <c r="B204" s="45" t="s">
        <v>1677</v>
      </c>
      <c r="C204" s="45" t="s">
        <v>1678</v>
      </c>
      <c r="D204" s="45" t="s">
        <v>2157</v>
      </c>
      <c r="E204" s="45" t="s">
        <v>2158</v>
      </c>
      <c r="F204" s="50" t="s">
        <v>2159</v>
      </c>
    </row>
    <row r="205" spans="1:6">
      <c r="A205" s="48" t="s">
        <v>2160</v>
      </c>
      <c r="B205" s="48" t="s">
        <v>1677</v>
      </c>
      <c r="C205" s="48" t="s">
        <v>1678</v>
      </c>
      <c r="D205" s="48" t="s">
        <v>2160</v>
      </c>
      <c r="E205" s="48" t="s">
        <v>2161</v>
      </c>
      <c r="F205" s="49" t="s">
        <v>2162</v>
      </c>
    </row>
    <row r="206" spans="1:6">
      <c r="A206" s="45" t="s">
        <v>2163</v>
      </c>
      <c r="B206" s="45" t="s">
        <v>1677</v>
      </c>
      <c r="C206" s="45" t="s">
        <v>1678</v>
      </c>
      <c r="D206" s="45" t="s">
        <v>2163</v>
      </c>
      <c r="E206" s="45" t="s">
        <v>2164</v>
      </c>
      <c r="F206" s="50" t="s">
        <v>2165</v>
      </c>
    </row>
    <row r="207" spans="1:6">
      <c r="A207" s="48" t="s">
        <v>2166</v>
      </c>
      <c r="B207" s="48" t="s">
        <v>1677</v>
      </c>
      <c r="C207" s="48" t="s">
        <v>1678</v>
      </c>
      <c r="D207" s="48" t="s">
        <v>2166</v>
      </c>
      <c r="E207" s="48" t="s">
        <v>2167</v>
      </c>
      <c r="F207" s="49" t="s">
        <v>2168</v>
      </c>
    </row>
    <row r="208" spans="1:6">
      <c r="A208" s="45" t="s">
        <v>2169</v>
      </c>
      <c r="B208" s="45" t="s">
        <v>1677</v>
      </c>
      <c r="C208" s="45" t="s">
        <v>1678</v>
      </c>
      <c r="D208" s="45" t="s">
        <v>2169</v>
      </c>
      <c r="E208" s="45" t="s">
        <v>2170</v>
      </c>
      <c r="F208" s="50" t="s">
        <v>2171</v>
      </c>
    </row>
    <row r="209" spans="1:6">
      <c r="A209" s="48" t="s">
        <v>2172</v>
      </c>
      <c r="B209" s="48" t="s">
        <v>1677</v>
      </c>
      <c r="C209" s="48" t="s">
        <v>1678</v>
      </c>
      <c r="D209" s="48" t="s">
        <v>2172</v>
      </c>
      <c r="E209" s="48" t="s">
        <v>2173</v>
      </c>
      <c r="F209" s="49" t="s">
        <v>2174</v>
      </c>
    </row>
    <row r="210" spans="1:6">
      <c r="A210" s="45" t="s">
        <v>2175</v>
      </c>
      <c r="B210" s="45" t="s">
        <v>1677</v>
      </c>
      <c r="C210" s="45" t="s">
        <v>1678</v>
      </c>
      <c r="D210" s="45" t="s">
        <v>2175</v>
      </c>
      <c r="E210" s="45" t="s">
        <v>2176</v>
      </c>
      <c r="F210" s="50" t="s">
        <v>2177</v>
      </c>
    </row>
    <row r="211" spans="1:6">
      <c r="A211" s="48" t="s">
        <v>2178</v>
      </c>
      <c r="B211" s="48" t="s">
        <v>1677</v>
      </c>
      <c r="C211" s="48" t="s">
        <v>1678</v>
      </c>
      <c r="D211" s="48" t="s">
        <v>2178</v>
      </c>
      <c r="E211" s="48" t="s">
        <v>2179</v>
      </c>
      <c r="F211" s="49" t="s">
        <v>2180</v>
      </c>
    </row>
    <row r="212" spans="1:6">
      <c r="A212" s="45" t="s">
        <v>2181</v>
      </c>
      <c r="B212" s="45" t="s">
        <v>1677</v>
      </c>
      <c r="C212" s="45" t="s">
        <v>1678</v>
      </c>
      <c r="D212" s="45" t="s">
        <v>2181</v>
      </c>
      <c r="E212" s="45" t="s">
        <v>2182</v>
      </c>
      <c r="F212" s="50" t="s">
        <v>2183</v>
      </c>
    </row>
    <row r="213" spans="1:6">
      <c r="A213" s="48" t="s">
        <v>2184</v>
      </c>
      <c r="B213" s="48" t="s">
        <v>1677</v>
      </c>
      <c r="C213" s="48" t="s">
        <v>1678</v>
      </c>
      <c r="D213" s="48" t="s">
        <v>2184</v>
      </c>
      <c r="E213" s="48" t="s">
        <v>2185</v>
      </c>
      <c r="F213" s="49" t="s">
        <v>2186</v>
      </c>
    </row>
    <row r="214" spans="1:6">
      <c r="A214" s="45" t="s">
        <v>2187</v>
      </c>
      <c r="B214" s="45" t="s">
        <v>1677</v>
      </c>
      <c r="C214" s="45" t="s">
        <v>1678</v>
      </c>
      <c r="D214" s="45" t="s">
        <v>2187</v>
      </c>
      <c r="E214" s="45" t="s">
        <v>2188</v>
      </c>
      <c r="F214" s="50" t="s">
        <v>2189</v>
      </c>
    </row>
    <row r="215" spans="1:6">
      <c r="A215" s="48" t="s">
        <v>2190</v>
      </c>
      <c r="B215" s="48" t="s">
        <v>1677</v>
      </c>
      <c r="C215" s="48" t="s">
        <v>1678</v>
      </c>
      <c r="D215" s="48" t="s">
        <v>2190</v>
      </c>
      <c r="E215" s="48" t="s">
        <v>2191</v>
      </c>
      <c r="F215" s="49" t="s">
        <v>2192</v>
      </c>
    </row>
    <row r="216" spans="1:6">
      <c r="A216" s="45" t="s">
        <v>2193</v>
      </c>
      <c r="B216" s="45" t="s">
        <v>1677</v>
      </c>
      <c r="C216" s="45" t="s">
        <v>1678</v>
      </c>
      <c r="D216" s="45" t="s">
        <v>2193</v>
      </c>
      <c r="E216" s="45" t="s">
        <v>2194</v>
      </c>
      <c r="F216" s="50" t="s">
        <v>2195</v>
      </c>
    </row>
    <row r="217" spans="1:6">
      <c r="A217" s="48" t="s">
        <v>2196</v>
      </c>
      <c r="B217" s="48" t="s">
        <v>1677</v>
      </c>
      <c r="C217" s="48" t="s">
        <v>1678</v>
      </c>
      <c r="D217" s="48" t="s">
        <v>2196</v>
      </c>
      <c r="E217" s="48" t="s">
        <v>2197</v>
      </c>
      <c r="F217" s="49" t="s">
        <v>2198</v>
      </c>
    </row>
    <row r="218" spans="1:6">
      <c r="A218" s="45" t="s">
        <v>2199</v>
      </c>
      <c r="B218" s="45" t="s">
        <v>1677</v>
      </c>
      <c r="C218" s="45" t="s">
        <v>1678</v>
      </c>
      <c r="D218" s="45" t="s">
        <v>2199</v>
      </c>
      <c r="E218" s="45" t="s">
        <v>2200</v>
      </c>
      <c r="F218" s="50" t="s">
        <v>2201</v>
      </c>
    </row>
    <row r="219" spans="1:6">
      <c r="A219" s="48" t="s">
        <v>2202</v>
      </c>
      <c r="B219" s="48" t="s">
        <v>1677</v>
      </c>
      <c r="C219" s="48" t="s">
        <v>1678</v>
      </c>
      <c r="D219" s="48" t="s">
        <v>2202</v>
      </c>
      <c r="E219" s="48" t="s">
        <v>2203</v>
      </c>
      <c r="F219" s="49" t="s">
        <v>2204</v>
      </c>
    </row>
    <row r="220" spans="1:6">
      <c r="A220" s="45" t="s">
        <v>2205</v>
      </c>
      <c r="B220" s="45" t="s">
        <v>1677</v>
      </c>
      <c r="C220" s="45" t="s">
        <v>1678</v>
      </c>
      <c r="D220" s="45" t="s">
        <v>2205</v>
      </c>
      <c r="E220" s="45" t="s">
        <v>2206</v>
      </c>
      <c r="F220" s="50" t="s">
        <v>2207</v>
      </c>
    </row>
    <row r="221" spans="1:6">
      <c r="A221" s="48" t="s">
        <v>2208</v>
      </c>
      <c r="B221" s="48" t="s">
        <v>1677</v>
      </c>
      <c r="C221" s="48" t="s">
        <v>1678</v>
      </c>
      <c r="D221" s="48" t="s">
        <v>2208</v>
      </c>
      <c r="E221" s="48" t="s">
        <v>2209</v>
      </c>
      <c r="F221" s="49" t="s">
        <v>2210</v>
      </c>
    </row>
    <row r="222" spans="1:6">
      <c r="A222" s="45" t="s">
        <v>2211</v>
      </c>
      <c r="B222" s="45" t="s">
        <v>1677</v>
      </c>
      <c r="C222" s="45" t="s">
        <v>1678</v>
      </c>
      <c r="D222" s="45" t="s">
        <v>2211</v>
      </c>
      <c r="E222" s="45" t="s">
        <v>2212</v>
      </c>
      <c r="F222" s="50" t="s">
        <v>2213</v>
      </c>
    </row>
    <row r="223" spans="1:6">
      <c r="A223" s="48" t="s">
        <v>2214</v>
      </c>
      <c r="B223" s="48" t="s">
        <v>1677</v>
      </c>
      <c r="C223" s="48" t="s">
        <v>1678</v>
      </c>
      <c r="D223" s="48" t="s">
        <v>2214</v>
      </c>
      <c r="E223" s="48" t="s">
        <v>2215</v>
      </c>
      <c r="F223" s="49" t="s">
        <v>2216</v>
      </c>
    </row>
    <row r="224" spans="1:6">
      <c r="A224" s="45" t="s">
        <v>2217</v>
      </c>
      <c r="B224" s="45" t="s">
        <v>1677</v>
      </c>
      <c r="C224" s="45" t="s">
        <v>1678</v>
      </c>
      <c r="D224" s="45" t="s">
        <v>2217</v>
      </c>
      <c r="E224" s="45" t="s">
        <v>2218</v>
      </c>
      <c r="F224" s="50" t="s">
        <v>2219</v>
      </c>
    </row>
    <row r="225" spans="1:6">
      <c r="A225" s="48" t="s">
        <v>2220</v>
      </c>
      <c r="B225" s="48" t="s">
        <v>1677</v>
      </c>
      <c r="C225" s="48" t="s">
        <v>1678</v>
      </c>
      <c r="D225" s="48" t="s">
        <v>2220</v>
      </c>
      <c r="E225" s="48" t="s">
        <v>2221</v>
      </c>
      <c r="F225" s="49" t="s">
        <v>2222</v>
      </c>
    </row>
    <row r="226" spans="1:6">
      <c r="A226" s="45" t="s">
        <v>2223</v>
      </c>
      <c r="B226" s="45" t="s">
        <v>1677</v>
      </c>
      <c r="C226" s="45" t="s">
        <v>1678</v>
      </c>
      <c r="D226" s="45" t="s">
        <v>2223</v>
      </c>
      <c r="E226" s="45" t="s">
        <v>2224</v>
      </c>
      <c r="F226" s="50" t="s">
        <v>2225</v>
      </c>
    </row>
    <row r="227" spans="1:6">
      <c r="A227" s="48" t="s">
        <v>2226</v>
      </c>
      <c r="B227" s="48" t="s">
        <v>1677</v>
      </c>
      <c r="C227" s="48" t="s">
        <v>1678</v>
      </c>
      <c r="D227" s="48" t="s">
        <v>2226</v>
      </c>
      <c r="E227" s="48" t="s">
        <v>2227</v>
      </c>
      <c r="F227" s="49" t="s">
        <v>2228</v>
      </c>
    </row>
    <row r="228" spans="1:6">
      <c r="A228" s="45" t="s">
        <v>2229</v>
      </c>
      <c r="B228" s="45" t="s">
        <v>1677</v>
      </c>
      <c r="C228" s="45" t="s">
        <v>1678</v>
      </c>
      <c r="D228" s="45" t="s">
        <v>2229</v>
      </c>
      <c r="E228" s="45" t="s">
        <v>2230</v>
      </c>
      <c r="F228" s="50" t="s">
        <v>2231</v>
      </c>
    </row>
    <row r="229" spans="1:6">
      <c r="A229" s="48" t="s">
        <v>2232</v>
      </c>
      <c r="B229" s="48" t="s">
        <v>1677</v>
      </c>
      <c r="C229" s="48" t="s">
        <v>1678</v>
      </c>
      <c r="D229" s="48" t="s">
        <v>2232</v>
      </c>
      <c r="E229" s="48" t="s">
        <v>2233</v>
      </c>
      <c r="F229" s="49" t="s">
        <v>2234</v>
      </c>
    </row>
    <row r="230" spans="1:6">
      <c r="A230" s="45" t="s">
        <v>2235</v>
      </c>
      <c r="B230" s="45" t="s">
        <v>1677</v>
      </c>
      <c r="C230" s="45" t="s">
        <v>1678</v>
      </c>
      <c r="D230" s="45" t="s">
        <v>2235</v>
      </c>
      <c r="E230" s="45" t="s">
        <v>2236</v>
      </c>
      <c r="F230" s="50" t="s">
        <v>2237</v>
      </c>
    </row>
    <row r="231" spans="1:6">
      <c r="A231" s="48" t="s">
        <v>2238</v>
      </c>
      <c r="B231" s="48" t="s">
        <v>1677</v>
      </c>
      <c r="C231" s="48" t="s">
        <v>1678</v>
      </c>
      <c r="D231" s="48" t="s">
        <v>2238</v>
      </c>
      <c r="E231" s="48" t="s">
        <v>2239</v>
      </c>
      <c r="F231" s="49" t="s">
        <v>2240</v>
      </c>
    </row>
    <row r="232" spans="1:6">
      <c r="A232" s="45" t="s">
        <v>2241</v>
      </c>
      <c r="B232" s="45" t="s">
        <v>1677</v>
      </c>
      <c r="C232" s="45" t="s">
        <v>1678</v>
      </c>
      <c r="D232" s="45" t="s">
        <v>2241</v>
      </c>
      <c r="E232" s="45" t="s">
        <v>2242</v>
      </c>
      <c r="F232" s="50" t="s">
        <v>2243</v>
      </c>
    </row>
    <row r="233" spans="1:6">
      <c r="A233" s="48" t="s">
        <v>2244</v>
      </c>
      <c r="B233" s="48" t="s">
        <v>1677</v>
      </c>
      <c r="C233" s="48" t="s">
        <v>1678</v>
      </c>
      <c r="D233" s="48" t="s">
        <v>2244</v>
      </c>
      <c r="E233" s="48" t="s">
        <v>2245</v>
      </c>
      <c r="F233" s="49" t="s">
        <v>2246</v>
      </c>
    </row>
    <row r="234" spans="1:6">
      <c r="A234" s="45" t="s">
        <v>2247</v>
      </c>
      <c r="B234" s="45" t="s">
        <v>1677</v>
      </c>
      <c r="C234" s="45" t="s">
        <v>1678</v>
      </c>
      <c r="D234" s="45" t="s">
        <v>2247</v>
      </c>
      <c r="E234" s="45" t="s">
        <v>2248</v>
      </c>
      <c r="F234" s="50" t="s">
        <v>2249</v>
      </c>
    </row>
    <row r="235" spans="1:6">
      <c r="A235" s="48" t="s">
        <v>2250</v>
      </c>
      <c r="B235" s="48" t="s">
        <v>1677</v>
      </c>
      <c r="C235" s="48" t="s">
        <v>1678</v>
      </c>
      <c r="D235" s="48" t="s">
        <v>2250</v>
      </c>
      <c r="E235" s="48" t="s">
        <v>2251</v>
      </c>
      <c r="F235" s="49" t="s">
        <v>2252</v>
      </c>
    </row>
    <row r="236" spans="1:6">
      <c r="A236" s="45" t="s">
        <v>2253</v>
      </c>
      <c r="B236" s="45" t="s">
        <v>1677</v>
      </c>
      <c r="C236" s="45" t="s">
        <v>1678</v>
      </c>
      <c r="D236" s="45" t="s">
        <v>2253</v>
      </c>
      <c r="E236" s="45" t="s">
        <v>2254</v>
      </c>
      <c r="F236" s="50" t="s">
        <v>2255</v>
      </c>
    </row>
    <row r="237" spans="1:6">
      <c r="A237" s="48" t="s">
        <v>2256</v>
      </c>
      <c r="B237" s="48" t="s">
        <v>1677</v>
      </c>
      <c r="C237" s="48" t="s">
        <v>1678</v>
      </c>
      <c r="D237" s="48" t="s">
        <v>2256</v>
      </c>
      <c r="E237" s="48" t="s">
        <v>2257</v>
      </c>
      <c r="F237" s="49" t="s">
        <v>2258</v>
      </c>
    </row>
    <row r="238" spans="1:6">
      <c r="A238" s="45" t="s">
        <v>2259</v>
      </c>
      <c r="B238" s="45" t="s">
        <v>1677</v>
      </c>
      <c r="C238" s="45" t="s">
        <v>1678</v>
      </c>
      <c r="D238" s="45" t="s">
        <v>2259</v>
      </c>
      <c r="E238" s="45" t="s">
        <v>2260</v>
      </c>
      <c r="F238" s="50" t="s">
        <v>2261</v>
      </c>
    </row>
    <row r="239" spans="1:6">
      <c r="A239" s="48" t="s">
        <v>2262</v>
      </c>
      <c r="B239" s="48" t="s">
        <v>1677</v>
      </c>
      <c r="C239" s="48" t="s">
        <v>1678</v>
      </c>
      <c r="D239" s="48" t="s">
        <v>2262</v>
      </c>
      <c r="E239" s="48" t="s">
        <v>2263</v>
      </c>
      <c r="F239" s="49" t="s">
        <v>2264</v>
      </c>
    </row>
    <row r="240" spans="1:6">
      <c r="A240" s="45" t="s">
        <v>2265</v>
      </c>
      <c r="B240" s="45" t="s">
        <v>1677</v>
      </c>
      <c r="C240" s="45" t="s">
        <v>1678</v>
      </c>
      <c r="D240" s="45" t="s">
        <v>2265</v>
      </c>
      <c r="E240" s="45" t="s">
        <v>2266</v>
      </c>
      <c r="F240" s="50" t="s">
        <v>2267</v>
      </c>
    </row>
    <row r="241" spans="1:6">
      <c r="A241" s="48" t="s">
        <v>2268</v>
      </c>
      <c r="B241" s="48" t="s">
        <v>1677</v>
      </c>
      <c r="C241" s="48" t="s">
        <v>1678</v>
      </c>
      <c r="D241" s="48" t="s">
        <v>2268</v>
      </c>
      <c r="E241" s="48" t="s">
        <v>2269</v>
      </c>
      <c r="F241" s="49" t="s">
        <v>2270</v>
      </c>
    </row>
    <row r="242" spans="1:6">
      <c r="A242" s="45" t="s">
        <v>2271</v>
      </c>
      <c r="B242" s="45" t="s">
        <v>1677</v>
      </c>
      <c r="C242" s="45" t="s">
        <v>1678</v>
      </c>
      <c r="D242" s="45" t="s">
        <v>2271</v>
      </c>
      <c r="E242" s="45" t="s">
        <v>2272</v>
      </c>
      <c r="F242" s="50" t="s">
        <v>2273</v>
      </c>
    </row>
    <row r="243" spans="1:6">
      <c r="A243" s="48" t="s">
        <v>2274</v>
      </c>
      <c r="B243" s="48" t="s">
        <v>1677</v>
      </c>
      <c r="C243" s="48" t="s">
        <v>1678</v>
      </c>
      <c r="D243" s="48" t="s">
        <v>2274</v>
      </c>
      <c r="E243" s="48" t="s">
        <v>2275</v>
      </c>
      <c r="F243" s="49" t="s">
        <v>2276</v>
      </c>
    </row>
    <row r="244" spans="1:6">
      <c r="A244" s="45" t="s">
        <v>2277</v>
      </c>
      <c r="B244" s="45" t="s">
        <v>1677</v>
      </c>
      <c r="C244" s="45" t="s">
        <v>1678</v>
      </c>
      <c r="D244" s="45" t="s">
        <v>2277</v>
      </c>
      <c r="E244" s="45" t="s">
        <v>2278</v>
      </c>
      <c r="F244" s="50" t="s">
        <v>2279</v>
      </c>
    </row>
    <row r="245" spans="1:6">
      <c r="A245" s="48" t="s">
        <v>2280</v>
      </c>
      <c r="B245" s="48" t="s">
        <v>1677</v>
      </c>
      <c r="C245" s="48" t="s">
        <v>1678</v>
      </c>
      <c r="D245" s="48" t="s">
        <v>2280</v>
      </c>
      <c r="E245" s="48" t="s">
        <v>2281</v>
      </c>
      <c r="F245" s="49" t="s">
        <v>2282</v>
      </c>
    </row>
    <row r="246" spans="1:6">
      <c r="A246" s="45" t="s">
        <v>2283</v>
      </c>
      <c r="B246" s="45" t="s">
        <v>1677</v>
      </c>
      <c r="C246" s="45" t="s">
        <v>1678</v>
      </c>
      <c r="D246" s="45" t="s">
        <v>2283</v>
      </c>
      <c r="E246" s="45" t="s">
        <v>2284</v>
      </c>
      <c r="F246" s="50" t="s">
        <v>2285</v>
      </c>
    </row>
    <row r="247" spans="1:6">
      <c r="A247" s="48" t="s">
        <v>2286</v>
      </c>
      <c r="B247" s="48" t="s">
        <v>1677</v>
      </c>
      <c r="C247" s="48" t="s">
        <v>1678</v>
      </c>
      <c r="D247" s="48" t="s">
        <v>2286</v>
      </c>
      <c r="E247" s="48" t="s">
        <v>2287</v>
      </c>
      <c r="F247" s="49" t="s">
        <v>2288</v>
      </c>
    </row>
    <row r="248" spans="1:6">
      <c r="A248" s="45" t="s">
        <v>2289</v>
      </c>
      <c r="B248" s="45" t="s">
        <v>1677</v>
      </c>
      <c r="C248" s="45" t="s">
        <v>1678</v>
      </c>
      <c r="D248" s="45" t="s">
        <v>2289</v>
      </c>
      <c r="E248" s="45" t="s">
        <v>2290</v>
      </c>
      <c r="F248" s="50" t="s">
        <v>2291</v>
      </c>
    </row>
    <row r="249" spans="1:6">
      <c r="A249" s="48" t="s">
        <v>2292</v>
      </c>
      <c r="B249" s="48" t="s">
        <v>1677</v>
      </c>
      <c r="C249" s="48" t="s">
        <v>1678</v>
      </c>
      <c r="D249" s="48" t="s">
        <v>2292</v>
      </c>
      <c r="E249" s="48" t="s">
        <v>2293</v>
      </c>
      <c r="F249" s="49" t="s">
        <v>2294</v>
      </c>
    </row>
    <row r="250" spans="1:6">
      <c r="A250" s="45" t="s">
        <v>2295</v>
      </c>
      <c r="B250" s="45" t="s">
        <v>1677</v>
      </c>
      <c r="C250" s="45" t="s">
        <v>1678</v>
      </c>
      <c r="D250" s="45" t="s">
        <v>2295</v>
      </c>
      <c r="E250" s="45" t="s">
        <v>2296</v>
      </c>
      <c r="F250" s="50" t="s">
        <v>2297</v>
      </c>
    </row>
    <row r="251" spans="1:6">
      <c r="A251" s="48" t="s">
        <v>2298</v>
      </c>
      <c r="B251" s="48" t="s">
        <v>1677</v>
      </c>
      <c r="C251" s="48" t="s">
        <v>1678</v>
      </c>
      <c r="D251" s="48" t="s">
        <v>2298</v>
      </c>
      <c r="E251" s="48" t="s">
        <v>2299</v>
      </c>
      <c r="F251" s="49" t="s">
        <v>2300</v>
      </c>
    </row>
    <row r="252" spans="1:6">
      <c r="A252" s="45" t="s">
        <v>2301</v>
      </c>
      <c r="B252" s="45" t="s">
        <v>1677</v>
      </c>
      <c r="C252" s="45" t="s">
        <v>1678</v>
      </c>
      <c r="D252" s="45" t="s">
        <v>2301</v>
      </c>
      <c r="E252" s="45" t="s">
        <v>2302</v>
      </c>
      <c r="F252" s="50" t="s">
        <v>2303</v>
      </c>
    </row>
    <row r="253" spans="1:6">
      <c r="A253" s="48" t="s">
        <v>2304</v>
      </c>
      <c r="B253" s="48" t="s">
        <v>1677</v>
      </c>
      <c r="C253" s="48" t="s">
        <v>1678</v>
      </c>
      <c r="D253" s="48" t="s">
        <v>2304</v>
      </c>
      <c r="E253" s="48" t="s">
        <v>2305</v>
      </c>
      <c r="F253" s="49" t="s">
        <v>2306</v>
      </c>
    </row>
    <row r="254" spans="1:6">
      <c r="A254" s="45" t="s">
        <v>2307</v>
      </c>
      <c r="B254" s="45" t="s">
        <v>1677</v>
      </c>
      <c r="C254" s="45" t="s">
        <v>1678</v>
      </c>
      <c r="D254" s="45" t="s">
        <v>2307</v>
      </c>
      <c r="E254" s="45" t="s">
        <v>2308</v>
      </c>
      <c r="F254" s="50" t="s">
        <v>2309</v>
      </c>
    </row>
    <row r="255" spans="1:6">
      <c r="A255" s="48" t="s">
        <v>2310</v>
      </c>
      <c r="B255" s="48" t="s">
        <v>1677</v>
      </c>
      <c r="C255" s="48" t="s">
        <v>1678</v>
      </c>
      <c r="D255" s="48" t="s">
        <v>2310</v>
      </c>
      <c r="E255" s="48" t="s">
        <v>2311</v>
      </c>
      <c r="F255" s="49" t="s">
        <v>2312</v>
      </c>
    </row>
    <row r="256" spans="1:6">
      <c r="A256" s="45" t="s">
        <v>2313</v>
      </c>
      <c r="B256" s="45" t="s">
        <v>1677</v>
      </c>
      <c r="C256" s="45" t="s">
        <v>1678</v>
      </c>
      <c r="D256" s="45" t="s">
        <v>2313</v>
      </c>
      <c r="E256" s="45" t="s">
        <v>2314</v>
      </c>
      <c r="F256" s="50" t="s">
        <v>2315</v>
      </c>
    </row>
    <row r="257" spans="1:6">
      <c r="A257" s="48" t="s">
        <v>2316</v>
      </c>
      <c r="B257" s="48" t="s">
        <v>1677</v>
      </c>
      <c r="C257" s="48" t="s">
        <v>1678</v>
      </c>
      <c r="D257" s="48" t="s">
        <v>2316</v>
      </c>
      <c r="E257" s="48" t="s">
        <v>2317</v>
      </c>
      <c r="F257" s="49" t="s">
        <v>2318</v>
      </c>
    </row>
    <row r="258" spans="1:6">
      <c r="A258" s="45" t="s">
        <v>2319</v>
      </c>
      <c r="B258" s="45" t="s">
        <v>1677</v>
      </c>
      <c r="C258" s="45" t="s">
        <v>1678</v>
      </c>
      <c r="D258" s="45" t="s">
        <v>2319</v>
      </c>
      <c r="E258" s="45" t="s">
        <v>2320</v>
      </c>
      <c r="F258" s="50" t="s">
        <v>2321</v>
      </c>
    </row>
    <row r="259" spans="1:6">
      <c r="A259" s="48" t="s">
        <v>2322</v>
      </c>
      <c r="B259" s="48" t="s">
        <v>1677</v>
      </c>
      <c r="C259" s="48" t="s">
        <v>1678</v>
      </c>
      <c r="D259" s="48" t="s">
        <v>2322</v>
      </c>
      <c r="E259" s="48" t="s">
        <v>2323</v>
      </c>
      <c r="F259" s="49" t="s">
        <v>2324</v>
      </c>
    </row>
    <row r="260" spans="1:6">
      <c r="A260" s="45" t="s">
        <v>2325</v>
      </c>
      <c r="B260" s="45" t="s">
        <v>1677</v>
      </c>
      <c r="C260" s="45" t="s">
        <v>1678</v>
      </c>
      <c r="D260" s="45" t="s">
        <v>2325</v>
      </c>
      <c r="E260" s="45" t="s">
        <v>2326</v>
      </c>
      <c r="F260" s="50" t="s">
        <v>2327</v>
      </c>
    </row>
    <row r="261" spans="1:6">
      <c r="A261" s="48" t="s">
        <v>2328</v>
      </c>
      <c r="B261" s="48" t="s">
        <v>1677</v>
      </c>
      <c r="C261" s="48" t="s">
        <v>1678</v>
      </c>
      <c r="D261" s="48" t="s">
        <v>2328</v>
      </c>
      <c r="E261" s="48" t="s">
        <v>2329</v>
      </c>
      <c r="F261" s="49" t="s">
        <v>2330</v>
      </c>
    </row>
    <row r="262" spans="1:6">
      <c r="A262" s="45" t="s">
        <v>2331</v>
      </c>
      <c r="B262" s="45" t="s">
        <v>1677</v>
      </c>
      <c r="C262" s="45" t="s">
        <v>1678</v>
      </c>
      <c r="D262" s="45" t="s">
        <v>2331</v>
      </c>
      <c r="E262" s="45" t="s">
        <v>2332</v>
      </c>
      <c r="F262" s="50" t="s">
        <v>2333</v>
      </c>
    </row>
    <row r="263" spans="1:6">
      <c r="A263" s="48" t="s">
        <v>2334</v>
      </c>
      <c r="B263" s="48" t="s">
        <v>1677</v>
      </c>
      <c r="C263" s="48" t="s">
        <v>1678</v>
      </c>
      <c r="D263" s="48" t="s">
        <v>2334</v>
      </c>
      <c r="E263" s="48" t="s">
        <v>2335</v>
      </c>
      <c r="F263" s="49" t="s">
        <v>2336</v>
      </c>
    </row>
    <row r="264" spans="1:6">
      <c r="A264" s="45" t="s">
        <v>2337</v>
      </c>
      <c r="B264" s="45" t="s">
        <v>1677</v>
      </c>
      <c r="C264" s="45" t="s">
        <v>1678</v>
      </c>
      <c r="D264" s="45" t="s">
        <v>2337</v>
      </c>
      <c r="E264" s="45" t="s">
        <v>2338</v>
      </c>
      <c r="F264" s="50" t="s">
        <v>2339</v>
      </c>
    </row>
    <row r="265" spans="1:6">
      <c r="A265" s="48" t="s">
        <v>2340</v>
      </c>
      <c r="B265" s="48" t="s">
        <v>1677</v>
      </c>
      <c r="C265" s="48" t="s">
        <v>1678</v>
      </c>
      <c r="D265" s="48" t="s">
        <v>2340</v>
      </c>
      <c r="E265" s="48" t="s">
        <v>2341</v>
      </c>
      <c r="F265" s="49" t="s">
        <v>2342</v>
      </c>
    </row>
    <row r="266" spans="1:6">
      <c r="A266" s="45" t="s">
        <v>2343</v>
      </c>
      <c r="B266" s="45" t="s">
        <v>1677</v>
      </c>
      <c r="C266" s="45" t="s">
        <v>1678</v>
      </c>
      <c r="D266" s="45" t="s">
        <v>2343</v>
      </c>
      <c r="E266" s="45" t="s">
        <v>2344</v>
      </c>
      <c r="F266" s="50" t="s">
        <v>2345</v>
      </c>
    </row>
    <row r="267" spans="1:6">
      <c r="A267" s="48" t="s">
        <v>2346</v>
      </c>
      <c r="B267" s="48" t="s">
        <v>1677</v>
      </c>
      <c r="C267" s="48" t="s">
        <v>1678</v>
      </c>
      <c r="D267" s="48" t="s">
        <v>2346</v>
      </c>
      <c r="E267" s="48" t="s">
        <v>2347</v>
      </c>
      <c r="F267" s="49" t="s">
        <v>2348</v>
      </c>
    </row>
    <row r="268" spans="1:6">
      <c r="A268" s="45" t="s">
        <v>2349</v>
      </c>
      <c r="B268" s="45" t="s">
        <v>1677</v>
      </c>
      <c r="C268" s="45" t="s">
        <v>1678</v>
      </c>
      <c r="D268" s="45" t="s">
        <v>2349</v>
      </c>
      <c r="E268" s="45" t="s">
        <v>2350</v>
      </c>
      <c r="F268" s="50" t="s">
        <v>2351</v>
      </c>
    </row>
    <row r="269" spans="1:6">
      <c r="A269" s="48" t="s">
        <v>2352</v>
      </c>
      <c r="B269" s="48" t="s">
        <v>1677</v>
      </c>
      <c r="C269" s="48" t="s">
        <v>1678</v>
      </c>
      <c r="D269" s="48" t="s">
        <v>2352</v>
      </c>
      <c r="E269" s="48" t="s">
        <v>2353</v>
      </c>
      <c r="F269" s="49" t="s">
        <v>2354</v>
      </c>
    </row>
    <row r="270" spans="1:6">
      <c r="A270" s="45" t="s">
        <v>2355</v>
      </c>
      <c r="B270" s="45" t="s">
        <v>1677</v>
      </c>
      <c r="C270" s="45" t="s">
        <v>1678</v>
      </c>
      <c r="D270" s="45" t="s">
        <v>2355</v>
      </c>
      <c r="E270" s="45" t="s">
        <v>2356</v>
      </c>
      <c r="F270" s="50" t="s">
        <v>2357</v>
      </c>
    </row>
    <row r="271" spans="1:6">
      <c r="A271" s="48" t="s">
        <v>2358</v>
      </c>
      <c r="B271" s="48" t="s">
        <v>1677</v>
      </c>
      <c r="C271" s="48" t="s">
        <v>1678</v>
      </c>
      <c r="D271" s="48" t="s">
        <v>2358</v>
      </c>
      <c r="E271" s="48" t="s">
        <v>2359</v>
      </c>
      <c r="F271" s="49" t="s">
        <v>2360</v>
      </c>
    </row>
    <row r="272" spans="1:6">
      <c r="A272" s="45" t="s">
        <v>2361</v>
      </c>
      <c r="B272" s="45" t="s">
        <v>1677</v>
      </c>
      <c r="C272" s="45" t="s">
        <v>1678</v>
      </c>
      <c r="D272" s="45" t="s">
        <v>2361</v>
      </c>
      <c r="E272" s="45" t="s">
        <v>2362</v>
      </c>
      <c r="F272" s="50" t="s">
        <v>2363</v>
      </c>
    </row>
    <row r="273" spans="1:6">
      <c r="A273" s="48" t="s">
        <v>2364</v>
      </c>
      <c r="B273" s="48" t="s">
        <v>1677</v>
      </c>
      <c r="C273" s="48" t="s">
        <v>1678</v>
      </c>
      <c r="D273" s="48" t="s">
        <v>2364</v>
      </c>
      <c r="E273" s="48" t="s">
        <v>2365</v>
      </c>
      <c r="F273" s="49" t="s">
        <v>2366</v>
      </c>
    </row>
    <row r="274" spans="1:6">
      <c r="A274" s="45" t="s">
        <v>2367</v>
      </c>
      <c r="B274" s="45" t="s">
        <v>1677</v>
      </c>
      <c r="C274" s="45" t="s">
        <v>1678</v>
      </c>
      <c r="D274" s="45" t="s">
        <v>2367</v>
      </c>
      <c r="E274" s="45" t="s">
        <v>2368</v>
      </c>
      <c r="F274" s="50" t="s">
        <v>2369</v>
      </c>
    </row>
    <row r="275" spans="1:6">
      <c r="A275" s="48" t="s">
        <v>2370</v>
      </c>
      <c r="B275" s="48" t="s">
        <v>1677</v>
      </c>
      <c r="C275" s="48" t="s">
        <v>1678</v>
      </c>
      <c r="D275" s="48" t="s">
        <v>2370</v>
      </c>
      <c r="E275" s="48" t="s">
        <v>2371</v>
      </c>
      <c r="F275" s="49" t="s">
        <v>2372</v>
      </c>
    </row>
    <row r="276" spans="1:6">
      <c r="A276" s="45" t="s">
        <v>2373</v>
      </c>
      <c r="B276" s="45" t="s">
        <v>1677</v>
      </c>
      <c r="C276" s="45" t="s">
        <v>1678</v>
      </c>
      <c r="D276" s="45" t="s">
        <v>2373</v>
      </c>
      <c r="E276" s="45" t="s">
        <v>2374</v>
      </c>
      <c r="F276" s="50" t="s">
        <v>2375</v>
      </c>
    </row>
    <row r="277" spans="1:6">
      <c r="A277" s="48" t="s">
        <v>2376</v>
      </c>
      <c r="B277" s="48" t="s">
        <v>1677</v>
      </c>
      <c r="C277" s="48" t="s">
        <v>1678</v>
      </c>
      <c r="D277" s="48" t="s">
        <v>2376</v>
      </c>
      <c r="E277" s="48" t="s">
        <v>2377</v>
      </c>
      <c r="F277" s="49" t="s">
        <v>2378</v>
      </c>
    </row>
    <row r="278" spans="1:6">
      <c r="A278" s="45" t="s">
        <v>2379</v>
      </c>
      <c r="B278" s="45" t="s">
        <v>1677</v>
      </c>
      <c r="C278" s="45" t="s">
        <v>1678</v>
      </c>
      <c r="D278" s="45" t="s">
        <v>2379</v>
      </c>
      <c r="E278" s="45" t="s">
        <v>2380</v>
      </c>
      <c r="F278" s="50" t="s">
        <v>2381</v>
      </c>
    </row>
    <row r="279" spans="1:6">
      <c r="A279" s="48" t="s">
        <v>2382</v>
      </c>
      <c r="B279" s="48" t="s">
        <v>1677</v>
      </c>
      <c r="C279" s="48" t="s">
        <v>1678</v>
      </c>
      <c r="D279" s="48" t="s">
        <v>2382</v>
      </c>
      <c r="E279" s="48" t="s">
        <v>2383</v>
      </c>
      <c r="F279" s="49" t="s">
        <v>2384</v>
      </c>
    </row>
    <row r="280" spans="1:6">
      <c r="A280" s="45" t="s">
        <v>2385</v>
      </c>
      <c r="B280" s="45" t="s">
        <v>1677</v>
      </c>
      <c r="C280" s="45" t="s">
        <v>1678</v>
      </c>
      <c r="D280" s="45" t="s">
        <v>2385</v>
      </c>
      <c r="E280" s="45" t="s">
        <v>2386</v>
      </c>
      <c r="F280" s="50" t="s">
        <v>2387</v>
      </c>
    </row>
    <row r="281" spans="1:6">
      <c r="A281" s="48" t="s">
        <v>2388</v>
      </c>
      <c r="B281" s="48" t="s">
        <v>1677</v>
      </c>
      <c r="C281" s="48" t="s">
        <v>1678</v>
      </c>
      <c r="D281" s="48" t="s">
        <v>2388</v>
      </c>
      <c r="E281" s="48" t="s">
        <v>2389</v>
      </c>
      <c r="F281" s="49" t="s">
        <v>2390</v>
      </c>
    </row>
    <row r="282" spans="1:6">
      <c r="A282" s="45" t="s">
        <v>2391</v>
      </c>
      <c r="B282" s="45" t="s">
        <v>1677</v>
      </c>
      <c r="C282" s="45" t="s">
        <v>1678</v>
      </c>
      <c r="D282" s="45" t="s">
        <v>2391</v>
      </c>
      <c r="E282" s="45" t="s">
        <v>2392</v>
      </c>
      <c r="F282" s="50" t="s">
        <v>2393</v>
      </c>
    </row>
    <row r="283" spans="1:6">
      <c r="A283" s="48" t="s">
        <v>2394</v>
      </c>
      <c r="B283" s="48" t="s">
        <v>1677</v>
      </c>
      <c r="C283" s="48" t="s">
        <v>1678</v>
      </c>
      <c r="D283" s="48" t="s">
        <v>2394</v>
      </c>
      <c r="E283" s="48" t="s">
        <v>2395</v>
      </c>
      <c r="F283" s="49" t="s">
        <v>2396</v>
      </c>
    </row>
    <row r="284" spans="1:6">
      <c r="A284" s="45" t="s">
        <v>2397</v>
      </c>
      <c r="B284" s="45" t="s">
        <v>1677</v>
      </c>
      <c r="C284" s="45" t="s">
        <v>1678</v>
      </c>
      <c r="D284" s="45" t="s">
        <v>2397</v>
      </c>
      <c r="E284" s="45" t="s">
        <v>2398</v>
      </c>
      <c r="F284" s="50" t="s">
        <v>2399</v>
      </c>
    </row>
    <row r="285" spans="1:6">
      <c r="A285" s="48" t="s">
        <v>2400</v>
      </c>
      <c r="B285" s="48" t="s">
        <v>1677</v>
      </c>
      <c r="C285" s="48" t="s">
        <v>1678</v>
      </c>
      <c r="D285" s="48" t="s">
        <v>2400</v>
      </c>
      <c r="E285" s="48" t="s">
        <v>2401</v>
      </c>
      <c r="F285" s="49" t="s">
        <v>2402</v>
      </c>
    </row>
    <row r="286" spans="1:6">
      <c r="A286" s="45" t="s">
        <v>2403</v>
      </c>
      <c r="B286" s="45" t="s">
        <v>1677</v>
      </c>
      <c r="C286" s="45" t="s">
        <v>1678</v>
      </c>
      <c r="D286" s="45" t="s">
        <v>2403</v>
      </c>
      <c r="E286" s="45" t="s">
        <v>2404</v>
      </c>
      <c r="F286" s="50" t="s">
        <v>2405</v>
      </c>
    </row>
    <row r="287" spans="1:6">
      <c r="A287" s="48" t="s">
        <v>2406</v>
      </c>
      <c r="B287" s="48" t="s">
        <v>1677</v>
      </c>
      <c r="C287" s="48" t="s">
        <v>1678</v>
      </c>
      <c r="D287" s="48" t="s">
        <v>2406</v>
      </c>
      <c r="E287" s="48" t="s">
        <v>2407</v>
      </c>
      <c r="F287" s="49" t="s">
        <v>2408</v>
      </c>
    </row>
    <row r="288" spans="1:6">
      <c r="A288" s="45" t="s">
        <v>2409</v>
      </c>
      <c r="B288" s="45" t="s">
        <v>1677</v>
      </c>
      <c r="C288" s="45" t="s">
        <v>1678</v>
      </c>
      <c r="D288" s="45" t="s">
        <v>2409</v>
      </c>
      <c r="E288" s="45" t="s">
        <v>2410</v>
      </c>
      <c r="F288" s="50" t="s">
        <v>2411</v>
      </c>
    </row>
    <row r="289" spans="1:6">
      <c r="A289" s="48" t="s">
        <v>2412</v>
      </c>
      <c r="B289" s="48" t="s">
        <v>1677</v>
      </c>
      <c r="C289" s="48" t="s">
        <v>1678</v>
      </c>
      <c r="D289" s="48" t="s">
        <v>2412</v>
      </c>
      <c r="E289" s="48" t="s">
        <v>2413</v>
      </c>
      <c r="F289" s="49" t="s">
        <v>2414</v>
      </c>
    </row>
    <row r="290" spans="1:6">
      <c r="A290" s="45" t="s">
        <v>2415</v>
      </c>
      <c r="B290" s="45" t="s">
        <v>1677</v>
      </c>
      <c r="C290" s="45" t="s">
        <v>1678</v>
      </c>
      <c r="D290" s="45" t="s">
        <v>2415</v>
      </c>
      <c r="E290" s="45" t="s">
        <v>2416</v>
      </c>
      <c r="F290" s="50" t="s">
        <v>2417</v>
      </c>
    </row>
    <row r="291" spans="1:6">
      <c r="A291" s="48" t="s">
        <v>2418</v>
      </c>
      <c r="B291" s="48" t="s">
        <v>1677</v>
      </c>
      <c r="C291" s="48" t="s">
        <v>1678</v>
      </c>
      <c r="D291" s="48" t="s">
        <v>2418</v>
      </c>
      <c r="E291" s="48" t="s">
        <v>2419</v>
      </c>
      <c r="F291" s="49" t="s">
        <v>2420</v>
      </c>
    </row>
    <row r="292" spans="1:6">
      <c r="A292" s="45" t="s">
        <v>2421</v>
      </c>
      <c r="B292" s="45" t="s">
        <v>1677</v>
      </c>
      <c r="C292" s="45" t="s">
        <v>1678</v>
      </c>
      <c r="D292" s="45" t="s">
        <v>2421</v>
      </c>
      <c r="E292" s="45" t="s">
        <v>2422</v>
      </c>
      <c r="F292" s="50" t="s">
        <v>2423</v>
      </c>
    </row>
    <row r="293" spans="1:6">
      <c r="A293" s="48" t="s">
        <v>2424</v>
      </c>
      <c r="B293" s="48" t="s">
        <v>1677</v>
      </c>
      <c r="C293" s="48" t="s">
        <v>1678</v>
      </c>
      <c r="D293" s="48" t="s">
        <v>2424</v>
      </c>
      <c r="E293" s="48" t="s">
        <v>2425</v>
      </c>
      <c r="F293" s="49" t="s">
        <v>2426</v>
      </c>
    </row>
    <row r="294" spans="1:6">
      <c r="A294" s="45" t="s">
        <v>2427</v>
      </c>
      <c r="B294" s="45" t="s">
        <v>1677</v>
      </c>
      <c r="C294" s="45" t="s">
        <v>1678</v>
      </c>
      <c r="D294" s="45" t="s">
        <v>2427</v>
      </c>
      <c r="E294" s="45" t="s">
        <v>2428</v>
      </c>
      <c r="F294" s="50" t="s">
        <v>2429</v>
      </c>
    </row>
    <row r="295" spans="1:6">
      <c r="A295" s="48" t="s">
        <v>2430</v>
      </c>
      <c r="B295" s="48" t="s">
        <v>1677</v>
      </c>
      <c r="C295" s="48" t="s">
        <v>1678</v>
      </c>
      <c r="D295" s="48" t="s">
        <v>2430</v>
      </c>
      <c r="E295" s="48" t="s">
        <v>2431</v>
      </c>
      <c r="F295" s="49" t="s">
        <v>2432</v>
      </c>
    </row>
    <row r="296" spans="1:6">
      <c r="A296" s="45" t="s">
        <v>2433</v>
      </c>
      <c r="B296" s="45" t="s">
        <v>1677</v>
      </c>
      <c r="C296" s="45" t="s">
        <v>1678</v>
      </c>
      <c r="D296" s="45" t="s">
        <v>2433</v>
      </c>
      <c r="E296" s="45" t="s">
        <v>2434</v>
      </c>
      <c r="F296" s="50" t="s">
        <v>2435</v>
      </c>
    </row>
    <row r="297" spans="1:6">
      <c r="A297" s="48" t="s">
        <v>2436</v>
      </c>
      <c r="B297" s="48" t="s">
        <v>1677</v>
      </c>
      <c r="C297" s="48" t="s">
        <v>1678</v>
      </c>
      <c r="D297" s="48" t="s">
        <v>2436</v>
      </c>
      <c r="E297" s="48" t="s">
        <v>2437</v>
      </c>
      <c r="F297" s="49" t="s">
        <v>2438</v>
      </c>
    </row>
    <row r="298" spans="1:6">
      <c r="A298" s="45" t="s">
        <v>2439</v>
      </c>
      <c r="B298" s="45" t="s">
        <v>1677</v>
      </c>
      <c r="C298" s="45" t="s">
        <v>1678</v>
      </c>
      <c r="D298" s="45" t="s">
        <v>2439</v>
      </c>
      <c r="E298" s="45" t="s">
        <v>2440</v>
      </c>
      <c r="F298" s="50" t="s">
        <v>2441</v>
      </c>
    </row>
    <row r="299" spans="1:6">
      <c r="A299" s="48" t="s">
        <v>2442</v>
      </c>
      <c r="B299" s="48" t="s">
        <v>1677</v>
      </c>
      <c r="C299" s="48" t="s">
        <v>1678</v>
      </c>
      <c r="D299" s="48" t="s">
        <v>2442</v>
      </c>
      <c r="E299" s="48" t="s">
        <v>2443</v>
      </c>
      <c r="F299" s="49" t="s">
        <v>2444</v>
      </c>
    </row>
    <row r="300" spans="1:6">
      <c r="A300" s="45" t="s">
        <v>2445</v>
      </c>
      <c r="B300" s="45" t="s">
        <v>1677</v>
      </c>
      <c r="C300" s="45" t="s">
        <v>1678</v>
      </c>
      <c r="D300" s="45" t="s">
        <v>2445</v>
      </c>
      <c r="E300" s="45" t="s">
        <v>2446</v>
      </c>
      <c r="F300" s="50" t="s">
        <v>2447</v>
      </c>
    </row>
    <row r="301" spans="1:6">
      <c r="A301" s="48" t="s">
        <v>2448</v>
      </c>
      <c r="B301" s="48" t="s">
        <v>1677</v>
      </c>
      <c r="C301" s="48" t="s">
        <v>1678</v>
      </c>
      <c r="D301" s="48" t="s">
        <v>2448</v>
      </c>
      <c r="E301" s="48" t="s">
        <v>2449</v>
      </c>
      <c r="F301" s="49" t="s">
        <v>2450</v>
      </c>
    </row>
    <row r="302" spans="1:6">
      <c r="A302" s="45" t="s">
        <v>2451</v>
      </c>
      <c r="B302" s="45" t="s">
        <v>1677</v>
      </c>
      <c r="C302" s="45" t="s">
        <v>1678</v>
      </c>
      <c r="D302" s="45" t="s">
        <v>2451</v>
      </c>
      <c r="E302" s="45" t="s">
        <v>2452</v>
      </c>
      <c r="F302" s="50" t="s">
        <v>2453</v>
      </c>
    </row>
    <row r="303" spans="1:6">
      <c r="A303" s="48" t="s">
        <v>2454</v>
      </c>
      <c r="B303" s="48" t="s">
        <v>1677</v>
      </c>
      <c r="C303" s="48" t="s">
        <v>1678</v>
      </c>
      <c r="D303" s="48" t="s">
        <v>2454</v>
      </c>
      <c r="E303" s="48" t="s">
        <v>2455</v>
      </c>
      <c r="F303" s="49" t="s">
        <v>2456</v>
      </c>
    </row>
    <row r="304" spans="1:6">
      <c r="A304" s="45" t="s">
        <v>2457</v>
      </c>
      <c r="B304" s="45" t="s">
        <v>1677</v>
      </c>
      <c r="C304" s="45" t="s">
        <v>1678</v>
      </c>
      <c r="D304" s="45" t="s">
        <v>2457</v>
      </c>
      <c r="E304" s="45" t="s">
        <v>2458</v>
      </c>
      <c r="F304" s="50" t="s">
        <v>2459</v>
      </c>
    </row>
    <row r="305" spans="1:6">
      <c r="A305" s="48" t="s">
        <v>2460</v>
      </c>
      <c r="B305" s="48" t="s">
        <v>1677</v>
      </c>
      <c r="C305" s="48" t="s">
        <v>1678</v>
      </c>
      <c r="D305" s="48" t="s">
        <v>2460</v>
      </c>
      <c r="E305" s="48" t="s">
        <v>2461</v>
      </c>
      <c r="F305" s="49" t="s">
        <v>2462</v>
      </c>
    </row>
    <row r="306" spans="1:6">
      <c r="A306" s="45" t="s">
        <v>2463</v>
      </c>
      <c r="B306" s="45" t="s">
        <v>1677</v>
      </c>
      <c r="C306" s="45" t="s">
        <v>1678</v>
      </c>
      <c r="D306" s="45" t="s">
        <v>2463</v>
      </c>
      <c r="E306" s="45" t="s">
        <v>2464</v>
      </c>
      <c r="F306" s="50" t="s">
        <v>2465</v>
      </c>
    </row>
    <row r="307" spans="1:6">
      <c r="A307" s="48" t="s">
        <v>2466</v>
      </c>
      <c r="B307" s="48" t="s">
        <v>1677</v>
      </c>
      <c r="C307" s="48" t="s">
        <v>1678</v>
      </c>
      <c r="D307" s="48" t="s">
        <v>2466</v>
      </c>
      <c r="E307" s="48" t="s">
        <v>2467</v>
      </c>
      <c r="F307" s="49" t="s">
        <v>2468</v>
      </c>
    </row>
    <row r="308" spans="1:6">
      <c r="A308" s="45" t="s">
        <v>2469</v>
      </c>
      <c r="B308" s="45" t="s">
        <v>1677</v>
      </c>
      <c r="C308" s="45" t="s">
        <v>1678</v>
      </c>
      <c r="D308" s="45" t="s">
        <v>2469</v>
      </c>
      <c r="E308" s="45" t="s">
        <v>2470</v>
      </c>
      <c r="F308" s="50" t="s">
        <v>2471</v>
      </c>
    </row>
    <row r="309" spans="1:6">
      <c r="A309" s="48" t="s">
        <v>2472</v>
      </c>
      <c r="B309" s="48" t="s">
        <v>1677</v>
      </c>
      <c r="C309" s="48" t="s">
        <v>1678</v>
      </c>
      <c r="D309" s="48" t="s">
        <v>2472</v>
      </c>
      <c r="E309" s="48" t="s">
        <v>2473</v>
      </c>
      <c r="F309" s="49" t="s">
        <v>2474</v>
      </c>
    </row>
    <row r="310" spans="1:6">
      <c r="A310" s="45" t="s">
        <v>2475</v>
      </c>
      <c r="B310" s="45" t="s">
        <v>1677</v>
      </c>
      <c r="C310" s="45" t="s">
        <v>1678</v>
      </c>
      <c r="D310" s="45" t="s">
        <v>2475</v>
      </c>
      <c r="E310" s="45" t="s">
        <v>2476</v>
      </c>
      <c r="F310" s="50" t="s">
        <v>2477</v>
      </c>
    </row>
    <row r="311" spans="1:6">
      <c r="A311" s="48" t="s">
        <v>2478</v>
      </c>
      <c r="B311" s="48" t="s">
        <v>1677</v>
      </c>
      <c r="C311" s="48" t="s">
        <v>1678</v>
      </c>
      <c r="D311" s="48" t="s">
        <v>2478</v>
      </c>
      <c r="E311" s="48" t="s">
        <v>2479</v>
      </c>
      <c r="F311" s="49" t="s">
        <v>2480</v>
      </c>
    </row>
    <row r="312" spans="1:6">
      <c r="A312" s="45" t="s">
        <v>2481</v>
      </c>
      <c r="B312" s="45" t="s">
        <v>1677</v>
      </c>
      <c r="C312" s="45" t="s">
        <v>1678</v>
      </c>
      <c r="D312" s="45" t="s">
        <v>2481</v>
      </c>
      <c r="E312" s="45" t="s">
        <v>2482</v>
      </c>
      <c r="F312" s="50" t="s">
        <v>2483</v>
      </c>
    </row>
    <row r="313" spans="1:6">
      <c r="A313" s="48" t="s">
        <v>2484</v>
      </c>
      <c r="B313" s="48" t="s">
        <v>1677</v>
      </c>
      <c r="C313" s="48" t="s">
        <v>1678</v>
      </c>
      <c r="D313" s="48" t="s">
        <v>2484</v>
      </c>
      <c r="E313" s="48" t="s">
        <v>2485</v>
      </c>
      <c r="F313" s="49" t="s">
        <v>2486</v>
      </c>
    </row>
    <row r="314" spans="1:6">
      <c r="A314" s="45" t="s">
        <v>2487</v>
      </c>
      <c r="B314" s="45" t="s">
        <v>1677</v>
      </c>
      <c r="C314" s="45" t="s">
        <v>1678</v>
      </c>
      <c r="D314" s="45" t="s">
        <v>2487</v>
      </c>
      <c r="E314" s="45" t="s">
        <v>2488</v>
      </c>
      <c r="F314" s="50" t="s">
        <v>2489</v>
      </c>
    </row>
    <row r="315" spans="1:6">
      <c r="A315" s="48" t="s">
        <v>2490</v>
      </c>
      <c r="B315" s="48" t="s">
        <v>1677</v>
      </c>
      <c r="C315" s="48" t="s">
        <v>1678</v>
      </c>
      <c r="D315" s="48" t="s">
        <v>2490</v>
      </c>
      <c r="E315" s="48" t="s">
        <v>2491</v>
      </c>
      <c r="F315" s="49" t="s">
        <v>2492</v>
      </c>
    </row>
    <row r="316" spans="1:6">
      <c r="A316" s="45" t="s">
        <v>2493</v>
      </c>
      <c r="B316" s="45" t="s">
        <v>1677</v>
      </c>
      <c r="C316" s="45" t="s">
        <v>1678</v>
      </c>
      <c r="D316" s="45" t="s">
        <v>2493</v>
      </c>
      <c r="E316" s="45" t="s">
        <v>2494</v>
      </c>
      <c r="F316" s="50" t="s">
        <v>2495</v>
      </c>
    </row>
    <row r="317" spans="1:6">
      <c r="A317" s="48" t="s">
        <v>2496</v>
      </c>
      <c r="B317" s="48" t="s">
        <v>1677</v>
      </c>
      <c r="C317" s="48" t="s">
        <v>1678</v>
      </c>
      <c r="D317" s="48" t="s">
        <v>2496</v>
      </c>
      <c r="E317" s="48" t="s">
        <v>2497</v>
      </c>
      <c r="F317" s="49" t="s">
        <v>2498</v>
      </c>
    </row>
    <row r="318" spans="1:6">
      <c r="A318" s="45" t="s">
        <v>2499</v>
      </c>
      <c r="B318" s="45" t="s">
        <v>1677</v>
      </c>
      <c r="C318" s="45" t="s">
        <v>1678</v>
      </c>
      <c r="D318" s="45" t="s">
        <v>2499</v>
      </c>
      <c r="E318" s="45" t="s">
        <v>2500</v>
      </c>
      <c r="F318" s="50" t="s">
        <v>2501</v>
      </c>
    </row>
    <row r="319" spans="1:6">
      <c r="A319" s="48" t="s">
        <v>2502</v>
      </c>
      <c r="B319" s="48" t="s">
        <v>1677</v>
      </c>
      <c r="C319" s="48" t="s">
        <v>1678</v>
      </c>
      <c r="D319" s="48" t="s">
        <v>2502</v>
      </c>
      <c r="E319" s="48" t="s">
        <v>2503</v>
      </c>
      <c r="F319" s="49" t="s">
        <v>2504</v>
      </c>
    </row>
    <row r="320" spans="1:6">
      <c r="A320" s="45" t="s">
        <v>2505</v>
      </c>
      <c r="B320" s="45" t="s">
        <v>1677</v>
      </c>
      <c r="C320" s="45" t="s">
        <v>1678</v>
      </c>
      <c r="D320" s="45" t="s">
        <v>2505</v>
      </c>
      <c r="E320" s="45" t="s">
        <v>2506</v>
      </c>
      <c r="F320" s="50" t="s">
        <v>2507</v>
      </c>
    </row>
    <row r="321" spans="1:7">
      <c r="A321" s="48" t="s">
        <v>2508</v>
      </c>
      <c r="B321" s="48" t="s">
        <v>1677</v>
      </c>
      <c r="C321" s="48" t="s">
        <v>1678</v>
      </c>
      <c r="D321" s="48" t="s">
        <v>2508</v>
      </c>
      <c r="E321" s="48" t="s">
        <v>2509</v>
      </c>
      <c r="F321" s="49" t="s">
        <v>2510</v>
      </c>
    </row>
    <row r="322" spans="1:7">
      <c r="A322" s="45" t="s">
        <v>2511</v>
      </c>
      <c r="B322" s="45" t="s">
        <v>1677</v>
      </c>
      <c r="C322" s="45" t="s">
        <v>1678</v>
      </c>
      <c r="D322" s="45" t="s">
        <v>2511</v>
      </c>
      <c r="E322" s="45" t="s">
        <v>2512</v>
      </c>
      <c r="F322" s="50" t="s">
        <v>2513</v>
      </c>
    </row>
    <row r="323" spans="1:7">
      <c r="A323" s="48" t="s">
        <v>2514</v>
      </c>
      <c r="B323" s="48" t="s">
        <v>1677</v>
      </c>
      <c r="C323" s="48" t="s">
        <v>1678</v>
      </c>
      <c r="D323" s="48" t="s">
        <v>2514</v>
      </c>
      <c r="E323" s="48" t="s">
        <v>2515</v>
      </c>
      <c r="F323" s="49" t="s">
        <v>2516</v>
      </c>
    </row>
    <row r="324" spans="1:7">
      <c r="A324" s="45" t="s">
        <v>2517</v>
      </c>
      <c r="B324" s="45" t="s">
        <v>1677</v>
      </c>
      <c r="C324" s="45" t="s">
        <v>1678</v>
      </c>
      <c r="D324" s="45" t="s">
        <v>2517</v>
      </c>
      <c r="E324" s="45" t="s">
        <v>2518</v>
      </c>
      <c r="F324" s="50" t="s">
        <v>2519</v>
      </c>
    </row>
    <row r="325" spans="1:7">
      <c r="A325" s="36" t="s">
        <v>2520</v>
      </c>
      <c r="B325" s="36" t="s">
        <v>1677</v>
      </c>
      <c r="C325" s="36" t="s">
        <v>1678</v>
      </c>
      <c r="D325" s="36" t="s">
        <v>2520</v>
      </c>
      <c r="E325" s="36" t="s">
        <v>2521</v>
      </c>
      <c r="F325" s="37" t="s">
        <v>2522</v>
      </c>
    </row>
    <row r="326" spans="1:7">
      <c r="A326" s="40" t="s">
        <v>2523</v>
      </c>
      <c r="B326" s="40" t="s">
        <v>2524</v>
      </c>
      <c r="C326" s="40" t="s">
        <v>2525</v>
      </c>
      <c r="D326" s="51" t="s">
        <v>2526</v>
      </c>
      <c r="E326" s="51" t="s">
        <v>2527</v>
      </c>
      <c r="F326" s="51" t="s">
        <v>2528</v>
      </c>
      <c r="G326" s="52"/>
    </row>
    <row r="327" spans="1:7">
      <c r="A327" s="42" t="s">
        <v>2529</v>
      </c>
      <c r="B327" s="42" t="s">
        <v>2524</v>
      </c>
      <c r="C327" s="42" t="s">
        <v>2525</v>
      </c>
      <c r="D327" s="53" t="s">
        <v>2530</v>
      </c>
      <c r="E327" s="53" t="s">
        <v>2531</v>
      </c>
      <c r="F327" s="53" t="s">
        <v>2532</v>
      </c>
      <c r="G327" s="43"/>
    </row>
    <row r="328" spans="1:7">
      <c r="A328" s="40" t="s">
        <v>2533</v>
      </c>
      <c r="B328" s="40" t="s">
        <v>2524</v>
      </c>
      <c r="C328" s="40" t="s">
        <v>2525</v>
      </c>
      <c r="D328" s="51" t="s">
        <v>2534</v>
      </c>
      <c r="E328" s="51" t="s">
        <v>2535</v>
      </c>
      <c r="F328" s="51" t="s">
        <v>2536</v>
      </c>
      <c r="G328" s="52"/>
    </row>
    <row r="329" spans="1:7">
      <c r="A329" s="42" t="s">
        <v>2537</v>
      </c>
      <c r="B329" s="42" t="s">
        <v>2524</v>
      </c>
      <c r="C329" s="42" t="s">
        <v>2525</v>
      </c>
      <c r="D329" s="53" t="s">
        <v>2538</v>
      </c>
      <c r="E329" s="53" t="s">
        <v>2539</v>
      </c>
      <c r="F329" s="53" t="s">
        <v>2540</v>
      </c>
      <c r="G329" s="43"/>
    </row>
    <row r="330" spans="1:7">
      <c r="A330" s="40" t="s">
        <v>2541</v>
      </c>
      <c r="B330" s="40" t="s">
        <v>2524</v>
      </c>
      <c r="C330" s="40" t="s">
        <v>2525</v>
      </c>
      <c r="D330" s="51" t="s">
        <v>2538</v>
      </c>
      <c r="E330" s="51" t="s">
        <v>2542</v>
      </c>
      <c r="F330" s="51" t="s">
        <v>2543</v>
      </c>
      <c r="G330" s="52"/>
    </row>
    <row r="331" spans="1:7">
      <c r="A331" s="42" t="s">
        <v>2544</v>
      </c>
      <c r="B331" s="42" t="s">
        <v>2524</v>
      </c>
      <c r="C331" s="42" t="s">
        <v>2525</v>
      </c>
      <c r="D331" s="53" t="s">
        <v>2545</v>
      </c>
      <c r="E331" s="53" t="s">
        <v>2546</v>
      </c>
      <c r="F331" s="53" t="s">
        <v>2547</v>
      </c>
      <c r="G331" s="43"/>
    </row>
    <row r="332" spans="1:7">
      <c r="A332" s="40" t="s">
        <v>2548</v>
      </c>
      <c r="B332" s="40" t="s">
        <v>2524</v>
      </c>
      <c r="C332" s="40" t="s">
        <v>2525</v>
      </c>
      <c r="D332" s="51" t="s">
        <v>2545</v>
      </c>
      <c r="E332" s="51" t="s">
        <v>2549</v>
      </c>
      <c r="F332" s="51" t="s">
        <v>2550</v>
      </c>
      <c r="G332" s="52"/>
    </row>
    <row r="333" spans="1:7">
      <c r="A333" s="42" t="s">
        <v>2551</v>
      </c>
      <c r="B333" s="42" t="s">
        <v>2524</v>
      </c>
      <c r="C333" s="42" t="s">
        <v>2525</v>
      </c>
      <c r="D333" s="53" t="s">
        <v>2552</v>
      </c>
      <c r="E333" s="53" t="s">
        <v>2553</v>
      </c>
      <c r="F333" s="53" t="s">
        <v>2554</v>
      </c>
      <c r="G333" s="43"/>
    </row>
    <row r="334" spans="1:7">
      <c r="A334" s="40" t="s">
        <v>2555</v>
      </c>
      <c r="B334" s="40" t="s">
        <v>2524</v>
      </c>
      <c r="C334" s="40" t="s">
        <v>2525</v>
      </c>
      <c r="D334" s="51" t="s">
        <v>2552</v>
      </c>
      <c r="E334" s="51" t="s">
        <v>2556</v>
      </c>
      <c r="F334" s="51" t="s">
        <v>2557</v>
      </c>
      <c r="G334" s="52"/>
    </row>
    <row r="335" spans="1:7">
      <c r="A335" s="42" t="s">
        <v>2558</v>
      </c>
      <c r="B335" s="42" t="s">
        <v>2524</v>
      </c>
      <c r="C335" s="42" t="s">
        <v>2525</v>
      </c>
      <c r="D335" s="53" t="s">
        <v>2559</v>
      </c>
      <c r="E335" s="53" t="s">
        <v>2560</v>
      </c>
      <c r="F335" s="53" t="s">
        <v>2561</v>
      </c>
      <c r="G335" s="43"/>
    </row>
    <row r="336" spans="1:7">
      <c r="A336" s="40" t="s">
        <v>2562</v>
      </c>
      <c r="B336" s="40" t="s">
        <v>2524</v>
      </c>
      <c r="C336" s="40" t="s">
        <v>2525</v>
      </c>
      <c r="D336" s="51" t="s">
        <v>2563</v>
      </c>
      <c r="E336" s="51" t="s">
        <v>2564</v>
      </c>
      <c r="F336" s="51" t="s">
        <v>2565</v>
      </c>
      <c r="G336" s="52"/>
    </row>
    <row r="337" spans="1:7">
      <c r="A337" s="42" t="s">
        <v>2566</v>
      </c>
      <c r="B337" s="42" t="s">
        <v>2524</v>
      </c>
      <c r="C337" s="42" t="s">
        <v>2525</v>
      </c>
      <c r="D337" s="53" t="s">
        <v>2567</v>
      </c>
      <c r="E337" s="53" t="s">
        <v>2568</v>
      </c>
      <c r="F337" s="53" t="s">
        <v>2569</v>
      </c>
      <c r="G337" s="43"/>
    </row>
    <row r="338" spans="1:7">
      <c r="A338" s="40" t="s">
        <v>2570</v>
      </c>
      <c r="B338" s="40" t="s">
        <v>2524</v>
      </c>
      <c r="C338" s="40" t="s">
        <v>2525</v>
      </c>
      <c r="D338" s="51" t="s">
        <v>2567</v>
      </c>
      <c r="E338" s="51" t="s">
        <v>2571</v>
      </c>
      <c r="F338" s="51" t="s">
        <v>2572</v>
      </c>
      <c r="G338" s="52"/>
    </row>
    <row r="339" spans="1:7">
      <c r="A339" s="42" t="s">
        <v>2573</v>
      </c>
      <c r="B339" s="42" t="s">
        <v>2524</v>
      </c>
      <c r="C339" s="42" t="s">
        <v>2525</v>
      </c>
      <c r="D339" s="53" t="s">
        <v>2574</v>
      </c>
      <c r="E339" s="53" t="s">
        <v>2575</v>
      </c>
      <c r="F339" s="53" t="s">
        <v>2576</v>
      </c>
      <c r="G339" s="43"/>
    </row>
    <row r="340" spans="1:7">
      <c r="A340" s="40" t="s">
        <v>2577</v>
      </c>
      <c r="B340" s="40" t="s">
        <v>2524</v>
      </c>
      <c r="C340" s="40" t="s">
        <v>2525</v>
      </c>
      <c r="D340" s="51" t="s">
        <v>2578</v>
      </c>
      <c r="E340" s="51" t="s">
        <v>2579</v>
      </c>
      <c r="F340" s="51" t="s">
        <v>2580</v>
      </c>
      <c r="G340" s="52"/>
    </row>
    <row r="341" spans="1:7">
      <c r="A341" s="42" t="s">
        <v>2581</v>
      </c>
      <c r="B341" s="42" t="s">
        <v>2524</v>
      </c>
      <c r="C341" s="42" t="s">
        <v>2525</v>
      </c>
      <c r="D341" s="53" t="s">
        <v>2582</v>
      </c>
      <c r="E341" s="53" t="s">
        <v>2583</v>
      </c>
      <c r="F341" s="53" t="s">
        <v>2584</v>
      </c>
      <c r="G341" s="43"/>
    </row>
    <row r="342" spans="1:7">
      <c r="A342" s="40" t="s">
        <v>2585</v>
      </c>
      <c r="B342" s="40" t="s">
        <v>2524</v>
      </c>
      <c r="C342" s="40" t="s">
        <v>2525</v>
      </c>
      <c r="D342" s="51" t="s">
        <v>2586</v>
      </c>
      <c r="E342" s="51" t="s">
        <v>2587</v>
      </c>
      <c r="F342" s="51" t="s">
        <v>2588</v>
      </c>
      <c r="G342" s="52"/>
    </row>
    <row r="343" spans="1:7">
      <c r="A343" s="42" t="s">
        <v>2589</v>
      </c>
      <c r="B343" s="42" t="s">
        <v>2524</v>
      </c>
      <c r="C343" s="42" t="s">
        <v>2525</v>
      </c>
      <c r="D343" s="53" t="s">
        <v>2590</v>
      </c>
      <c r="E343" s="53" t="s">
        <v>2591</v>
      </c>
      <c r="F343" s="53" t="s">
        <v>2592</v>
      </c>
      <c r="G343" s="43"/>
    </row>
    <row r="344" spans="1:7">
      <c r="A344" s="40" t="s">
        <v>2593</v>
      </c>
      <c r="B344" s="40" t="s">
        <v>2524</v>
      </c>
      <c r="C344" s="40" t="s">
        <v>2525</v>
      </c>
      <c r="D344" s="51" t="s">
        <v>2594</v>
      </c>
      <c r="E344" s="51" t="s">
        <v>2595</v>
      </c>
      <c r="F344" s="51" t="s">
        <v>2596</v>
      </c>
      <c r="G344" s="52"/>
    </row>
    <row r="345" spans="1:7">
      <c r="A345" s="42" t="s">
        <v>2597</v>
      </c>
      <c r="B345" s="42" t="s">
        <v>2524</v>
      </c>
      <c r="C345" s="42" t="s">
        <v>2525</v>
      </c>
      <c r="D345" s="53" t="s">
        <v>2598</v>
      </c>
      <c r="E345" s="53" t="s">
        <v>2599</v>
      </c>
      <c r="F345" s="53" t="s">
        <v>2600</v>
      </c>
      <c r="G345" s="43"/>
    </row>
    <row r="346" spans="1:7">
      <c r="A346" s="40" t="s">
        <v>2601</v>
      </c>
      <c r="B346" s="40" t="s">
        <v>2524</v>
      </c>
      <c r="C346" s="40" t="s">
        <v>2525</v>
      </c>
      <c r="D346" s="51" t="s">
        <v>2598</v>
      </c>
      <c r="E346" s="51" t="s">
        <v>2602</v>
      </c>
      <c r="F346" s="51" t="s">
        <v>2603</v>
      </c>
      <c r="G346" s="52"/>
    </row>
    <row r="347" spans="1:7">
      <c r="A347" s="42" t="s">
        <v>2604</v>
      </c>
      <c r="B347" s="42" t="s">
        <v>2524</v>
      </c>
      <c r="C347" s="42" t="s">
        <v>2525</v>
      </c>
      <c r="D347" s="53" t="s">
        <v>2605</v>
      </c>
      <c r="E347" s="53" t="s">
        <v>2606</v>
      </c>
      <c r="F347" s="53" t="s">
        <v>2607</v>
      </c>
      <c r="G347" s="43"/>
    </row>
    <row r="348" spans="1:7">
      <c r="A348" s="40" t="s">
        <v>2608</v>
      </c>
      <c r="B348" s="40" t="s">
        <v>2524</v>
      </c>
      <c r="C348" s="40" t="s">
        <v>2525</v>
      </c>
      <c r="D348" s="51" t="s">
        <v>2609</v>
      </c>
      <c r="E348" s="51" t="s">
        <v>2610</v>
      </c>
      <c r="F348" s="51" t="s">
        <v>2611</v>
      </c>
      <c r="G348" s="52"/>
    </row>
    <row r="349" spans="1:7">
      <c r="A349" s="42" t="s">
        <v>2612</v>
      </c>
      <c r="B349" s="42" t="s">
        <v>2524</v>
      </c>
      <c r="C349" s="42" t="s">
        <v>2525</v>
      </c>
      <c r="D349" s="53" t="s">
        <v>2609</v>
      </c>
      <c r="E349" s="53" t="s">
        <v>2613</v>
      </c>
      <c r="F349" s="53" t="s">
        <v>2614</v>
      </c>
      <c r="G349" s="43"/>
    </row>
    <row r="350" spans="1:7">
      <c r="A350" s="40" t="s">
        <v>2615</v>
      </c>
      <c r="B350" s="40" t="s">
        <v>2524</v>
      </c>
      <c r="C350" s="40" t="s">
        <v>2525</v>
      </c>
      <c r="D350" s="51" t="s">
        <v>2616</v>
      </c>
      <c r="E350" s="51" t="s">
        <v>2617</v>
      </c>
      <c r="F350" s="51" t="s">
        <v>2618</v>
      </c>
      <c r="G350" s="52"/>
    </row>
    <row r="351" spans="1:7">
      <c r="A351" s="42" t="s">
        <v>2619</v>
      </c>
      <c r="B351" s="42" t="s">
        <v>2524</v>
      </c>
      <c r="C351" s="42" t="s">
        <v>2525</v>
      </c>
      <c r="D351" s="53" t="s">
        <v>2620</v>
      </c>
      <c r="E351" s="53" t="s">
        <v>2621</v>
      </c>
      <c r="F351" s="53" t="s">
        <v>2622</v>
      </c>
      <c r="G351" s="43"/>
    </row>
    <row r="352" spans="1:7">
      <c r="A352" s="40" t="s">
        <v>2623</v>
      </c>
      <c r="B352" s="40" t="s">
        <v>2524</v>
      </c>
      <c r="C352" s="40" t="s">
        <v>2525</v>
      </c>
      <c r="D352" s="51" t="s">
        <v>2624</v>
      </c>
      <c r="E352" s="51" t="s">
        <v>2625</v>
      </c>
      <c r="F352" s="51" t="s">
        <v>2626</v>
      </c>
      <c r="G352" s="52"/>
    </row>
    <row r="353" spans="1:7">
      <c r="A353" s="42" t="s">
        <v>2627</v>
      </c>
      <c r="B353" s="42" t="s">
        <v>2524</v>
      </c>
      <c r="C353" s="42" t="s">
        <v>2525</v>
      </c>
      <c r="D353" s="53" t="s">
        <v>2628</v>
      </c>
      <c r="E353" s="53" t="s">
        <v>2629</v>
      </c>
      <c r="F353" s="53" t="s">
        <v>2630</v>
      </c>
      <c r="G353" s="43"/>
    </row>
    <row r="354" spans="1:7">
      <c r="A354" s="40" t="s">
        <v>2631</v>
      </c>
      <c r="B354" s="40" t="s">
        <v>2524</v>
      </c>
      <c r="C354" s="40" t="s">
        <v>2525</v>
      </c>
      <c r="D354" s="51" t="s">
        <v>2632</v>
      </c>
      <c r="E354" s="51" t="s">
        <v>2633</v>
      </c>
      <c r="F354" s="51" t="s">
        <v>2634</v>
      </c>
      <c r="G354" s="52"/>
    </row>
    <row r="355" spans="1:7">
      <c r="A355" s="42" t="s">
        <v>2635</v>
      </c>
      <c r="B355" s="42" t="s">
        <v>2524</v>
      </c>
      <c r="C355" s="42" t="s">
        <v>2525</v>
      </c>
      <c r="D355" s="53" t="s">
        <v>2636</v>
      </c>
      <c r="E355" s="53" t="s">
        <v>2637</v>
      </c>
      <c r="F355" s="53" t="s">
        <v>2638</v>
      </c>
      <c r="G355" s="43"/>
    </row>
    <row r="356" spans="1:7">
      <c r="A356" s="40" t="s">
        <v>2639</v>
      </c>
      <c r="B356" s="40" t="s">
        <v>2524</v>
      </c>
      <c r="C356" s="40" t="s">
        <v>2525</v>
      </c>
      <c r="D356" s="51" t="s">
        <v>2640</v>
      </c>
      <c r="E356" s="51" t="s">
        <v>2641</v>
      </c>
      <c r="F356" s="51" t="s">
        <v>2642</v>
      </c>
      <c r="G356" s="52"/>
    </row>
    <row r="357" spans="1:7">
      <c r="A357" s="42" t="s">
        <v>2643</v>
      </c>
      <c r="B357" s="42" t="s">
        <v>2524</v>
      </c>
      <c r="C357" s="42" t="s">
        <v>2525</v>
      </c>
      <c r="D357" s="53" t="s">
        <v>2644</v>
      </c>
      <c r="E357" s="53" t="s">
        <v>2645</v>
      </c>
      <c r="F357" s="53" t="s">
        <v>2646</v>
      </c>
      <c r="G357" s="43"/>
    </row>
    <row r="358" spans="1:7">
      <c r="A358" s="40" t="s">
        <v>2647</v>
      </c>
      <c r="B358" s="40" t="s">
        <v>2524</v>
      </c>
      <c r="C358" s="40" t="s">
        <v>2525</v>
      </c>
      <c r="D358" s="51" t="s">
        <v>2648</v>
      </c>
      <c r="E358" s="51" t="s">
        <v>2649</v>
      </c>
      <c r="F358" s="51" t="s">
        <v>2650</v>
      </c>
      <c r="G358" s="52"/>
    </row>
    <row r="359" spans="1:7">
      <c r="A359" s="42" t="s">
        <v>2651</v>
      </c>
      <c r="B359" s="42" t="s">
        <v>2524</v>
      </c>
      <c r="C359" s="42" t="s">
        <v>2525</v>
      </c>
      <c r="D359" s="53" t="s">
        <v>2652</v>
      </c>
      <c r="E359" s="53" t="s">
        <v>2653</v>
      </c>
      <c r="F359" s="53" t="s">
        <v>2654</v>
      </c>
      <c r="G359" s="43"/>
    </row>
    <row r="360" spans="1:7">
      <c r="A360" s="40" t="s">
        <v>2655</v>
      </c>
      <c r="B360" s="40" t="s">
        <v>2524</v>
      </c>
      <c r="C360" s="40" t="s">
        <v>2525</v>
      </c>
      <c r="D360" s="51" t="s">
        <v>2656</v>
      </c>
      <c r="E360" s="51" t="s">
        <v>2657</v>
      </c>
      <c r="F360" s="51" t="s">
        <v>2658</v>
      </c>
      <c r="G360" s="52"/>
    </row>
    <row r="361" spans="1:7">
      <c r="A361" s="42" t="s">
        <v>2659</v>
      </c>
      <c r="B361" s="42" t="s">
        <v>2524</v>
      </c>
      <c r="C361" s="42" t="s">
        <v>2525</v>
      </c>
      <c r="D361" s="53" t="s">
        <v>2660</v>
      </c>
      <c r="E361" s="53" t="s">
        <v>2661</v>
      </c>
      <c r="F361" s="53" t="s">
        <v>2662</v>
      </c>
      <c r="G361" s="43"/>
    </row>
    <row r="362" spans="1:7">
      <c r="A362" s="40" t="s">
        <v>2663</v>
      </c>
      <c r="B362" s="40" t="s">
        <v>2524</v>
      </c>
      <c r="C362" s="40" t="s">
        <v>2525</v>
      </c>
      <c r="D362" s="51" t="s">
        <v>2664</v>
      </c>
      <c r="E362" s="51" t="s">
        <v>2665</v>
      </c>
      <c r="F362" s="51" t="s">
        <v>2666</v>
      </c>
      <c r="G362" s="52"/>
    </row>
    <row r="363" spans="1:7">
      <c r="A363" s="42" t="s">
        <v>2667</v>
      </c>
      <c r="B363" s="42" t="s">
        <v>2524</v>
      </c>
      <c r="C363" s="42" t="s">
        <v>2525</v>
      </c>
      <c r="D363" s="53" t="s">
        <v>2668</v>
      </c>
      <c r="E363" s="53" t="s">
        <v>2669</v>
      </c>
      <c r="F363" s="53" t="s">
        <v>2670</v>
      </c>
      <c r="G363" s="43"/>
    </row>
    <row r="364" spans="1:7">
      <c r="A364" s="40" t="s">
        <v>2671</v>
      </c>
      <c r="B364" s="40" t="s">
        <v>2524</v>
      </c>
      <c r="C364" s="40" t="s">
        <v>2525</v>
      </c>
      <c r="D364" s="51" t="s">
        <v>2672</v>
      </c>
      <c r="E364" s="51" t="s">
        <v>2673</v>
      </c>
      <c r="F364" s="51" t="s">
        <v>2674</v>
      </c>
      <c r="G364" s="52"/>
    </row>
    <row r="365" spans="1:7">
      <c r="A365" s="42" t="s">
        <v>2675</v>
      </c>
      <c r="B365" s="42" t="s">
        <v>2524</v>
      </c>
      <c r="C365" s="42" t="s">
        <v>2525</v>
      </c>
      <c r="D365" s="53" t="s">
        <v>2676</v>
      </c>
      <c r="E365" s="53" t="s">
        <v>2677</v>
      </c>
      <c r="F365" s="53" t="s">
        <v>2678</v>
      </c>
      <c r="G365" s="43"/>
    </row>
    <row r="366" spans="1:7">
      <c r="A366" s="40" t="s">
        <v>2679</v>
      </c>
      <c r="B366" s="40" t="s">
        <v>2524</v>
      </c>
      <c r="C366" s="40" t="s">
        <v>2525</v>
      </c>
      <c r="D366" s="51" t="s">
        <v>2680</v>
      </c>
      <c r="E366" s="51" t="s">
        <v>2681</v>
      </c>
      <c r="F366" s="51" t="s">
        <v>2682</v>
      </c>
      <c r="G366" s="52"/>
    </row>
    <row r="367" spans="1:7">
      <c r="A367" s="42" t="s">
        <v>2683</v>
      </c>
      <c r="B367" s="42" t="s">
        <v>2524</v>
      </c>
      <c r="C367" s="42" t="s">
        <v>2525</v>
      </c>
      <c r="D367" s="53" t="s">
        <v>2684</v>
      </c>
      <c r="E367" s="53" t="s">
        <v>2685</v>
      </c>
      <c r="F367" s="53" t="s">
        <v>2686</v>
      </c>
      <c r="G367" s="43"/>
    </row>
    <row r="368" spans="1:7">
      <c r="A368" s="40" t="s">
        <v>2687</v>
      </c>
      <c r="B368" s="40" t="s">
        <v>2524</v>
      </c>
      <c r="C368" s="40" t="s">
        <v>2525</v>
      </c>
      <c r="D368" s="51" t="s">
        <v>2688</v>
      </c>
      <c r="E368" s="51" t="s">
        <v>2689</v>
      </c>
      <c r="F368" s="51" t="s">
        <v>2690</v>
      </c>
      <c r="G368" s="52"/>
    </row>
    <row r="369" spans="1:7">
      <c r="A369" s="42" t="s">
        <v>2691</v>
      </c>
      <c r="B369" s="42" t="s">
        <v>2524</v>
      </c>
      <c r="C369" s="42" t="s">
        <v>2525</v>
      </c>
      <c r="D369" s="53" t="s">
        <v>2692</v>
      </c>
      <c r="E369" s="53" t="s">
        <v>2693</v>
      </c>
      <c r="F369" s="53" t="s">
        <v>2694</v>
      </c>
      <c r="G369" s="43"/>
    </row>
    <row r="370" spans="1:7">
      <c r="A370" s="40" t="s">
        <v>2695</v>
      </c>
      <c r="B370" s="40" t="s">
        <v>2524</v>
      </c>
      <c r="C370" s="40" t="s">
        <v>2525</v>
      </c>
      <c r="D370" s="51" t="s">
        <v>2692</v>
      </c>
      <c r="E370" s="51" t="s">
        <v>2696</v>
      </c>
      <c r="F370" s="51" t="s">
        <v>2697</v>
      </c>
      <c r="G370" s="52"/>
    </row>
    <row r="371" spans="1:7">
      <c r="A371" s="42" t="s">
        <v>2698</v>
      </c>
      <c r="B371" s="42" t="s">
        <v>2524</v>
      </c>
      <c r="C371" s="42" t="s">
        <v>2525</v>
      </c>
      <c r="D371" s="53" t="s">
        <v>2699</v>
      </c>
      <c r="E371" s="53" t="s">
        <v>2700</v>
      </c>
      <c r="F371" s="53" t="s">
        <v>2701</v>
      </c>
      <c r="G371" s="43"/>
    </row>
    <row r="372" spans="1:7">
      <c r="A372" s="40" t="s">
        <v>2702</v>
      </c>
      <c r="B372" s="40" t="s">
        <v>2524</v>
      </c>
      <c r="C372" s="40" t="s">
        <v>2525</v>
      </c>
      <c r="D372" s="51" t="s">
        <v>2699</v>
      </c>
      <c r="E372" s="51" t="s">
        <v>2703</v>
      </c>
      <c r="F372" s="51" t="s">
        <v>2704</v>
      </c>
      <c r="G372" s="52"/>
    </row>
    <row r="373" spans="1:7">
      <c r="A373" s="42" t="s">
        <v>2705</v>
      </c>
      <c r="B373" s="42" t="s">
        <v>2524</v>
      </c>
      <c r="C373" s="42" t="s">
        <v>2525</v>
      </c>
      <c r="D373" s="53" t="s">
        <v>2706</v>
      </c>
      <c r="E373" s="53" t="s">
        <v>2707</v>
      </c>
      <c r="F373" s="53" t="s">
        <v>2708</v>
      </c>
      <c r="G373" s="43"/>
    </row>
    <row r="374" spans="1:7">
      <c r="A374" s="40" t="s">
        <v>2709</v>
      </c>
      <c r="B374" s="40" t="s">
        <v>2524</v>
      </c>
      <c r="C374" s="40" t="s">
        <v>2525</v>
      </c>
      <c r="D374" s="51" t="s">
        <v>2710</v>
      </c>
      <c r="E374" s="51" t="s">
        <v>2711</v>
      </c>
      <c r="F374" s="51" t="s">
        <v>2712</v>
      </c>
      <c r="G374" s="52"/>
    </row>
    <row r="375" spans="1:7">
      <c r="A375" s="42" t="s">
        <v>2713</v>
      </c>
      <c r="B375" s="42" t="s">
        <v>2524</v>
      </c>
      <c r="C375" s="42" t="s">
        <v>2525</v>
      </c>
      <c r="D375" s="53" t="s">
        <v>2710</v>
      </c>
      <c r="E375" s="53" t="s">
        <v>2714</v>
      </c>
      <c r="F375" s="53" t="s">
        <v>2715</v>
      </c>
      <c r="G375" s="43"/>
    </row>
    <row r="376" spans="1:7">
      <c r="A376" s="40" t="s">
        <v>2716</v>
      </c>
      <c r="B376" s="40" t="s">
        <v>2524</v>
      </c>
      <c r="C376" s="40" t="s">
        <v>2525</v>
      </c>
      <c r="D376" s="51" t="s">
        <v>2717</v>
      </c>
      <c r="E376" s="51" t="s">
        <v>2718</v>
      </c>
      <c r="F376" s="51" t="s">
        <v>2719</v>
      </c>
      <c r="G376" s="52"/>
    </row>
    <row r="377" spans="1:7">
      <c r="A377" s="42" t="s">
        <v>2720</v>
      </c>
      <c r="B377" s="42" t="s">
        <v>2524</v>
      </c>
      <c r="C377" s="42" t="s">
        <v>2525</v>
      </c>
      <c r="D377" s="53" t="s">
        <v>2721</v>
      </c>
      <c r="E377" s="53" t="s">
        <v>2722</v>
      </c>
      <c r="F377" s="53" t="s">
        <v>2723</v>
      </c>
      <c r="G377" s="43"/>
    </row>
    <row r="378" spans="1:7">
      <c r="A378" s="40" t="s">
        <v>2724</v>
      </c>
      <c r="B378" s="40" t="s">
        <v>2524</v>
      </c>
      <c r="C378" s="40" t="s">
        <v>2525</v>
      </c>
      <c r="D378" s="51" t="s">
        <v>2725</v>
      </c>
      <c r="E378" s="51" t="s">
        <v>2726</v>
      </c>
      <c r="F378" s="51" t="s">
        <v>2727</v>
      </c>
      <c r="G378" s="52"/>
    </row>
    <row r="379" spans="1:7">
      <c r="A379" s="42" t="s">
        <v>2728</v>
      </c>
      <c r="B379" s="42" t="s">
        <v>2524</v>
      </c>
      <c r="C379" s="42" t="s">
        <v>2525</v>
      </c>
      <c r="D379" s="53" t="s">
        <v>2729</v>
      </c>
      <c r="E379" s="53" t="s">
        <v>2730</v>
      </c>
      <c r="F379" s="53" t="s">
        <v>2731</v>
      </c>
      <c r="G379" s="43"/>
    </row>
    <row r="380" spans="1:7">
      <c r="A380" s="40" t="s">
        <v>2732</v>
      </c>
      <c r="B380" s="40" t="s">
        <v>2524</v>
      </c>
      <c r="C380" s="40" t="s">
        <v>2525</v>
      </c>
      <c r="D380" s="51" t="s">
        <v>2733</v>
      </c>
      <c r="E380" s="51" t="s">
        <v>2734</v>
      </c>
      <c r="F380" s="51" t="s">
        <v>2735</v>
      </c>
      <c r="G380" s="52"/>
    </row>
    <row r="381" spans="1:7">
      <c r="A381" s="42" t="s">
        <v>2736</v>
      </c>
      <c r="B381" s="42" t="s">
        <v>2524</v>
      </c>
      <c r="C381" s="42" t="s">
        <v>2525</v>
      </c>
      <c r="D381" s="53" t="s">
        <v>2737</v>
      </c>
      <c r="E381" s="53" t="s">
        <v>2738</v>
      </c>
      <c r="F381" s="53" t="s">
        <v>2739</v>
      </c>
      <c r="G381" s="43"/>
    </row>
    <row r="382" spans="1:7">
      <c r="A382" s="40" t="s">
        <v>2740</v>
      </c>
      <c r="B382" s="40" t="s">
        <v>2524</v>
      </c>
      <c r="C382" s="40" t="s">
        <v>2525</v>
      </c>
      <c r="D382" s="51" t="s">
        <v>2741</v>
      </c>
      <c r="E382" s="51" t="s">
        <v>2742</v>
      </c>
      <c r="F382" s="51" t="s">
        <v>2743</v>
      </c>
      <c r="G382" s="52"/>
    </row>
    <row r="383" spans="1:7">
      <c r="A383" s="42" t="s">
        <v>2744</v>
      </c>
      <c r="B383" s="42" t="s">
        <v>2524</v>
      </c>
      <c r="C383" s="42" t="s">
        <v>2525</v>
      </c>
      <c r="D383" s="53" t="s">
        <v>2745</v>
      </c>
      <c r="E383" s="53" t="s">
        <v>2746</v>
      </c>
      <c r="F383" s="53" t="s">
        <v>2747</v>
      </c>
      <c r="G383" s="43"/>
    </row>
    <row r="384" spans="1:7">
      <c r="A384" s="40" t="s">
        <v>2748</v>
      </c>
      <c r="B384" s="40" t="s">
        <v>2524</v>
      </c>
      <c r="C384" s="40" t="s">
        <v>2525</v>
      </c>
      <c r="D384" s="51" t="s">
        <v>2749</v>
      </c>
      <c r="E384" s="51" t="s">
        <v>2750</v>
      </c>
      <c r="F384" s="51" t="s">
        <v>2751</v>
      </c>
      <c r="G384" s="52"/>
    </row>
    <row r="385" spans="1:7">
      <c r="A385" s="42" t="s">
        <v>2752</v>
      </c>
      <c r="B385" s="42" t="s">
        <v>2524</v>
      </c>
      <c r="C385" s="42" t="s">
        <v>2525</v>
      </c>
      <c r="D385" s="53" t="s">
        <v>2753</v>
      </c>
      <c r="E385" s="53" t="s">
        <v>2754</v>
      </c>
      <c r="F385" s="53" t="s">
        <v>2755</v>
      </c>
      <c r="G385" s="43"/>
    </row>
    <row r="386" spans="1:7">
      <c r="A386" s="40" t="s">
        <v>2756</v>
      </c>
      <c r="B386" s="40" t="s">
        <v>2524</v>
      </c>
      <c r="C386" s="40" t="s">
        <v>2525</v>
      </c>
      <c r="D386" s="51" t="s">
        <v>2757</v>
      </c>
      <c r="E386" s="51" t="s">
        <v>2758</v>
      </c>
      <c r="F386" s="51" t="s">
        <v>2759</v>
      </c>
      <c r="G386" s="52"/>
    </row>
    <row r="387" spans="1:7">
      <c r="A387" s="42" t="s">
        <v>2760</v>
      </c>
      <c r="B387" s="42" t="s">
        <v>2524</v>
      </c>
      <c r="C387" s="42" t="s">
        <v>2525</v>
      </c>
      <c r="D387" s="53" t="s">
        <v>2761</v>
      </c>
      <c r="E387" s="53" t="s">
        <v>2762</v>
      </c>
      <c r="F387" s="53" t="s">
        <v>2763</v>
      </c>
      <c r="G387" s="43"/>
    </row>
    <row r="388" spans="1:7">
      <c r="A388" s="40" t="s">
        <v>2764</v>
      </c>
      <c r="B388" s="40" t="s">
        <v>2524</v>
      </c>
      <c r="C388" s="40" t="s">
        <v>2525</v>
      </c>
      <c r="D388" s="51" t="s">
        <v>2765</v>
      </c>
      <c r="E388" s="51" t="s">
        <v>2766</v>
      </c>
      <c r="F388" s="51" t="s">
        <v>2767</v>
      </c>
      <c r="G388" s="52"/>
    </row>
    <row r="389" spans="1:7">
      <c r="A389" s="42" t="s">
        <v>2768</v>
      </c>
      <c r="B389" s="42" t="s">
        <v>2524</v>
      </c>
      <c r="C389" s="42" t="s">
        <v>2525</v>
      </c>
      <c r="D389" s="53" t="s">
        <v>2765</v>
      </c>
      <c r="E389" s="53" t="s">
        <v>2769</v>
      </c>
      <c r="F389" s="53" t="s">
        <v>2770</v>
      </c>
      <c r="G389" s="43"/>
    </row>
    <row r="390" spans="1:7">
      <c r="A390" s="40" t="s">
        <v>2771</v>
      </c>
      <c r="B390" s="40" t="s">
        <v>2524</v>
      </c>
      <c r="C390" s="40" t="s">
        <v>2525</v>
      </c>
      <c r="D390" s="51" t="s">
        <v>2772</v>
      </c>
      <c r="E390" s="51" t="s">
        <v>2773</v>
      </c>
      <c r="F390" s="51" t="s">
        <v>2774</v>
      </c>
      <c r="G390" s="52"/>
    </row>
    <row r="391" spans="1:7">
      <c r="A391" s="42" t="s">
        <v>2775</v>
      </c>
      <c r="B391" s="42" t="s">
        <v>2524</v>
      </c>
      <c r="C391" s="42" t="s">
        <v>2525</v>
      </c>
      <c r="D391" s="53" t="s">
        <v>2776</v>
      </c>
      <c r="E391" s="53" t="s">
        <v>2777</v>
      </c>
      <c r="F391" s="53" t="s">
        <v>2778</v>
      </c>
      <c r="G391" s="43"/>
    </row>
    <row r="392" spans="1:7">
      <c r="A392" s="40" t="s">
        <v>2779</v>
      </c>
      <c r="B392" s="40" t="s">
        <v>2524</v>
      </c>
      <c r="C392" s="40" t="s">
        <v>2525</v>
      </c>
      <c r="D392" s="51" t="s">
        <v>2780</v>
      </c>
      <c r="E392" s="51" t="s">
        <v>2781</v>
      </c>
      <c r="F392" s="51" t="s">
        <v>2782</v>
      </c>
      <c r="G392" s="52"/>
    </row>
    <row r="393" spans="1:7">
      <c r="A393" s="42" t="s">
        <v>2783</v>
      </c>
      <c r="B393" s="42" t="s">
        <v>2524</v>
      </c>
      <c r="C393" s="42" t="s">
        <v>2525</v>
      </c>
      <c r="D393" s="53" t="s">
        <v>2784</v>
      </c>
      <c r="E393" s="53" t="s">
        <v>2785</v>
      </c>
      <c r="F393" s="53" t="s">
        <v>2786</v>
      </c>
      <c r="G393" s="43"/>
    </row>
    <row r="394" spans="1:7">
      <c r="A394" s="40" t="s">
        <v>2787</v>
      </c>
      <c r="B394" s="40" t="s">
        <v>2524</v>
      </c>
      <c r="C394" s="40" t="s">
        <v>2525</v>
      </c>
      <c r="D394" s="51" t="s">
        <v>2784</v>
      </c>
      <c r="E394" s="51" t="s">
        <v>2788</v>
      </c>
      <c r="F394" s="51" t="s">
        <v>2789</v>
      </c>
      <c r="G394" s="52"/>
    </row>
    <row r="395" spans="1:7">
      <c r="A395" s="42" t="s">
        <v>2790</v>
      </c>
      <c r="B395" s="42" t="s">
        <v>2524</v>
      </c>
      <c r="C395" s="42" t="s">
        <v>2525</v>
      </c>
      <c r="D395" s="53" t="s">
        <v>2791</v>
      </c>
      <c r="E395" s="53" t="s">
        <v>2792</v>
      </c>
      <c r="F395" s="53" t="s">
        <v>2793</v>
      </c>
      <c r="G395" s="43"/>
    </row>
    <row r="396" spans="1:7">
      <c r="A396" s="40" t="s">
        <v>2794</v>
      </c>
      <c r="B396" s="40" t="s">
        <v>2524</v>
      </c>
      <c r="C396" s="40" t="s">
        <v>2525</v>
      </c>
      <c r="D396" s="51" t="s">
        <v>2795</v>
      </c>
      <c r="E396" s="51" t="s">
        <v>2796</v>
      </c>
      <c r="F396" s="51" t="s">
        <v>2797</v>
      </c>
      <c r="G396" s="52"/>
    </row>
    <row r="397" spans="1:7">
      <c r="A397" s="42" t="s">
        <v>2798</v>
      </c>
      <c r="B397" s="42" t="s">
        <v>2524</v>
      </c>
      <c r="C397" s="42" t="s">
        <v>2525</v>
      </c>
      <c r="D397" s="53" t="s">
        <v>2799</v>
      </c>
      <c r="E397" s="53" t="s">
        <v>2800</v>
      </c>
      <c r="F397" s="53" t="s">
        <v>2801</v>
      </c>
      <c r="G397" s="43"/>
    </row>
    <row r="398" spans="1:7">
      <c r="A398" s="40" t="s">
        <v>2802</v>
      </c>
      <c r="B398" s="40" t="s">
        <v>2524</v>
      </c>
      <c r="C398" s="40" t="s">
        <v>2525</v>
      </c>
      <c r="D398" s="51" t="s">
        <v>2803</v>
      </c>
      <c r="E398" s="51" t="s">
        <v>2804</v>
      </c>
      <c r="F398" s="51" t="s">
        <v>2805</v>
      </c>
      <c r="G398" s="52"/>
    </row>
    <row r="399" spans="1:7">
      <c r="A399" s="42" t="s">
        <v>2806</v>
      </c>
      <c r="B399" s="42" t="s">
        <v>2524</v>
      </c>
      <c r="C399" s="42" t="s">
        <v>2525</v>
      </c>
      <c r="D399" s="53" t="s">
        <v>2807</v>
      </c>
      <c r="E399" s="53" t="s">
        <v>2808</v>
      </c>
      <c r="F399" s="53" t="s">
        <v>2809</v>
      </c>
      <c r="G399" s="43"/>
    </row>
    <row r="400" spans="1:7">
      <c r="A400" s="40" t="s">
        <v>2810</v>
      </c>
      <c r="B400" s="40" t="s">
        <v>2524</v>
      </c>
      <c r="C400" s="40" t="s">
        <v>2525</v>
      </c>
      <c r="D400" s="51" t="s">
        <v>2811</v>
      </c>
      <c r="E400" s="51" t="s">
        <v>2812</v>
      </c>
      <c r="F400" s="51" t="s">
        <v>2813</v>
      </c>
      <c r="G400" s="52"/>
    </row>
    <row r="401" spans="1:7">
      <c r="A401" s="42" t="s">
        <v>2814</v>
      </c>
      <c r="B401" s="42" t="s">
        <v>2524</v>
      </c>
      <c r="C401" s="42" t="s">
        <v>2525</v>
      </c>
      <c r="D401" s="53" t="s">
        <v>2815</v>
      </c>
      <c r="E401" s="53" t="s">
        <v>2816</v>
      </c>
      <c r="F401" s="53" t="s">
        <v>2817</v>
      </c>
      <c r="G401" s="43"/>
    </row>
    <row r="402" spans="1:7">
      <c r="A402" s="40" t="s">
        <v>2818</v>
      </c>
      <c r="B402" s="40" t="s">
        <v>2524</v>
      </c>
      <c r="C402" s="40" t="s">
        <v>2525</v>
      </c>
      <c r="D402" s="51" t="s">
        <v>2819</v>
      </c>
      <c r="E402" s="51" t="s">
        <v>2820</v>
      </c>
      <c r="F402" s="51" t="s">
        <v>2821</v>
      </c>
      <c r="G402" s="52"/>
    </row>
    <row r="403" spans="1:7">
      <c r="A403" s="42" t="s">
        <v>2822</v>
      </c>
      <c r="B403" s="42" t="s">
        <v>2524</v>
      </c>
      <c r="C403" s="42" t="s">
        <v>2525</v>
      </c>
      <c r="D403" s="53" t="s">
        <v>2823</v>
      </c>
      <c r="E403" s="53" t="s">
        <v>2824</v>
      </c>
      <c r="F403" s="53" t="s">
        <v>2825</v>
      </c>
      <c r="G403" s="43"/>
    </row>
    <row r="404" spans="1:7">
      <c r="A404" s="40" t="s">
        <v>2826</v>
      </c>
      <c r="B404" s="40" t="s">
        <v>2524</v>
      </c>
      <c r="C404" s="40" t="s">
        <v>2525</v>
      </c>
      <c r="D404" s="51" t="s">
        <v>2827</v>
      </c>
      <c r="E404" s="51" t="s">
        <v>2828</v>
      </c>
      <c r="F404" s="51" t="s">
        <v>2829</v>
      </c>
      <c r="G404" s="52"/>
    </row>
    <row r="405" spans="1:7">
      <c r="A405" s="42" t="s">
        <v>2830</v>
      </c>
      <c r="B405" s="42" t="s">
        <v>2524</v>
      </c>
      <c r="C405" s="42" t="s">
        <v>2525</v>
      </c>
      <c r="D405" s="53" t="s">
        <v>2831</v>
      </c>
      <c r="E405" s="53" t="s">
        <v>2832</v>
      </c>
      <c r="F405" s="53" t="s">
        <v>2833</v>
      </c>
      <c r="G405" s="43"/>
    </row>
    <row r="406" spans="1:7">
      <c r="A406" s="40" t="s">
        <v>2834</v>
      </c>
      <c r="B406" s="40" t="s">
        <v>2524</v>
      </c>
      <c r="C406" s="40" t="s">
        <v>2525</v>
      </c>
      <c r="D406" s="51" t="s">
        <v>2831</v>
      </c>
      <c r="E406" s="51" t="s">
        <v>2835</v>
      </c>
      <c r="F406" s="51" t="s">
        <v>2836</v>
      </c>
      <c r="G406" s="52"/>
    </row>
    <row r="407" spans="1:7">
      <c r="A407" s="42" t="s">
        <v>2837</v>
      </c>
      <c r="B407" s="42" t="s">
        <v>2524</v>
      </c>
      <c r="C407" s="42" t="s">
        <v>2525</v>
      </c>
      <c r="D407" s="53" t="s">
        <v>2838</v>
      </c>
      <c r="E407" s="53" t="s">
        <v>2839</v>
      </c>
      <c r="F407" s="53" t="s">
        <v>2840</v>
      </c>
      <c r="G407" s="43"/>
    </row>
    <row r="408" spans="1:7">
      <c r="A408" s="40" t="s">
        <v>2841</v>
      </c>
      <c r="B408" s="40" t="s">
        <v>2524</v>
      </c>
      <c r="C408" s="40" t="s">
        <v>2525</v>
      </c>
      <c r="D408" s="51" t="s">
        <v>2838</v>
      </c>
      <c r="E408" s="51" t="s">
        <v>2842</v>
      </c>
      <c r="F408" s="51" t="s">
        <v>2843</v>
      </c>
      <c r="G408" s="52"/>
    </row>
    <row r="409" spans="1:7">
      <c r="A409" s="42" t="s">
        <v>2844</v>
      </c>
      <c r="B409" s="42" t="s">
        <v>2524</v>
      </c>
      <c r="C409" s="42" t="s">
        <v>2525</v>
      </c>
      <c r="D409" s="53" t="s">
        <v>2845</v>
      </c>
      <c r="E409" s="53" t="s">
        <v>2846</v>
      </c>
      <c r="F409" s="53" t="s">
        <v>2847</v>
      </c>
      <c r="G409" s="43"/>
    </row>
    <row r="410" spans="1:7">
      <c r="A410" s="40" t="s">
        <v>2848</v>
      </c>
      <c r="B410" s="40" t="s">
        <v>2524</v>
      </c>
      <c r="C410" s="40" t="s">
        <v>2525</v>
      </c>
      <c r="D410" s="51" t="s">
        <v>2849</v>
      </c>
      <c r="E410" s="51" t="s">
        <v>2850</v>
      </c>
      <c r="F410" s="51" t="s">
        <v>2851</v>
      </c>
      <c r="G410" s="52"/>
    </row>
    <row r="411" spans="1:7">
      <c r="A411" s="42" t="s">
        <v>2852</v>
      </c>
      <c r="B411" s="42" t="s">
        <v>2524</v>
      </c>
      <c r="C411" s="42" t="s">
        <v>2525</v>
      </c>
      <c r="D411" s="53" t="s">
        <v>2853</v>
      </c>
      <c r="E411" s="53" t="s">
        <v>2854</v>
      </c>
      <c r="F411" s="53" t="s">
        <v>2855</v>
      </c>
      <c r="G411" s="43"/>
    </row>
    <row r="412" spans="1:7">
      <c r="A412" s="40" t="s">
        <v>2856</v>
      </c>
      <c r="B412" s="40" t="s">
        <v>2524</v>
      </c>
      <c r="C412" s="40" t="s">
        <v>2525</v>
      </c>
      <c r="D412" s="51" t="s">
        <v>2857</v>
      </c>
      <c r="E412" s="51" t="s">
        <v>2858</v>
      </c>
      <c r="F412" s="51" t="s">
        <v>2859</v>
      </c>
      <c r="G412" s="52"/>
    </row>
    <row r="413" spans="1:7">
      <c r="A413" s="42" t="s">
        <v>2860</v>
      </c>
      <c r="B413" s="42" t="s">
        <v>2524</v>
      </c>
      <c r="C413" s="42" t="s">
        <v>2525</v>
      </c>
      <c r="D413" s="53" t="s">
        <v>2857</v>
      </c>
      <c r="E413" s="53" t="s">
        <v>2861</v>
      </c>
      <c r="F413" s="53" t="s">
        <v>2862</v>
      </c>
      <c r="G413" s="43"/>
    </row>
    <row r="414" spans="1:7">
      <c r="A414" s="40" t="s">
        <v>2863</v>
      </c>
      <c r="B414" s="40" t="s">
        <v>2524</v>
      </c>
      <c r="C414" s="40" t="s">
        <v>2525</v>
      </c>
      <c r="D414" s="51" t="s">
        <v>2864</v>
      </c>
      <c r="E414" s="51" t="s">
        <v>2865</v>
      </c>
      <c r="F414" s="51" t="s">
        <v>2866</v>
      </c>
      <c r="G414" s="52"/>
    </row>
    <row r="415" spans="1:7">
      <c r="A415" s="42" t="s">
        <v>2867</v>
      </c>
      <c r="B415" s="42" t="s">
        <v>2524</v>
      </c>
      <c r="C415" s="42" t="s">
        <v>2525</v>
      </c>
      <c r="D415" s="53" t="s">
        <v>2868</v>
      </c>
      <c r="E415" s="53" t="s">
        <v>2869</v>
      </c>
      <c r="F415" s="53" t="s">
        <v>2870</v>
      </c>
      <c r="G415" s="43"/>
    </row>
    <row r="416" spans="1:7">
      <c r="A416" s="40" t="s">
        <v>2871</v>
      </c>
      <c r="B416" s="40" t="s">
        <v>2524</v>
      </c>
      <c r="C416" s="40" t="s">
        <v>2525</v>
      </c>
      <c r="D416" s="51" t="s">
        <v>2872</v>
      </c>
      <c r="E416" s="51" t="s">
        <v>2873</v>
      </c>
      <c r="F416" s="51" t="s">
        <v>2874</v>
      </c>
      <c r="G416" s="52"/>
    </row>
    <row r="417" spans="1:7">
      <c r="A417" s="42" t="s">
        <v>2875</v>
      </c>
      <c r="B417" s="42" t="s">
        <v>2524</v>
      </c>
      <c r="C417" s="42" t="s">
        <v>2525</v>
      </c>
      <c r="D417" s="53" t="s">
        <v>2876</v>
      </c>
      <c r="E417" s="53" t="s">
        <v>2877</v>
      </c>
      <c r="F417" s="53" t="s">
        <v>2878</v>
      </c>
      <c r="G417" s="43"/>
    </row>
    <row r="418" spans="1:7">
      <c r="A418" s="40" t="s">
        <v>2879</v>
      </c>
      <c r="B418" s="40" t="s">
        <v>2524</v>
      </c>
      <c r="C418" s="40" t="s">
        <v>2525</v>
      </c>
      <c r="D418" s="51" t="s">
        <v>2880</v>
      </c>
      <c r="E418" s="51" t="s">
        <v>2881</v>
      </c>
      <c r="F418" s="51" t="s">
        <v>2882</v>
      </c>
      <c r="G418" s="52"/>
    </row>
    <row r="419" spans="1:7">
      <c r="A419" s="42" t="s">
        <v>2883</v>
      </c>
      <c r="B419" s="42" t="s">
        <v>2524</v>
      </c>
      <c r="C419" s="42" t="s">
        <v>2525</v>
      </c>
      <c r="D419" s="53" t="s">
        <v>2884</v>
      </c>
      <c r="E419" s="53" t="s">
        <v>2885</v>
      </c>
      <c r="F419" s="53" t="s">
        <v>2886</v>
      </c>
      <c r="G419" s="43"/>
    </row>
    <row r="420" spans="1:7">
      <c r="A420" s="40" t="s">
        <v>2887</v>
      </c>
      <c r="B420" s="40" t="s">
        <v>2524</v>
      </c>
      <c r="C420" s="40" t="s">
        <v>2525</v>
      </c>
      <c r="D420" s="51" t="s">
        <v>2888</v>
      </c>
      <c r="E420" s="51" t="s">
        <v>2889</v>
      </c>
      <c r="F420" s="51" t="s">
        <v>2890</v>
      </c>
      <c r="G420" s="52"/>
    </row>
    <row r="421" spans="1:7">
      <c r="A421" s="42" t="s">
        <v>2891</v>
      </c>
      <c r="B421" s="42" t="s">
        <v>2524</v>
      </c>
      <c r="C421" s="42" t="s">
        <v>2525</v>
      </c>
      <c r="D421" s="53" t="s">
        <v>2892</v>
      </c>
      <c r="E421" s="53" t="s">
        <v>2893</v>
      </c>
      <c r="F421" s="53" t="s">
        <v>2894</v>
      </c>
      <c r="G421" s="43"/>
    </row>
    <row r="422" spans="1:7">
      <c r="A422" s="40" t="s">
        <v>2895</v>
      </c>
      <c r="B422" s="40" t="s">
        <v>2524</v>
      </c>
      <c r="C422" s="40" t="s">
        <v>2525</v>
      </c>
      <c r="D422" s="51" t="s">
        <v>2896</v>
      </c>
      <c r="E422" s="51" t="s">
        <v>2897</v>
      </c>
      <c r="F422" s="51" t="s">
        <v>2898</v>
      </c>
      <c r="G422" s="52"/>
    </row>
    <row r="423" spans="1:7">
      <c r="A423" s="42" t="s">
        <v>2899</v>
      </c>
      <c r="B423" s="42" t="s">
        <v>2524</v>
      </c>
      <c r="C423" s="42" t="s">
        <v>2525</v>
      </c>
      <c r="D423" s="53" t="s">
        <v>2900</v>
      </c>
      <c r="E423" s="53" t="s">
        <v>2901</v>
      </c>
      <c r="F423" s="53" t="s">
        <v>2902</v>
      </c>
      <c r="G423" s="43"/>
    </row>
    <row r="424" spans="1:7">
      <c r="A424" s="40" t="s">
        <v>2903</v>
      </c>
      <c r="B424" s="40" t="s">
        <v>2524</v>
      </c>
      <c r="C424" s="40" t="s">
        <v>2525</v>
      </c>
      <c r="D424" s="51" t="s">
        <v>2904</v>
      </c>
      <c r="E424" s="51" t="s">
        <v>2905</v>
      </c>
      <c r="F424" s="51" t="s">
        <v>2906</v>
      </c>
      <c r="G424" s="52"/>
    </row>
    <row r="425" spans="1:7">
      <c r="A425" s="42" t="s">
        <v>2907</v>
      </c>
      <c r="B425" s="42" t="s">
        <v>2524</v>
      </c>
      <c r="C425" s="42" t="s">
        <v>2525</v>
      </c>
      <c r="D425" s="53" t="s">
        <v>2908</v>
      </c>
      <c r="E425" s="53" t="s">
        <v>2909</v>
      </c>
      <c r="F425" s="53" t="s">
        <v>2910</v>
      </c>
      <c r="G425" s="43"/>
    </row>
    <row r="426" spans="1:7">
      <c r="A426" s="40" t="s">
        <v>2911</v>
      </c>
      <c r="B426" s="40" t="s">
        <v>2524</v>
      </c>
      <c r="C426" s="40" t="s">
        <v>2525</v>
      </c>
      <c r="D426" s="51" t="s">
        <v>2912</v>
      </c>
      <c r="E426" s="51" t="s">
        <v>2913</v>
      </c>
      <c r="F426" s="51" t="s">
        <v>2914</v>
      </c>
      <c r="G426" s="52"/>
    </row>
    <row r="427" spans="1:7">
      <c r="A427" s="42" t="s">
        <v>2915</v>
      </c>
      <c r="B427" s="42" t="s">
        <v>2524</v>
      </c>
      <c r="C427" s="42" t="s">
        <v>2525</v>
      </c>
      <c r="D427" s="53" t="s">
        <v>2916</v>
      </c>
      <c r="E427" s="53" t="s">
        <v>2917</v>
      </c>
      <c r="F427" s="53" t="s">
        <v>2918</v>
      </c>
      <c r="G427" s="43"/>
    </row>
    <row r="428" spans="1:7">
      <c r="A428" s="40" t="s">
        <v>2919</v>
      </c>
      <c r="B428" s="40" t="s">
        <v>2524</v>
      </c>
      <c r="C428" s="40" t="s">
        <v>2525</v>
      </c>
      <c r="D428" s="51" t="s">
        <v>2920</v>
      </c>
      <c r="E428" s="51" t="s">
        <v>2921</v>
      </c>
      <c r="F428" s="51" t="s">
        <v>2922</v>
      </c>
      <c r="G428" s="52"/>
    </row>
    <row r="429" spans="1:7">
      <c r="A429" s="42" t="s">
        <v>2923</v>
      </c>
      <c r="B429" s="42" t="s">
        <v>2524</v>
      </c>
      <c r="C429" s="42" t="s">
        <v>2525</v>
      </c>
      <c r="D429" s="53" t="s">
        <v>2924</v>
      </c>
      <c r="E429" s="53" t="s">
        <v>2925</v>
      </c>
      <c r="F429" s="53" t="s">
        <v>2926</v>
      </c>
      <c r="G429" s="43"/>
    </row>
    <row r="430" spans="1:7">
      <c r="A430" s="40" t="s">
        <v>2927</v>
      </c>
      <c r="B430" s="40" t="s">
        <v>2524</v>
      </c>
      <c r="C430" s="40" t="s">
        <v>2525</v>
      </c>
      <c r="D430" s="51" t="s">
        <v>2928</v>
      </c>
      <c r="E430" s="51" t="s">
        <v>2929</v>
      </c>
      <c r="F430" s="51" t="s">
        <v>2930</v>
      </c>
      <c r="G430" s="52"/>
    </row>
    <row r="431" spans="1:7">
      <c r="A431" s="42" t="s">
        <v>2931</v>
      </c>
      <c r="B431" s="42" t="s">
        <v>2524</v>
      </c>
      <c r="C431" s="42" t="s">
        <v>2525</v>
      </c>
      <c r="D431" s="53" t="s">
        <v>2932</v>
      </c>
      <c r="E431" s="53" t="s">
        <v>2933</v>
      </c>
      <c r="F431" s="53" t="s">
        <v>2934</v>
      </c>
      <c r="G431" s="43"/>
    </row>
    <row r="432" spans="1:7">
      <c r="A432" s="40" t="s">
        <v>2935</v>
      </c>
      <c r="B432" s="40" t="s">
        <v>2524</v>
      </c>
      <c r="C432" s="40" t="s">
        <v>2525</v>
      </c>
      <c r="D432" s="51" t="s">
        <v>2936</v>
      </c>
      <c r="E432" s="51" t="s">
        <v>2937</v>
      </c>
      <c r="F432" s="51" t="s">
        <v>2938</v>
      </c>
      <c r="G432" s="52"/>
    </row>
    <row r="433" spans="1:7">
      <c r="A433" s="42" t="s">
        <v>2939</v>
      </c>
      <c r="B433" s="42" t="s">
        <v>2524</v>
      </c>
      <c r="C433" s="42" t="s">
        <v>2525</v>
      </c>
      <c r="D433" s="53" t="s">
        <v>2940</v>
      </c>
      <c r="E433" s="53" t="s">
        <v>2941</v>
      </c>
      <c r="F433" s="53" t="s">
        <v>2942</v>
      </c>
      <c r="G433" s="43"/>
    </row>
    <row r="434" spans="1:7">
      <c r="A434" s="40" t="s">
        <v>2943</v>
      </c>
      <c r="B434" s="40" t="s">
        <v>2524</v>
      </c>
      <c r="C434" s="40" t="s">
        <v>2525</v>
      </c>
      <c r="D434" s="51" t="s">
        <v>2944</v>
      </c>
      <c r="E434" s="51" t="s">
        <v>2945</v>
      </c>
      <c r="F434" s="51" t="s">
        <v>2946</v>
      </c>
      <c r="G434" s="52"/>
    </row>
    <row r="435" spans="1:7">
      <c r="A435" s="42" t="s">
        <v>2947</v>
      </c>
      <c r="B435" s="42" t="s">
        <v>2524</v>
      </c>
      <c r="C435" s="42" t="s">
        <v>2525</v>
      </c>
      <c r="D435" s="53" t="s">
        <v>2944</v>
      </c>
      <c r="E435" s="53" t="s">
        <v>2948</v>
      </c>
      <c r="F435" s="53" t="s">
        <v>2949</v>
      </c>
      <c r="G435" s="43"/>
    </row>
    <row r="436" spans="1:7">
      <c r="A436" s="40" t="s">
        <v>2950</v>
      </c>
      <c r="B436" s="40" t="s">
        <v>2524</v>
      </c>
      <c r="C436" s="40" t="s">
        <v>2525</v>
      </c>
      <c r="D436" s="51" t="s">
        <v>2951</v>
      </c>
      <c r="E436" s="51" t="s">
        <v>2952</v>
      </c>
      <c r="F436" s="51" t="s">
        <v>2953</v>
      </c>
      <c r="G436" s="52"/>
    </row>
    <row r="437" spans="1:7">
      <c r="A437" s="42" t="s">
        <v>2954</v>
      </c>
      <c r="B437" s="42" t="s">
        <v>2524</v>
      </c>
      <c r="C437" s="42" t="s">
        <v>2525</v>
      </c>
      <c r="D437" s="53" t="s">
        <v>2951</v>
      </c>
      <c r="E437" s="53" t="s">
        <v>2955</v>
      </c>
      <c r="F437" s="53" t="s">
        <v>2956</v>
      </c>
      <c r="G437" s="43"/>
    </row>
    <row r="438" spans="1:7">
      <c r="A438" s="40" t="s">
        <v>2957</v>
      </c>
      <c r="B438" s="40" t="s">
        <v>2524</v>
      </c>
      <c r="C438" s="40" t="s">
        <v>2525</v>
      </c>
      <c r="D438" s="51" t="s">
        <v>2958</v>
      </c>
      <c r="E438" s="51" t="s">
        <v>2959</v>
      </c>
      <c r="F438" s="51" t="s">
        <v>2960</v>
      </c>
      <c r="G438" s="52"/>
    </row>
    <row r="439" spans="1:7">
      <c r="A439" s="42" t="s">
        <v>2961</v>
      </c>
      <c r="B439" s="42" t="s">
        <v>2524</v>
      </c>
      <c r="C439" s="42" t="s">
        <v>2525</v>
      </c>
      <c r="D439" s="53" t="s">
        <v>2958</v>
      </c>
      <c r="E439" s="53" t="s">
        <v>2962</v>
      </c>
      <c r="F439" s="53" t="s">
        <v>2963</v>
      </c>
      <c r="G439" s="43"/>
    </row>
    <row r="440" spans="1:7">
      <c r="A440" s="40" t="s">
        <v>2964</v>
      </c>
      <c r="B440" s="40" t="s">
        <v>2524</v>
      </c>
      <c r="C440" s="40" t="s">
        <v>2525</v>
      </c>
      <c r="D440" s="51" t="s">
        <v>2965</v>
      </c>
      <c r="E440" s="51" t="s">
        <v>2966</v>
      </c>
      <c r="F440" s="51" t="s">
        <v>2967</v>
      </c>
      <c r="G440" s="52"/>
    </row>
    <row r="441" spans="1:7">
      <c r="A441" s="42" t="s">
        <v>2968</v>
      </c>
      <c r="B441" s="42" t="s">
        <v>2524</v>
      </c>
      <c r="C441" s="42" t="s">
        <v>2525</v>
      </c>
      <c r="D441" s="53" t="s">
        <v>2969</v>
      </c>
      <c r="E441" s="53" t="s">
        <v>2970</v>
      </c>
      <c r="F441" s="53" t="s">
        <v>2971</v>
      </c>
      <c r="G441" s="43"/>
    </row>
    <row r="442" spans="1:7">
      <c r="A442" s="40" t="s">
        <v>2972</v>
      </c>
      <c r="B442" s="40" t="s">
        <v>2524</v>
      </c>
      <c r="C442" s="40" t="s">
        <v>2525</v>
      </c>
      <c r="D442" s="51" t="s">
        <v>2973</v>
      </c>
      <c r="E442" s="51" t="s">
        <v>2974</v>
      </c>
      <c r="F442" s="51" t="s">
        <v>2975</v>
      </c>
      <c r="G442" s="52"/>
    </row>
    <row r="443" spans="1:7">
      <c r="A443" s="42" t="s">
        <v>2976</v>
      </c>
      <c r="B443" s="42" t="s">
        <v>2524</v>
      </c>
      <c r="C443" s="42" t="s">
        <v>2525</v>
      </c>
      <c r="D443" s="53" t="s">
        <v>2977</v>
      </c>
      <c r="E443" s="53" t="s">
        <v>2978</v>
      </c>
      <c r="F443" s="53" t="s">
        <v>2979</v>
      </c>
      <c r="G443" s="43"/>
    </row>
    <row r="444" spans="1:7">
      <c r="A444" s="40" t="s">
        <v>2980</v>
      </c>
      <c r="B444" s="40" t="s">
        <v>2524</v>
      </c>
      <c r="C444" s="40" t="s">
        <v>2525</v>
      </c>
      <c r="D444" s="51" t="s">
        <v>2981</v>
      </c>
      <c r="E444" s="51" t="s">
        <v>2982</v>
      </c>
      <c r="F444" s="51" t="s">
        <v>2983</v>
      </c>
      <c r="G444" s="52"/>
    </row>
    <row r="445" spans="1:7">
      <c r="A445" s="42" t="s">
        <v>2984</v>
      </c>
      <c r="B445" s="42" t="s">
        <v>2524</v>
      </c>
      <c r="C445" s="42" t="s">
        <v>2525</v>
      </c>
      <c r="D445" s="53" t="s">
        <v>2985</v>
      </c>
      <c r="E445" s="53" t="s">
        <v>2986</v>
      </c>
      <c r="F445" s="53" t="s">
        <v>2987</v>
      </c>
      <c r="G445" s="43"/>
    </row>
    <row r="446" spans="1:7">
      <c r="A446" s="40" t="s">
        <v>2988</v>
      </c>
      <c r="B446" s="40" t="s">
        <v>2524</v>
      </c>
      <c r="C446" s="40" t="s">
        <v>2525</v>
      </c>
      <c r="D446" s="51" t="s">
        <v>2985</v>
      </c>
      <c r="E446" s="51" t="s">
        <v>2989</v>
      </c>
      <c r="F446" s="51" t="s">
        <v>2990</v>
      </c>
      <c r="G446" s="52"/>
    </row>
    <row r="447" spans="1:7">
      <c r="A447" s="42" t="s">
        <v>2991</v>
      </c>
      <c r="B447" s="42" t="s">
        <v>2524</v>
      </c>
      <c r="C447" s="42" t="s">
        <v>2525</v>
      </c>
      <c r="D447" s="53" t="s">
        <v>2992</v>
      </c>
      <c r="E447" s="53" t="s">
        <v>2993</v>
      </c>
      <c r="F447" s="53" t="s">
        <v>2994</v>
      </c>
      <c r="G447" s="43"/>
    </row>
    <row r="448" spans="1:7">
      <c r="A448" s="40" t="s">
        <v>2995</v>
      </c>
      <c r="B448" s="40" t="s">
        <v>2524</v>
      </c>
      <c r="C448" s="40" t="s">
        <v>2525</v>
      </c>
      <c r="D448" s="51" t="s">
        <v>2996</v>
      </c>
      <c r="E448" s="51" t="s">
        <v>2997</v>
      </c>
      <c r="F448" s="51" t="s">
        <v>2998</v>
      </c>
      <c r="G448" s="52"/>
    </row>
    <row r="449" spans="1:7">
      <c r="A449" s="42" t="s">
        <v>2999</v>
      </c>
      <c r="B449" s="42" t="s">
        <v>2524</v>
      </c>
      <c r="C449" s="42" t="s">
        <v>2525</v>
      </c>
      <c r="D449" s="53" t="s">
        <v>2996</v>
      </c>
      <c r="E449" s="53" t="s">
        <v>3000</v>
      </c>
      <c r="F449" s="53" t="s">
        <v>3001</v>
      </c>
      <c r="G449" s="43"/>
    </row>
    <row r="450" spans="1:7">
      <c r="A450" s="40" t="s">
        <v>3002</v>
      </c>
      <c r="B450" s="40" t="s">
        <v>2524</v>
      </c>
      <c r="C450" s="40" t="s">
        <v>2525</v>
      </c>
      <c r="D450" s="51" t="s">
        <v>3003</v>
      </c>
      <c r="E450" s="51" t="s">
        <v>3004</v>
      </c>
      <c r="F450" s="51" t="s">
        <v>3005</v>
      </c>
      <c r="G450" s="52"/>
    </row>
    <row r="451" spans="1:7">
      <c r="A451" s="42" t="s">
        <v>3006</v>
      </c>
      <c r="B451" s="42" t="s">
        <v>2524</v>
      </c>
      <c r="C451" s="42" t="s">
        <v>2525</v>
      </c>
      <c r="D451" s="53" t="s">
        <v>3007</v>
      </c>
      <c r="E451" s="53" t="s">
        <v>3008</v>
      </c>
      <c r="F451" s="53" t="s">
        <v>3009</v>
      </c>
      <c r="G451" s="43"/>
    </row>
    <row r="452" spans="1:7">
      <c r="A452" s="40" t="s">
        <v>3010</v>
      </c>
      <c r="B452" s="40" t="s">
        <v>2524</v>
      </c>
      <c r="C452" s="40" t="s">
        <v>2525</v>
      </c>
      <c r="D452" s="51" t="s">
        <v>3011</v>
      </c>
      <c r="E452" s="51" t="s">
        <v>3012</v>
      </c>
      <c r="F452" s="51" t="s">
        <v>3013</v>
      </c>
      <c r="G452" s="52"/>
    </row>
    <row r="453" spans="1:7">
      <c r="A453" s="42" t="s">
        <v>3014</v>
      </c>
      <c r="B453" s="42" t="s">
        <v>2524</v>
      </c>
      <c r="C453" s="42" t="s">
        <v>2525</v>
      </c>
      <c r="D453" s="53" t="s">
        <v>3015</v>
      </c>
      <c r="E453" s="53" t="s">
        <v>3016</v>
      </c>
      <c r="F453" s="53" t="s">
        <v>3017</v>
      </c>
      <c r="G453" s="43"/>
    </row>
    <row r="454" spans="1:7">
      <c r="A454" s="40" t="s">
        <v>3018</v>
      </c>
      <c r="B454" s="40" t="s">
        <v>2524</v>
      </c>
      <c r="C454" s="40" t="s">
        <v>2525</v>
      </c>
      <c r="D454" s="51" t="s">
        <v>3019</v>
      </c>
      <c r="E454" s="51" t="s">
        <v>3020</v>
      </c>
      <c r="F454" s="51" t="s">
        <v>3021</v>
      </c>
      <c r="G454" s="52"/>
    </row>
    <row r="455" spans="1:7">
      <c r="A455" s="42" t="s">
        <v>3022</v>
      </c>
      <c r="B455" s="42" t="s">
        <v>2524</v>
      </c>
      <c r="C455" s="42" t="s">
        <v>2525</v>
      </c>
      <c r="D455" s="53" t="s">
        <v>3023</v>
      </c>
      <c r="E455" s="53" t="s">
        <v>3024</v>
      </c>
      <c r="F455" s="53" t="s">
        <v>3025</v>
      </c>
      <c r="G455" s="43"/>
    </row>
    <row r="456" spans="1:7">
      <c r="A456" s="40" t="s">
        <v>3026</v>
      </c>
      <c r="B456" s="40" t="s">
        <v>2524</v>
      </c>
      <c r="C456" s="40" t="s">
        <v>2525</v>
      </c>
      <c r="D456" s="51" t="s">
        <v>3027</v>
      </c>
      <c r="E456" s="51" t="s">
        <v>3028</v>
      </c>
      <c r="F456" s="51" t="s">
        <v>3029</v>
      </c>
      <c r="G456" s="52"/>
    </row>
    <row r="457" spans="1:7">
      <c r="A457" s="42" t="s">
        <v>3030</v>
      </c>
      <c r="B457" s="42" t="s">
        <v>2524</v>
      </c>
      <c r="C457" s="42" t="s">
        <v>2525</v>
      </c>
      <c r="D457" s="53" t="s">
        <v>3031</v>
      </c>
      <c r="E457" s="53" t="s">
        <v>3032</v>
      </c>
      <c r="F457" s="53" t="s">
        <v>3033</v>
      </c>
      <c r="G457" s="43"/>
    </row>
    <row r="458" spans="1:7">
      <c r="A458" s="40" t="s">
        <v>3034</v>
      </c>
      <c r="B458" s="40" t="s">
        <v>2524</v>
      </c>
      <c r="C458" s="40" t="s">
        <v>2525</v>
      </c>
      <c r="D458" s="51" t="s">
        <v>3035</v>
      </c>
      <c r="E458" s="51" t="s">
        <v>3036</v>
      </c>
      <c r="F458" s="51" t="s">
        <v>3037</v>
      </c>
      <c r="G458" s="52"/>
    </row>
    <row r="459" spans="1:7">
      <c r="A459" s="42" t="s">
        <v>3038</v>
      </c>
      <c r="B459" s="42" t="s">
        <v>2524</v>
      </c>
      <c r="C459" s="42" t="s">
        <v>2525</v>
      </c>
      <c r="D459" s="53" t="s">
        <v>3039</v>
      </c>
      <c r="E459" s="53" t="s">
        <v>3040</v>
      </c>
      <c r="F459" s="53" t="s">
        <v>3041</v>
      </c>
      <c r="G459" s="43"/>
    </row>
    <row r="460" spans="1:7">
      <c r="A460" s="40" t="s">
        <v>3042</v>
      </c>
      <c r="B460" s="40" t="s">
        <v>2524</v>
      </c>
      <c r="C460" s="40" t="s">
        <v>2525</v>
      </c>
      <c r="D460" s="51" t="s">
        <v>3043</v>
      </c>
      <c r="E460" s="51" t="s">
        <v>3044</v>
      </c>
      <c r="F460" s="51" t="s">
        <v>3045</v>
      </c>
      <c r="G460" s="52"/>
    </row>
    <row r="461" spans="1:7">
      <c r="A461" s="42" t="s">
        <v>3046</v>
      </c>
      <c r="B461" s="42" t="s">
        <v>2524</v>
      </c>
      <c r="C461" s="42" t="s">
        <v>2525</v>
      </c>
      <c r="D461" s="53" t="s">
        <v>3047</v>
      </c>
      <c r="E461" s="53" t="s">
        <v>3048</v>
      </c>
      <c r="F461" s="53" t="s">
        <v>3049</v>
      </c>
      <c r="G461" s="43"/>
    </row>
    <row r="462" spans="1:7">
      <c r="A462" s="40" t="s">
        <v>3050</v>
      </c>
      <c r="B462" s="40" t="s">
        <v>2524</v>
      </c>
      <c r="C462" s="40" t="s">
        <v>2525</v>
      </c>
      <c r="D462" s="51" t="s">
        <v>3051</v>
      </c>
      <c r="E462" s="51" t="s">
        <v>3052</v>
      </c>
      <c r="F462" s="51" t="s">
        <v>3053</v>
      </c>
      <c r="G462" s="52"/>
    </row>
    <row r="463" spans="1:7">
      <c r="A463" s="42" t="s">
        <v>3054</v>
      </c>
      <c r="B463" s="42" t="s">
        <v>2524</v>
      </c>
      <c r="C463" s="42" t="s">
        <v>2525</v>
      </c>
      <c r="D463" s="53" t="s">
        <v>3055</v>
      </c>
      <c r="E463" s="53" t="s">
        <v>3056</v>
      </c>
      <c r="F463" s="53" t="s">
        <v>3057</v>
      </c>
      <c r="G463" s="43"/>
    </row>
    <row r="464" spans="1:7">
      <c r="A464" s="40" t="s">
        <v>3058</v>
      </c>
      <c r="B464" s="40" t="s">
        <v>2524</v>
      </c>
      <c r="C464" s="40" t="s">
        <v>2525</v>
      </c>
      <c r="D464" s="51" t="s">
        <v>3059</v>
      </c>
      <c r="E464" s="51" t="s">
        <v>3060</v>
      </c>
      <c r="F464" s="51" t="s">
        <v>3061</v>
      </c>
      <c r="G464" s="52"/>
    </row>
    <row r="465" spans="1:7">
      <c r="A465" s="42" t="s">
        <v>3062</v>
      </c>
      <c r="B465" s="42" t="s">
        <v>2524</v>
      </c>
      <c r="C465" s="42" t="s">
        <v>2525</v>
      </c>
      <c r="D465" s="53" t="s">
        <v>3063</v>
      </c>
      <c r="E465" s="53" t="s">
        <v>3064</v>
      </c>
      <c r="F465" s="53" t="s">
        <v>3065</v>
      </c>
      <c r="G465" s="43"/>
    </row>
    <row r="466" spans="1:7">
      <c r="A466" s="40" t="s">
        <v>3066</v>
      </c>
      <c r="B466" s="40" t="s">
        <v>2524</v>
      </c>
      <c r="C466" s="40" t="s">
        <v>2525</v>
      </c>
      <c r="D466" s="51" t="s">
        <v>3067</v>
      </c>
      <c r="E466" s="51" t="s">
        <v>3068</v>
      </c>
      <c r="F466" s="51" t="s">
        <v>3069</v>
      </c>
      <c r="G466" s="52"/>
    </row>
    <row r="467" spans="1:7">
      <c r="A467" s="42" t="s">
        <v>3070</v>
      </c>
      <c r="B467" s="42" t="s">
        <v>2524</v>
      </c>
      <c r="C467" s="42" t="s">
        <v>2525</v>
      </c>
      <c r="D467" s="53" t="s">
        <v>3071</v>
      </c>
      <c r="E467" s="53" t="s">
        <v>3072</v>
      </c>
      <c r="F467" s="53" t="s">
        <v>3073</v>
      </c>
      <c r="G467" s="43"/>
    </row>
    <row r="468" spans="1:7">
      <c r="A468" s="40" t="s">
        <v>3074</v>
      </c>
      <c r="B468" s="40" t="s">
        <v>2524</v>
      </c>
      <c r="C468" s="40" t="s">
        <v>2525</v>
      </c>
      <c r="D468" s="51" t="s">
        <v>3075</v>
      </c>
      <c r="E468" s="51" t="s">
        <v>3076</v>
      </c>
      <c r="F468" s="51" t="s">
        <v>3077</v>
      </c>
      <c r="G468" s="52"/>
    </row>
    <row r="469" spans="1:7">
      <c r="A469" s="42" t="s">
        <v>3078</v>
      </c>
      <c r="B469" s="42" t="s">
        <v>2524</v>
      </c>
      <c r="C469" s="42" t="s">
        <v>2525</v>
      </c>
      <c r="D469" s="53" t="s">
        <v>3079</v>
      </c>
      <c r="E469" s="53" t="s">
        <v>3080</v>
      </c>
      <c r="F469" s="53" t="s">
        <v>3081</v>
      </c>
      <c r="G469" s="43"/>
    </row>
    <row r="470" spans="1:7">
      <c r="A470" s="40" t="s">
        <v>3082</v>
      </c>
      <c r="B470" s="40" t="s">
        <v>2524</v>
      </c>
      <c r="C470" s="40" t="s">
        <v>2525</v>
      </c>
      <c r="D470" s="51" t="s">
        <v>3083</v>
      </c>
      <c r="E470" s="51" t="s">
        <v>3084</v>
      </c>
      <c r="F470" s="51" t="s">
        <v>3085</v>
      </c>
      <c r="G470" s="52"/>
    </row>
    <row r="471" spans="1:7">
      <c r="A471" s="42" t="s">
        <v>3086</v>
      </c>
      <c r="B471" s="42" t="s">
        <v>2524</v>
      </c>
      <c r="C471" s="42" t="s">
        <v>2525</v>
      </c>
      <c r="D471" s="53" t="s">
        <v>3083</v>
      </c>
      <c r="E471" s="53" t="s">
        <v>3087</v>
      </c>
      <c r="F471" s="53" t="s">
        <v>3088</v>
      </c>
      <c r="G471" s="43"/>
    </row>
    <row r="472" spans="1:7">
      <c r="A472" s="40" t="s">
        <v>3089</v>
      </c>
      <c r="B472" s="40" t="s">
        <v>2524</v>
      </c>
      <c r="C472" s="40" t="s">
        <v>2525</v>
      </c>
      <c r="D472" s="51" t="s">
        <v>3090</v>
      </c>
      <c r="E472" s="51" t="s">
        <v>3091</v>
      </c>
      <c r="F472" s="51" t="s">
        <v>3092</v>
      </c>
      <c r="G472" s="52"/>
    </row>
    <row r="473" spans="1:7">
      <c r="A473" s="42" t="s">
        <v>3093</v>
      </c>
      <c r="B473" s="42" t="s">
        <v>2524</v>
      </c>
      <c r="C473" s="42" t="s">
        <v>2525</v>
      </c>
      <c r="D473" s="53" t="s">
        <v>3090</v>
      </c>
      <c r="E473" s="53" t="s">
        <v>3094</v>
      </c>
      <c r="F473" s="53" t="s">
        <v>3095</v>
      </c>
      <c r="G473" s="43"/>
    </row>
    <row r="474" spans="1:7">
      <c r="A474" s="40" t="s">
        <v>3096</v>
      </c>
      <c r="B474" s="40" t="s">
        <v>2524</v>
      </c>
      <c r="C474" s="40" t="s">
        <v>2525</v>
      </c>
      <c r="D474" s="51" t="s">
        <v>3097</v>
      </c>
      <c r="E474" s="51" t="s">
        <v>3098</v>
      </c>
      <c r="F474" s="51" t="s">
        <v>3099</v>
      </c>
      <c r="G474" s="52"/>
    </row>
    <row r="475" spans="1:7">
      <c r="A475" s="42" t="s">
        <v>3100</v>
      </c>
      <c r="B475" s="42" t="s">
        <v>2524</v>
      </c>
      <c r="C475" s="42" t="s">
        <v>2525</v>
      </c>
      <c r="D475" s="53" t="s">
        <v>3101</v>
      </c>
      <c r="E475" s="53" t="s">
        <v>3102</v>
      </c>
      <c r="F475" s="53" t="s">
        <v>3103</v>
      </c>
      <c r="G475" s="43"/>
    </row>
    <row r="476" spans="1:7">
      <c r="A476" s="40" t="s">
        <v>3104</v>
      </c>
      <c r="B476" s="40" t="s">
        <v>2524</v>
      </c>
      <c r="C476" s="40" t="s">
        <v>2525</v>
      </c>
      <c r="D476" s="51" t="s">
        <v>3101</v>
      </c>
      <c r="E476" s="51" t="s">
        <v>3105</v>
      </c>
      <c r="F476" s="51" t="s">
        <v>3106</v>
      </c>
      <c r="G476" s="52"/>
    </row>
    <row r="477" spans="1:7">
      <c r="A477" s="42" t="s">
        <v>3107</v>
      </c>
      <c r="B477" s="42" t="s">
        <v>2524</v>
      </c>
      <c r="C477" s="42" t="s">
        <v>2525</v>
      </c>
      <c r="D477" s="53" t="s">
        <v>3108</v>
      </c>
      <c r="E477" s="53" t="s">
        <v>3109</v>
      </c>
      <c r="F477" s="53" t="s">
        <v>3110</v>
      </c>
      <c r="G477" s="43"/>
    </row>
    <row r="478" spans="1:7">
      <c r="A478" s="40" t="s">
        <v>3111</v>
      </c>
      <c r="B478" s="40" t="s">
        <v>2524</v>
      </c>
      <c r="C478" s="40" t="s">
        <v>2525</v>
      </c>
      <c r="D478" s="51" t="s">
        <v>3112</v>
      </c>
      <c r="E478" s="51" t="s">
        <v>3113</v>
      </c>
      <c r="F478" s="51" t="s">
        <v>3114</v>
      </c>
      <c r="G478" s="52"/>
    </row>
    <row r="479" spans="1:7">
      <c r="A479" s="42" t="s">
        <v>3115</v>
      </c>
      <c r="B479" s="42" t="s">
        <v>2524</v>
      </c>
      <c r="C479" s="42" t="s">
        <v>2525</v>
      </c>
      <c r="D479" s="53" t="s">
        <v>3116</v>
      </c>
      <c r="E479" s="53" t="s">
        <v>3117</v>
      </c>
      <c r="F479" s="53" t="s">
        <v>3118</v>
      </c>
      <c r="G479" s="43"/>
    </row>
    <row r="480" spans="1:7">
      <c r="A480" s="40" t="s">
        <v>3119</v>
      </c>
      <c r="B480" s="40" t="s">
        <v>2524</v>
      </c>
      <c r="C480" s="40" t="s">
        <v>2525</v>
      </c>
      <c r="D480" s="51" t="s">
        <v>3120</v>
      </c>
      <c r="E480" s="51" t="s">
        <v>3121</v>
      </c>
      <c r="F480" s="51" t="s">
        <v>3122</v>
      </c>
      <c r="G480" s="52"/>
    </row>
    <row r="481" spans="1:7">
      <c r="A481" s="42" t="s">
        <v>3123</v>
      </c>
      <c r="B481" s="42" t="s">
        <v>2524</v>
      </c>
      <c r="C481" s="42" t="s">
        <v>2525</v>
      </c>
      <c r="D481" s="53" t="s">
        <v>3124</v>
      </c>
      <c r="E481" s="53" t="s">
        <v>3125</v>
      </c>
      <c r="F481" s="53" t="s">
        <v>3126</v>
      </c>
      <c r="G481" s="43"/>
    </row>
    <row r="482" spans="1:7">
      <c r="A482" s="40" t="s">
        <v>3127</v>
      </c>
      <c r="B482" s="40" t="s">
        <v>2524</v>
      </c>
      <c r="C482" s="40" t="s">
        <v>2525</v>
      </c>
      <c r="D482" s="51" t="s">
        <v>3128</v>
      </c>
      <c r="E482" s="51" t="s">
        <v>3129</v>
      </c>
      <c r="F482" s="51" t="s">
        <v>3130</v>
      </c>
      <c r="G482" s="52"/>
    </row>
    <row r="483" spans="1:7">
      <c r="A483" s="42" t="s">
        <v>3131</v>
      </c>
      <c r="B483" s="42" t="s">
        <v>2524</v>
      </c>
      <c r="C483" s="42" t="s">
        <v>2525</v>
      </c>
      <c r="D483" s="53" t="s">
        <v>3128</v>
      </c>
      <c r="E483" s="53" t="s">
        <v>3132</v>
      </c>
      <c r="F483" s="53" t="s">
        <v>3133</v>
      </c>
      <c r="G483" s="43"/>
    </row>
    <row r="484" spans="1:7">
      <c r="A484" s="40" t="s">
        <v>3134</v>
      </c>
      <c r="B484" s="40" t="s">
        <v>2524</v>
      </c>
      <c r="C484" s="40" t="s">
        <v>2525</v>
      </c>
      <c r="D484" s="51" t="s">
        <v>3135</v>
      </c>
      <c r="E484" s="51" t="s">
        <v>3136</v>
      </c>
      <c r="F484" s="51" t="s">
        <v>3137</v>
      </c>
      <c r="G484" s="52"/>
    </row>
    <row r="485" spans="1:7">
      <c r="A485" s="42" t="s">
        <v>3138</v>
      </c>
      <c r="B485" s="42" t="s">
        <v>2524</v>
      </c>
      <c r="C485" s="42" t="s">
        <v>2525</v>
      </c>
      <c r="D485" s="53" t="s">
        <v>3135</v>
      </c>
      <c r="E485" s="53" t="s">
        <v>3139</v>
      </c>
      <c r="F485" s="53" t="s">
        <v>3140</v>
      </c>
      <c r="G485" s="43"/>
    </row>
    <row r="486" spans="1:7">
      <c r="A486" s="40" t="s">
        <v>3141</v>
      </c>
      <c r="B486" s="40" t="s">
        <v>2524</v>
      </c>
      <c r="C486" s="40" t="s">
        <v>2525</v>
      </c>
      <c r="D486" s="51" t="s">
        <v>3142</v>
      </c>
      <c r="E486" s="51" t="s">
        <v>3143</v>
      </c>
      <c r="F486" s="51" t="s">
        <v>3144</v>
      </c>
      <c r="G486" s="52"/>
    </row>
    <row r="487" spans="1:7">
      <c r="A487" s="42" t="s">
        <v>3145</v>
      </c>
      <c r="B487" s="42" t="s">
        <v>2524</v>
      </c>
      <c r="C487" s="42" t="s">
        <v>2525</v>
      </c>
      <c r="D487" s="53" t="s">
        <v>3142</v>
      </c>
      <c r="E487" s="53" t="s">
        <v>3146</v>
      </c>
      <c r="F487" s="53" t="s">
        <v>3147</v>
      </c>
      <c r="G487" s="43"/>
    </row>
    <row r="488" spans="1:7">
      <c r="A488" s="40" t="s">
        <v>3148</v>
      </c>
      <c r="B488" s="40" t="s">
        <v>2524</v>
      </c>
      <c r="C488" s="40" t="s">
        <v>2525</v>
      </c>
      <c r="D488" s="51" t="s">
        <v>3149</v>
      </c>
      <c r="E488" s="51" t="s">
        <v>3150</v>
      </c>
      <c r="F488" s="51" t="s">
        <v>3151</v>
      </c>
      <c r="G488" s="52"/>
    </row>
    <row r="489" spans="1:7">
      <c r="A489" s="42" t="s">
        <v>3152</v>
      </c>
      <c r="B489" s="42" t="s">
        <v>2524</v>
      </c>
      <c r="C489" s="42" t="s">
        <v>2525</v>
      </c>
      <c r="D489" s="53" t="s">
        <v>3149</v>
      </c>
      <c r="E489" s="53" t="s">
        <v>3153</v>
      </c>
      <c r="F489" s="53" t="s">
        <v>3154</v>
      </c>
      <c r="G489" s="43"/>
    </row>
    <row r="490" spans="1:7">
      <c r="A490" s="40" t="s">
        <v>3155</v>
      </c>
      <c r="B490" s="40" t="s">
        <v>2524</v>
      </c>
      <c r="C490" s="40" t="s">
        <v>2525</v>
      </c>
      <c r="D490" s="51" t="s">
        <v>3156</v>
      </c>
      <c r="E490" s="51" t="s">
        <v>3157</v>
      </c>
      <c r="F490" s="51" t="s">
        <v>3158</v>
      </c>
      <c r="G490" s="52"/>
    </row>
    <row r="491" spans="1:7">
      <c r="A491" s="42" t="s">
        <v>3159</v>
      </c>
      <c r="B491" s="42" t="s">
        <v>2524</v>
      </c>
      <c r="C491" s="42" t="s">
        <v>2525</v>
      </c>
      <c r="D491" s="53" t="s">
        <v>3156</v>
      </c>
      <c r="E491" s="53" t="s">
        <v>3160</v>
      </c>
      <c r="F491" s="53" t="s">
        <v>3161</v>
      </c>
      <c r="G491" s="43"/>
    </row>
    <row r="492" spans="1:7">
      <c r="A492" s="40" t="s">
        <v>3162</v>
      </c>
      <c r="B492" s="40" t="s">
        <v>2524</v>
      </c>
      <c r="C492" s="40" t="s">
        <v>2525</v>
      </c>
      <c r="D492" s="51" t="s">
        <v>3163</v>
      </c>
      <c r="E492" s="51" t="s">
        <v>3164</v>
      </c>
      <c r="F492" s="51" t="s">
        <v>3165</v>
      </c>
      <c r="G492" s="52"/>
    </row>
    <row r="493" spans="1:7">
      <c r="A493" s="42" t="s">
        <v>3166</v>
      </c>
      <c r="B493" s="42" t="s">
        <v>2524</v>
      </c>
      <c r="C493" s="42" t="s">
        <v>2525</v>
      </c>
      <c r="D493" s="53" t="s">
        <v>3167</v>
      </c>
      <c r="E493" s="53" t="s">
        <v>3168</v>
      </c>
      <c r="F493" s="53" t="s">
        <v>3169</v>
      </c>
      <c r="G493" s="43"/>
    </row>
    <row r="494" spans="1:7">
      <c r="A494" s="40" t="s">
        <v>3170</v>
      </c>
      <c r="B494" s="40" t="s">
        <v>2524</v>
      </c>
      <c r="C494" s="40" t="s">
        <v>2525</v>
      </c>
      <c r="D494" s="51" t="s">
        <v>3167</v>
      </c>
      <c r="E494" s="51" t="s">
        <v>3171</v>
      </c>
      <c r="F494" s="51" t="s">
        <v>3172</v>
      </c>
      <c r="G494" s="52"/>
    </row>
    <row r="495" spans="1:7">
      <c r="A495" s="42" t="s">
        <v>3173</v>
      </c>
      <c r="B495" s="42" t="s">
        <v>2524</v>
      </c>
      <c r="C495" s="42" t="s">
        <v>2525</v>
      </c>
      <c r="D495" s="53" t="s">
        <v>3174</v>
      </c>
      <c r="E495" s="53" t="s">
        <v>3175</v>
      </c>
      <c r="F495" s="53" t="s">
        <v>3176</v>
      </c>
      <c r="G495" s="43"/>
    </row>
    <row r="496" spans="1:7">
      <c r="A496" s="40" t="s">
        <v>3177</v>
      </c>
      <c r="B496" s="40" t="s">
        <v>2524</v>
      </c>
      <c r="C496" s="40" t="s">
        <v>2525</v>
      </c>
      <c r="D496" s="51" t="s">
        <v>3178</v>
      </c>
      <c r="E496" s="51" t="s">
        <v>3179</v>
      </c>
      <c r="F496" s="51" t="s">
        <v>3180</v>
      </c>
      <c r="G496" s="52"/>
    </row>
    <row r="497" spans="1:7">
      <c r="A497" s="42" t="s">
        <v>3181</v>
      </c>
      <c r="B497" s="42" t="s">
        <v>2524</v>
      </c>
      <c r="C497" s="42" t="s">
        <v>2525</v>
      </c>
      <c r="D497" s="53" t="s">
        <v>3182</v>
      </c>
      <c r="E497" s="53" t="s">
        <v>3183</v>
      </c>
      <c r="F497" s="53" t="s">
        <v>3184</v>
      </c>
      <c r="G497" s="43"/>
    </row>
    <row r="498" spans="1:7">
      <c r="A498" s="40" t="s">
        <v>3185</v>
      </c>
      <c r="B498" s="40" t="s">
        <v>2524</v>
      </c>
      <c r="C498" s="40" t="s">
        <v>2525</v>
      </c>
      <c r="D498" s="51" t="s">
        <v>3186</v>
      </c>
      <c r="E498" s="51" t="s">
        <v>3187</v>
      </c>
      <c r="F498" s="51" t="s">
        <v>3188</v>
      </c>
      <c r="G498" s="52"/>
    </row>
    <row r="499" spans="1:7">
      <c r="A499" s="42" t="s">
        <v>3189</v>
      </c>
      <c r="B499" s="42" t="s">
        <v>2524</v>
      </c>
      <c r="C499" s="42" t="s">
        <v>2525</v>
      </c>
      <c r="D499" s="53" t="s">
        <v>3190</v>
      </c>
      <c r="E499" s="53" t="s">
        <v>3191</v>
      </c>
      <c r="F499" s="53" t="s">
        <v>3192</v>
      </c>
      <c r="G499" s="43"/>
    </row>
    <row r="500" spans="1:7">
      <c r="A500" s="40" t="s">
        <v>3193</v>
      </c>
      <c r="B500" s="40" t="s">
        <v>2524</v>
      </c>
      <c r="C500" s="40" t="s">
        <v>2525</v>
      </c>
      <c r="D500" s="51" t="s">
        <v>3194</v>
      </c>
      <c r="E500" s="51" t="s">
        <v>3195</v>
      </c>
      <c r="F500" s="51" t="s">
        <v>3196</v>
      </c>
      <c r="G500" s="52"/>
    </row>
    <row r="501" spans="1:7">
      <c r="A501" s="42" t="s">
        <v>3197</v>
      </c>
      <c r="B501" s="42" t="s">
        <v>2524</v>
      </c>
      <c r="C501" s="42" t="s">
        <v>2525</v>
      </c>
      <c r="D501" s="53" t="s">
        <v>3198</v>
      </c>
      <c r="E501" s="53" t="s">
        <v>3199</v>
      </c>
      <c r="F501" s="53" t="s">
        <v>3200</v>
      </c>
      <c r="G501" s="43"/>
    </row>
    <row r="502" spans="1:7">
      <c r="A502" s="40" t="s">
        <v>3201</v>
      </c>
      <c r="B502" s="40" t="s">
        <v>2524</v>
      </c>
      <c r="C502" s="40" t="s">
        <v>2525</v>
      </c>
      <c r="D502" s="51" t="s">
        <v>3202</v>
      </c>
      <c r="E502" s="51" t="s">
        <v>3203</v>
      </c>
      <c r="F502" s="51" t="s">
        <v>3204</v>
      </c>
      <c r="G502" s="52"/>
    </row>
    <row r="503" spans="1:7">
      <c r="A503" s="42" t="s">
        <v>3205</v>
      </c>
      <c r="B503" s="42" t="s">
        <v>2524</v>
      </c>
      <c r="C503" s="42" t="s">
        <v>2525</v>
      </c>
      <c r="D503" s="53" t="s">
        <v>3206</v>
      </c>
      <c r="E503" s="53" t="s">
        <v>3207</v>
      </c>
      <c r="F503" s="53" t="s">
        <v>3208</v>
      </c>
      <c r="G503" s="43"/>
    </row>
    <row r="504" spans="1:7">
      <c r="A504" s="40" t="s">
        <v>3209</v>
      </c>
      <c r="B504" s="40" t="s">
        <v>2524</v>
      </c>
      <c r="C504" s="40" t="s">
        <v>2525</v>
      </c>
      <c r="D504" s="51" t="s">
        <v>3210</v>
      </c>
      <c r="E504" s="51" t="s">
        <v>3211</v>
      </c>
      <c r="F504" s="51" t="s">
        <v>3212</v>
      </c>
      <c r="G504" s="52"/>
    </row>
    <row r="505" spans="1:7">
      <c r="A505" s="42" t="s">
        <v>3213</v>
      </c>
      <c r="B505" s="42" t="s">
        <v>2524</v>
      </c>
      <c r="C505" s="42" t="s">
        <v>2525</v>
      </c>
      <c r="D505" s="53" t="s">
        <v>3214</v>
      </c>
      <c r="E505" s="53" t="s">
        <v>3215</v>
      </c>
      <c r="F505" s="53" t="s">
        <v>3216</v>
      </c>
      <c r="G505" s="43"/>
    </row>
    <row r="506" spans="1:7">
      <c r="A506" s="40" t="s">
        <v>3217</v>
      </c>
      <c r="B506" s="40" t="s">
        <v>2524</v>
      </c>
      <c r="C506" s="40" t="s">
        <v>2525</v>
      </c>
      <c r="D506" s="51" t="s">
        <v>3218</v>
      </c>
      <c r="E506" s="51" t="s">
        <v>3219</v>
      </c>
      <c r="F506" s="51" t="s">
        <v>3220</v>
      </c>
      <c r="G506" s="52"/>
    </row>
    <row r="507" spans="1:7">
      <c r="A507" s="42" t="s">
        <v>3221</v>
      </c>
      <c r="B507" s="42" t="s">
        <v>2524</v>
      </c>
      <c r="C507" s="42" t="s">
        <v>2525</v>
      </c>
      <c r="D507" s="53" t="s">
        <v>3222</v>
      </c>
      <c r="E507" s="53" t="s">
        <v>3223</v>
      </c>
      <c r="F507" s="53" t="s">
        <v>3224</v>
      </c>
      <c r="G507" s="43"/>
    </row>
    <row r="508" spans="1:7">
      <c r="A508" s="40" t="s">
        <v>3225</v>
      </c>
      <c r="B508" s="40" t="s">
        <v>2524</v>
      </c>
      <c r="C508" s="40" t="s">
        <v>2525</v>
      </c>
      <c r="D508" s="51" t="s">
        <v>3226</v>
      </c>
      <c r="E508" s="51" t="s">
        <v>3227</v>
      </c>
      <c r="F508" s="51" t="s">
        <v>3228</v>
      </c>
      <c r="G508" s="52"/>
    </row>
    <row r="509" spans="1:7">
      <c r="A509" s="42" t="s">
        <v>3229</v>
      </c>
      <c r="B509" s="42" t="s">
        <v>2524</v>
      </c>
      <c r="C509" s="42" t="s">
        <v>2525</v>
      </c>
      <c r="D509" s="53" t="s">
        <v>3230</v>
      </c>
      <c r="E509" s="53" t="s">
        <v>3231</v>
      </c>
      <c r="F509" s="53" t="s">
        <v>3232</v>
      </c>
      <c r="G509" s="43"/>
    </row>
    <row r="510" spans="1:7">
      <c r="A510" s="40" t="s">
        <v>3233</v>
      </c>
      <c r="B510" s="40" t="s">
        <v>2524</v>
      </c>
      <c r="C510" s="40" t="s">
        <v>2525</v>
      </c>
      <c r="D510" s="51" t="s">
        <v>3234</v>
      </c>
      <c r="E510" s="51" t="s">
        <v>3235</v>
      </c>
      <c r="F510" s="51" t="s">
        <v>3236</v>
      </c>
      <c r="G510" s="52"/>
    </row>
    <row r="511" spans="1:7">
      <c r="A511" s="42" t="s">
        <v>3237</v>
      </c>
      <c r="B511" s="42" t="s">
        <v>2524</v>
      </c>
      <c r="C511" s="42" t="s">
        <v>2525</v>
      </c>
      <c r="D511" s="53" t="s">
        <v>3238</v>
      </c>
      <c r="E511" s="53" t="s">
        <v>3239</v>
      </c>
      <c r="F511" s="53" t="s">
        <v>3240</v>
      </c>
      <c r="G511" s="43"/>
    </row>
    <row r="512" spans="1:7">
      <c r="A512" s="40" t="s">
        <v>3241</v>
      </c>
      <c r="B512" s="40" t="s">
        <v>2524</v>
      </c>
      <c r="C512" s="40" t="s">
        <v>2525</v>
      </c>
      <c r="D512" s="51" t="s">
        <v>3238</v>
      </c>
      <c r="E512" s="51" t="s">
        <v>3242</v>
      </c>
      <c r="F512" s="51" t="s">
        <v>3243</v>
      </c>
      <c r="G512" s="52"/>
    </row>
    <row r="513" spans="1:7">
      <c r="A513" s="42" t="s">
        <v>3244</v>
      </c>
      <c r="B513" s="42" t="s">
        <v>2524</v>
      </c>
      <c r="C513" s="42" t="s">
        <v>2525</v>
      </c>
      <c r="D513" s="53" t="s">
        <v>3245</v>
      </c>
      <c r="E513" s="53" t="s">
        <v>3246</v>
      </c>
      <c r="F513" s="53" t="s">
        <v>3247</v>
      </c>
      <c r="G513" s="43"/>
    </row>
    <row r="514" spans="1:7">
      <c r="A514" s="40" t="s">
        <v>3248</v>
      </c>
      <c r="B514" s="40" t="s">
        <v>2524</v>
      </c>
      <c r="C514" s="40" t="s">
        <v>2525</v>
      </c>
      <c r="D514" s="51" t="s">
        <v>3249</v>
      </c>
      <c r="E514" s="51" t="s">
        <v>3250</v>
      </c>
      <c r="F514" s="51" t="s">
        <v>3251</v>
      </c>
      <c r="G514" s="52"/>
    </row>
    <row r="515" spans="1:7">
      <c r="A515" s="42" t="s">
        <v>3252</v>
      </c>
      <c r="B515" s="42" t="s">
        <v>2524</v>
      </c>
      <c r="C515" s="42" t="s">
        <v>2525</v>
      </c>
      <c r="D515" s="53" t="s">
        <v>3253</v>
      </c>
      <c r="E515" s="53" t="s">
        <v>3254</v>
      </c>
      <c r="F515" s="53" t="s">
        <v>3255</v>
      </c>
      <c r="G515" s="43"/>
    </row>
    <row r="516" spans="1:7">
      <c r="A516" s="40" t="s">
        <v>3256</v>
      </c>
      <c r="B516" s="40" t="s">
        <v>2524</v>
      </c>
      <c r="C516" s="40" t="s">
        <v>2525</v>
      </c>
      <c r="D516" s="51" t="s">
        <v>3257</v>
      </c>
      <c r="E516" s="51" t="s">
        <v>3258</v>
      </c>
      <c r="F516" s="51" t="s">
        <v>3259</v>
      </c>
      <c r="G516" s="52"/>
    </row>
    <row r="517" spans="1:7">
      <c r="A517" s="42" t="s">
        <v>3260</v>
      </c>
      <c r="B517" s="42" t="s">
        <v>2524</v>
      </c>
      <c r="C517" s="42" t="s">
        <v>2525</v>
      </c>
      <c r="D517" s="53" t="s">
        <v>3257</v>
      </c>
      <c r="E517" s="53" t="s">
        <v>3261</v>
      </c>
      <c r="F517" s="53" t="s">
        <v>3262</v>
      </c>
      <c r="G517" s="43"/>
    </row>
    <row r="518" spans="1:7">
      <c r="A518" s="40" t="s">
        <v>3263</v>
      </c>
      <c r="B518" s="40" t="s">
        <v>2524</v>
      </c>
      <c r="C518" s="40" t="s">
        <v>2525</v>
      </c>
      <c r="D518" s="51" t="s">
        <v>3264</v>
      </c>
      <c r="E518" s="51" t="s">
        <v>3265</v>
      </c>
      <c r="F518" s="51" t="s">
        <v>3266</v>
      </c>
      <c r="G518" s="52"/>
    </row>
    <row r="519" spans="1:7">
      <c r="A519" s="42" t="s">
        <v>3267</v>
      </c>
      <c r="B519" s="42" t="s">
        <v>2524</v>
      </c>
      <c r="C519" s="42" t="s">
        <v>2525</v>
      </c>
      <c r="D519" s="53" t="s">
        <v>3268</v>
      </c>
      <c r="E519" s="53" t="s">
        <v>3269</v>
      </c>
      <c r="F519" s="53" t="s">
        <v>3270</v>
      </c>
      <c r="G519" s="43"/>
    </row>
    <row r="520" spans="1:7">
      <c r="A520" s="40" t="s">
        <v>3271</v>
      </c>
      <c r="B520" s="40" t="s">
        <v>2524</v>
      </c>
      <c r="C520" s="40" t="s">
        <v>2525</v>
      </c>
      <c r="D520" s="51" t="s">
        <v>3272</v>
      </c>
      <c r="E520" s="51" t="s">
        <v>3273</v>
      </c>
      <c r="F520" s="51" t="s">
        <v>3274</v>
      </c>
      <c r="G520" s="52"/>
    </row>
    <row r="521" spans="1:7">
      <c r="A521" s="42" t="s">
        <v>3275</v>
      </c>
      <c r="B521" s="42" t="s">
        <v>2524</v>
      </c>
      <c r="C521" s="42" t="s">
        <v>2525</v>
      </c>
      <c r="D521" s="53" t="s">
        <v>3276</v>
      </c>
      <c r="E521" s="53" t="s">
        <v>3277</v>
      </c>
      <c r="F521" s="53" t="s">
        <v>3278</v>
      </c>
      <c r="G521" s="43"/>
    </row>
    <row r="522" spans="1:7">
      <c r="A522" s="40" t="s">
        <v>3279</v>
      </c>
      <c r="B522" s="40" t="s">
        <v>2524</v>
      </c>
      <c r="C522" s="40" t="s">
        <v>2525</v>
      </c>
      <c r="D522" s="51" t="s">
        <v>3280</v>
      </c>
      <c r="E522" s="51" t="s">
        <v>3281</v>
      </c>
      <c r="F522" s="51" t="s">
        <v>3282</v>
      </c>
      <c r="G522" s="52"/>
    </row>
    <row r="523" spans="1:7">
      <c r="A523" s="42" t="s">
        <v>3283</v>
      </c>
      <c r="B523" s="42" t="s">
        <v>2524</v>
      </c>
      <c r="C523" s="42" t="s">
        <v>2525</v>
      </c>
      <c r="D523" s="53" t="s">
        <v>3284</v>
      </c>
      <c r="E523" s="53" t="s">
        <v>3285</v>
      </c>
      <c r="F523" s="53" t="s">
        <v>3286</v>
      </c>
      <c r="G523" s="43"/>
    </row>
    <row r="524" spans="1:7">
      <c r="A524" s="40" t="s">
        <v>3287</v>
      </c>
      <c r="B524" s="40" t="s">
        <v>2524</v>
      </c>
      <c r="C524" s="40" t="s">
        <v>2525</v>
      </c>
      <c r="D524" s="51" t="s">
        <v>3288</v>
      </c>
      <c r="E524" s="51" t="s">
        <v>3289</v>
      </c>
      <c r="F524" s="51" t="s">
        <v>3290</v>
      </c>
      <c r="G524" s="52"/>
    </row>
    <row r="525" spans="1:7">
      <c r="A525" s="42" t="s">
        <v>3291</v>
      </c>
      <c r="B525" s="42" t="s">
        <v>2524</v>
      </c>
      <c r="C525" s="42" t="s">
        <v>2525</v>
      </c>
      <c r="D525" s="53" t="s">
        <v>3292</v>
      </c>
      <c r="E525" s="53" t="s">
        <v>3293</v>
      </c>
      <c r="F525" s="53" t="s">
        <v>3294</v>
      </c>
      <c r="G525" s="43"/>
    </row>
    <row r="526" spans="1:7">
      <c r="A526" s="40" t="s">
        <v>3295</v>
      </c>
      <c r="B526" s="40" t="s">
        <v>2524</v>
      </c>
      <c r="C526" s="40" t="s">
        <v>2525</v>
      </c>
      <c r="D526" s="51" t="s">
        <v>3296</v>
      </c>
      <c r="E526" s="51" t="s">
        <v>3297</v>
      </c>
      <c r="F526" s="51" t="s">
        <v>3298</v>
      </c>
      <c r="G526" s="52"/>
    </row>
    <row r="527" spans="1:7">
      <c r="A527" s="42" t="s">
        <v>3299</v>
      </c>
      <c r="B527" s="42" t="s">
        <v>2524</v>
      </c>
      <c r="C527" s="42" t="s">
        <v>2525</v>
      </c>
      <c r="D527" s="53" t="s">
        <v>3300</v>
      </c>
      <c r="E527" s="53" t="s">
        <v>3301</v>
      </c>
      <c r="F527" s="53" t="s">
        <v>3302</v>
      </c>
      <c r="G527" s="43"/>
    </row>
    <row r="528" spans="1:7">
      <c r="A528" s="40" t="s">
        <v>3303</v>
      </c>
      <c r="B528" s="40" t="s">
        <v>2524</v>
      </c>
      <c r="C528" s="40" t="s">
        <v>2525</v>
      </c>
      <c r="D528" s="51" t="s">
        <v>3304</v>
      </c>
      <c r="E528" s="51" t="s">
        <v>3305</v>
      </c>
      <c r="F528" s="51" t="s">
        <v>3306</v>
      </c>
      <c r="G528" s="52"/>
    </row>
    <row r="529" spans="1:7">
      <c r="A529" s="42" t="s">
        <v>3307</v>
      </c>
      <c r="B529" s="42" t="s">
        <v>2524</v>
      </c>
      <c r="C529" s="42" t="s">
        <v>2525</v>
      </c>
      <c r="D529" s="53" t="s">
        <v>3308</v>
      </c>
      <c r="E529" s="53" t="s">
        <v>3309</v>
      </c>
      <c r="F529" s="53" t="s">
        <v>3310</v>
      </c>
      <c r="G529" s="43"/>
    </row>
    <row r="530" spans="1:7">
      <c r="A530" s="40" t="s">
        <v>3311</v>
      </c>
      <c r="B530" s="40" t="s">
        <v>2524</v>
      </c>
      <c r="C530" s="40" t="s">
        <v>2525</v>
      </c>
      <c r="D530" s="51" t="s">
        <v>3312</v>
      </c>
      <c r="E530" s="51" t="s">
        <v>3313</v>
      </c>
      <c r="F530" s="51" t="s">
        <v>3314</v>
      </c>
      <c r="G530" s="52"/>
    </row>
    <row r="531" spans="1:7">
      <c r="A531" s="42" t="s">
        <v>3315</v>
      </c>
      <c r="B531" s="42" t="s">
        <v>2524</v>
      </c>
      <c r="C531" s="42" t="s">
        <v>2525</v>
      </c>
      <c r="D531" s="53" t="s">
        <v>3316</v>
      </c>
      <c r="E531" s="53" t="s">
        <v>3317</v>
      </c>
      <c r="F531" s="53" t="s">
        <v>3318</v>
      </c>
      <c r="G531" s="43"/>
    </row>
    <row r="532" spans="1:7">
      <c r="A532" s="40" t="s">
        <v>3319</v>
      </c>
      <c r="B532" s="40" t="s">
        <v>2524</v>
      </c>
      <c r="C532" s="40" t="s">
        <v>2525</v>
      </c>
      <c r="D532" s="51" t="s">
        <v>3320</v>
      </c>
      <c r="E532" s="51" t="s">
        <v>3321</v>
      </c>
      <c r="F532" s="51" t="s">
        <v>3322</v>
      </c>
      <c r="G532" s="52"/>
    </row>
    <row r="533" spans="1:7">
      <c r="A533" s="42" t="s">
        <v>3323</v>
      </c>
      <c r="B533" s="42" t="s">
        <v>2524</v>
      </c>
      <c r="C533" s="42" t="s">
        <v>2525</v>
      </c>
      <c r="D533" s="53" t="s">
        <v>3324</v>
      </c>
      <c r="E533" s="53" t="s">
        <v>3325</v>
      </c>
      <c r="F533" s="53" t="s">
        <v>3326</v>
      </c>
      <c r="G533" s="43"/>
    </row>
    <row r="534" spans="1:7">
      <c r="A534" s="40" t="s">
        <v>3327</v>
      </c>
      <c r="B534" s="40" t="s">
        <v>2524</v>
      </c>
      <c r="C534" s="40" t="s">
        <v>2525</v>
      </c>
      <c r="D534" s="51" t="s">
        <v>3328</v>
      </c>
      <c r="E534" s="51" t="s">
        <v>3329</v>
      </c>
      <c r="F534" s="51" t="s">
        <v>3330</v>
      </c>
      <c r="G534" s="52"/>
    </row>
    <row r="535" spans="1:7">
      <c r="A535" s="42" t="s">
        <v>3331</v>
      </c>
      <c r="B535" s="42" t="s">
        <v>2524</v>
      </c>
      <c r="C535" s="42" t="s">
        <v>2525</v>
      </c>
      <c r="D535" s="53" t="s">
        <v>3332</v>
      </c>
      <c r="E535" s="53" t="s">
        <v>3333</v>
      </c>
      <c r="F535" s="53" t="s">
        <v>3334</v>
      </c>
      <c r="G535" s="43"/>
    </row>
    <row r="536" spans="1:7">
      <c r="A536" s="40" t="s">
        <v>3335</v>
      </c>
      <c r="B536" s="40" t="s">
        <v>2524</v>
      </c>
      <c r="C536" s="40" t="s">
        <v>2525</v>
      </c>
      <c r="D536" s="51" t="s">
        <v>3336</v>
      </c>
      <c r="E536" s="51" t="s">
        <v>3337</v>
      </c>
      <c r="F536" s="51" t="s">
        <v>3338</v>
      </c>
      <c r="G536" s="52"/>
    </row>
    <row r="537" spans="1:7">
      <c r="A537" s="42" t="s">
        <v>3339</v>
      </c>
      <c r="B537" s="42" t="s">
        <v>2524</v>
      </c>
      <c r="C537" s="42" t="s">
        <v>2525</v>
      </c>
      <c r="D537" s="53" t="s">
        <v>3336</v>
      </c>
      <c r="E537" s="53" t="s">
        <v>3340</v>
      </c>
      <c r="F537" s="53" t="s">
        <v>3341</v>
      </c>
      <c r="G537" s="43"/>
    </row>
    <row r="538" spans="1:7">
      <c r="A538" s="40" t="s">
        <v>3342</v>
      </c>
      <c r="B538" s="40" t="s">
        <v>2524</v>
      </c>
      <c r="C538" s="40" t="s">
        <v>2525</v>
      </c>
      <c r="D538" s="51" t="s">
        <v>3343</v>
      </c>
      <c r="E538" s="51" t="s">
        <v>3344</v>
      </c>
      <c r="F538" s="51" t="s">
        <v>3345</v>
      </c>
      <c r="G538" s="52"/>
    </row>
    <row r="539" spans="1:7">
      <c r="A539" s="42" t="s">
        <v>3346</v>
      </c>
      <c r="B539" s="42" t="s">
        <v>2524</v>
      </c>
      <c r="C539" s="42" t="s">
        <v>2525</v>
      </c>
      <c r="D539" s="53" t="s">
        <v>3343</v>
      </c>
      <c r="E539" s="53" t="s">
        <v>3347</v>
      </c>
      <c r="F539" s="53" t="s">
        <v>3348</v>
      </c>
      <c r="G539" s="43"/>
    </row>
    <row r="540" spans="1:7">
      <c r="A540" s="40" t="s">
        <v>3349</v>
      </c>
      <c r="B540" s="40" t="s">
        <v>2524</v>
      </c>
      <c r="C540" s="40" t="s">
        <v>2525</v>
      </c>
      <c r="D540" s="51" t="s">
        <v>3350</v>
      </c>
      <c r="E540" s="51" t="s">
        <v>3351</v>
      </c>
      <c r="F540" s="51" t="s">
        <v>3352</v>
      </c>
      <c r="G540" s="52"/>
    </row>
    <row r="541" spans="1:7">
      <c r="A541" s="42" t="s">
        <v>3353</v>
      </c>
      <c r="B541" s="42" t="s">
        <v>2524</v>
      </c>
      <c r="C541" s="42" t="s">
        <v>2525</v>
      </c>
      <c r="D541" s="53" t="s">
        <v>3350</v>
      </c>
      <c r="E541" s="53" t="s">
        <v>3354</v>
      </c>
      <c r="F541" s="53" t="s">
        <v>3355</v>
      </c>
      <c r="G541" s="43"/>
    </row>
    <row r="542" spans="1:7">
      <c r="A542" s="40" t="s">
        <v>3356</v>
      </c>
      <c r="B542" s="40" t="s">
        <v>2524</v>
      </c>
      <c r="C542" s="40" t="s">
        <v>2525</v>
      </c>
      <c r="D542" s="51" t="s">
        <v>3357</v>
      </c>
      <c r="E542" s="51" t="s">
        <v>3358</v>
      </c>
      <c r="F542" s="51" t="s">
        <v>3359</v>
      </c>
      <c r="G542" s="52"/>
    </row>
    <row r="543" spans="1:7">
      <c r="A543" s="42" t="s">
        <v>3360</v>
      </c>
      <c r="B543" s="42" t="s">
        <v>2524</v>
      </c>
      <c r="C543" s="42" t="s">
        <v>2525</v>
      </c>
      <c r="D543" s="53" t="s">
        <v>3357</v>
      </c>
      <c r="E543" s="53" t="s">
        <v>3361</v>
      </c>
      <c r="F543" s="53" t="s">
        <v>3362</v>
      </c>
      <c r="G543" s="43"/>
    </row>
    <row r="544" spans="1:7">
      <c r="A544" s="29" t="s">
        <v>3363</v>
      </c>
      <c r="B544" s="29" t="s">
        <v>2524</v>
      </c>
      <c r="C544" s="29" t="s">
        <v>2525</v>
      </c>
      <c r="D544" s="54" t="s">
        <v>3357</v>
      </c>
      <c r="E544" s="54" t="s">
        <v>3364</v>
      </c>
      <c r="F544" s="54" t="s">
        <v>3365</v>
      </c>
      <c r="G544" s="34"/>
    </row>
    <row r="545" spans="1:6">
      <c r="A545" s="44"/>
      <c r="B545" s="44" t="s">
        <v>3366</v>
      </c>
      <c r="C545" s="45" t="s">
        <v>1635</v>
      </c>
      <c r="D545" s="45" t="s">
        <v>3367</v>
      </c>
      <c r="E545" s="45" t="s">
        <v>3368</v>
      </c>
      <c r="F545" s="46" t="s">
        <v>3369</v>
      </c>
    </row>
    <row r="546" spans="1:6">
      <c r="A546" s="47"/>
      <c r="B546" s="47" t="s">
        <v>3366</v>
      </c>
      <c r="C546" s="48" t="s">
        <v>1635</v>
      </c>
      <c r="D546" s="48" t="s">
        <v>3370</v>
      </c>
      <c r="E546" s="48" t="s">
        <v>3371</v>
      </c>
      <c r="F546" s="49" t="s">
        <v>3372</v>
      </c>
    </row>
    <row r="547" spans="1:6">
      <c r="A547" s="44"/>
      <c r="B547" s="44" t="s">
        <v>3366</v>
      </c>
      <c r="C547" s="45" t="s">
        <v>1635</v>
      </c>
      <c r="D547" s="45" t="s">
        <v>3373</v>
      </c>
      <c r="E547" s="45" t="s">
        <v>3374</v>
      </c>
      <c r="F547" s="50" t="s">
        <v>3375</v>
      </c>
    </row>
    <row r="548" spans="1:6">
      <c r="A548" s="47"/>
      <c r="B548" s="47" t="s">
        <v>3366</v>
      </c>
      <c r="C548" s="48" t="s">
        <v>1635</v>
      </c>
      <c r="D548" s="48" t="s">
        <v>3376</v>
      </c>
      <c r="E548" s="48" t="s">
        <v>3377</v>
      </c>
      <c r="F548" s="49" t="s">
        <v>3378</v>
      </c>
    </row>
    <row r="549" spans="1:6">
      <c r="A549" s="44"/>
      <c r="B549" s="44" t="s">
        <v>3366</v>
      </c>
      <c r="C549" s="45" t="s">
        <v>1635</v>
      </c>
      <c r="D549" s="45" t="s">
        <v>3379</v>
      </c>
      <c r="E549" s="45" t="s">
        <v>3380</v>
      </c>
      <c r="F549" s="50" t="s">
        <v>3381</v>
      </c>
    </row>
    <row r="550" spans="1:6">
      <c r="A550" s="47"/>
      <c r="B550" s="47" t="s">
        <v>3366</v>
      </c>
      <c r="C550" s="48" t="s">
        <v>1635</v>
      </c>
      <c r="D550" s="48" t="s">
        <v>3382</v>
      </c>
      <c r="E550" s="48" t="s">
        <v>3383</v>
      </c>
      <c r="F550" s="49" t="s">
        <v>3384</v>
      </c>
    </row>
    <row r="551" spans="1:6">
      <c r="A551" s="44"/>
      <c r="B551" s="44" t="s">
        <v>3366</v>
      </c>
      <c r="C551" s="45" t="s">
        <v>1635</v>
      </c>
      <c r="D551" s="45" t="s">
        <v>3385</v>
      </c>
      <c r="E551" s="45" t="s">
        <v>3386</v>
      </c>
      <c r="F551" s="50" t="s">
        <v>3387</v>
      </c>
    </row>
    <row r="552" spans="1:6">
      <c r="A552" s="47"/>
      <c r="B552" s="47" t="s">
        <v>3366</v>
      </c>
      <c r="C552" s="48" t="s">
        <v>1635</v>
      </c>
      <c r="D552" s="48" t="s">
        <v>3388</v>
      </c>
      <c r="E552" s="48" t="s">
        <v>3389</v>
      </c>
      <c r="F552" s="49" t="s">
        <v>3390</v>
      </c>
    </row>
    <row r="553" spans="1:6">
      <c r="A553" s="44"/>
      <c r="B553" s="44" t="s">
        <v>3366</v>
      </c>
      <c r="C553" s="45" t="s">
        <v>1635</v>
      </c>
      <c r="D553" s="45" t="s">
        <v>3391</v>
      </c>
      <c r="E553" s="45" t="s">
        <v>3392</v>
      </c>
      <c r="F553" s="50" t="s">
        <v>3393</v>
      </c>
    </row>
    <row r="554" spans="1:6">
      <c r="A554" s="47"/>
      <c r="B554" s="47" t="s">
        <v>3366</v>
      </c>
      <c r="C554" s="48" t="s">
        <v>1635</v>
      </c>
      <c r="D554" s="48" t="s">
        <v>3394</v>
      </c>
      <c r="E554" s="48" t="s">
        <v>3395</v>
      </c>
      <c r="F554" s="49" t="s">
        <v>3396</v>
      </c>
    </row>
    <row r="555" spans="1:6">
      <c r="A555" s="44"/>
      <c r="B555" s="44" t="s">
        <v>3366</v>
      </c>
      <c r="C555" s="45" t="s">
        <v>1635</v>
      </c>
      <c r="D555" s="45" t="s">
        <v>3397</v>
      </c>
      <c r="E555" s="45" t="s">
        <v>3398</v>
      </c>
      <c r="F555" s="50" t="s">
        <v>3399</v>
      </c>
    </row>
    <row r="556" spans="1:6">
      <c r="A556" s="47"/>
      <c r="B556" s="47" t="s">
        <v>3366</v>
      </c>
      <c r="C556" s="48" t="s">
        <v>1635</v>
      </c>
      <c r="D556" s="48" t="s">
        <v>3400</v>
      </c>
      <c r="E556" s="48" t="s">
        <v>3401</v>
      </c>
      <c r="F556" s="49" t="s">
        <v>3402</v>
      </c>
    </row>
    <row r="557" spans="1:6">
      <c r="A557" s="44"/>
      <c r="B557" s="44" t="s">
        <v>3366</v>
      </c>
      <c r="C557" s="45" t="s">
        <v>1635</v>
      </c>
      <c r="D557" s="45" t="s">
        <v>3403</v>
      </c>
      <c r="E557" s="45" t="s">
        <v>3404</v>
      </c>
      <c r="F557" s="50" t="s">
        <v>3405</v>
      </c>
    </row>
    <row r="558" spans="1:6">
      <c r="A558" s="47"/>
      <c r="B558" s="47" t="s">
        <v>3366</v>
      </c>
      <c r="C558" s="48" t="s">
        <v>1635</v>
      </c>
      <c r="D558" s="48" t="s">
        <v>3406</v>
      </c>
      <c r="E558" s="48" t="s">
        <v>3407</v>
      </c>
      <c r="F558" s="49" t="s">
        <v>3408</v>
      </c>
    </row>
    <row r="559" spans="1:6">
      <c r="A559" s="44"/>
      <c r="B559" s="44" t="s">
        <v>3366</v>
      </c>
      <c r="C559" s="45" t="s">
        <v>1635</v>
      </c>
      <c r="D559" s="45" t="s">
        <v>3409</v>
      </c>
      <c r="E559" s="45" t="s">
        <v>3410</v>
      </c>
      <c r="F559" s="50" t="s">
        <v>3411</v>
      </c>
    </row>
    <row r="560" spans="1:6">
      <c r="A560" s="47"/>
      <c r="B560" s="47" t="s">
        <v>3366</v>
      </c>
      <c r="C560" s="48" t="s">
        <v>1635</v>
      </c>
      <c r="D560" s="48" t="s">
        <v>3412</v>
      </c>
      <c r="E560" s="48" t="s">
        <v>3413</v>
      </c>
      <c r="F560" s="49" t="s">
        <v>3414</v>
      </c>
    </row>
    <row r="561" spans="1:6">
      <c r="A561" s="44"/>
      <c r="B561" s="44" t="s">
        <v>3366</v>
      </c>
      <c r="C561" s="45" t="s">
        <v>1635</v>
      </c>
      <c r="D561" s="45" t="s">
        <v>3415</v>
      </c>
      <c r="E561" s="45" t="s">
        <v>3416</v>
      </c>
      <c r="F561" s="50" t="s">
        <v>3417</v>
      </c>
    </row>
    <row r="562" spans="1:6">
      <c r="A562" s="47"/>
      <c r="B562" s="47" t="s">
        <v>3366</v>
      </c>
      <c r="C562" s="48" t="s">
        <v>1635</v>
      </c>
      <c r="D562" s="48" t="s">
        <v>3418</v>
      </c>
      <c r="E562" s="48" t="s">
        <v>3419</v>
      </c>
      <c r="F562" s="49" t="s">
        <v>3420</v>
      </c>
    </row>
    <row r="563" spans="1:6">
      <c r="A563" s="44"/>
      <c r="B563" s="44" t="s">
        <v>3366</v>
      </c>
      <c r="C563" s="45" t="s">
        <v>1635</v>
      </c>
      <c r="D563" s="45" t="s">
        <v>3421</v>
      </c>
      <c r="E563" s="45" t="s">
        <v>3422</v>
      </c>
      <c r="F563" s="50" t="s">
        <v>3423</v>
      </c>
    </row>
    <row r="564" spans="1:6">
      <c r="A564" s="47"/>
      <c r="B564" s="47" t="s">
        <v>3366</v>
      </c>
      <c r="C564" s="48" t="s">
        <v>1635</v>
      </c>
      <c r="D564" s="48" t="s">
        <v>3424</v>
      </c>
      <c r="E564" s="48" t="s">
        <v>3425</v>
      </c>
      <c r="F564" s="49" t="s">
        <v>3426</v>
      </c>
    </row>
    <row r="565" spans="1:6">
      <c r="A565" s="44"/>
      <c r="B565" s="44" t="s">
        <v>3366</v>
      </c>
      <c r="C565" s="45" t="s">
        <v>1635</v>
      </c>
      <c r="D565" s="45" t="s">
        <v>3427</v>
      </c>
      <c r="E565" s="45" t="s">
        <v>3428</v>
      </c>
      <c r="F565" s="50" t="s">
        <v>1636</v>
      </c>
    </row>
    <row r="566" spans="1:6">
      <c r="A566" s="47"/>
      <c r="B566" s="47" t="s">
        <v>3366</v>
      </c>
      <c r="C566" s="48" t="s">
        <v>1635</v>
      </c>
      <c r="D566" s="48" t="s">
        <v>3429</v>
      </c>
      <c r="E566" s="48" t="s">
        <v>3430</v>
      </c>
      <c r="F566" s="49" t="s">
        <v>3431</v>
      </c>
    </row>
    <row r="567" spans="1:6">
      <c r="A567" s="44"/>
      <c r="B567" s="44" t="s">
        <v>3366</v>
      </c>
      <c r="C567" s="45" t="s">
        <v>1635</v>
      </c>
      <c r="D567" s="45" t="s">
        <v>3432</v>
      </c>
      <c r="E567" s="45" t="s">
        <v>3433</v>
      </c>
      <c r="F567" s="50" t="s">
        <v>1637</v>
      </c>
    </row>
    <row r="568" spans="1:6">
      <c r="A568" s="47"/>
      <c r="B568" s="47" t="s">
        <v>3366</v>
      </c>
      <c r="C568" s="48" t="s">
        <v>1635</v>
      </c>
      <c r="D568" s="48" t="s">
        <v>3434</v>
      </c>
      <c r="E568" s="48" t="s">
        <v>3435</v>
      </c>
      <c r="F568" s="49" t="s">
        <v>3436</v>
      </c>
    </row>
    <row r="569" spans="1:6">
      <c r="A569" s="44"/>
      <c r="B569" s="44" t="s">
        <v>3366</v>
      </c>
      <c r="C569" s="45" t="s">
        <v>1635</v>
      </c>
      <c r="D569" s="45" t="s">
        <v>3437</v>
      </c>
      <c r="E569" s="45" t="s">
        <v>3438</v>
      </c>
      <c r="F569" s="50" t="s">
        <v>3439</v>
      </c>
    </row>
    <row r="570" spans="1:6">
      <c r="A570" s="47"/>
      <c r="B570" s="47" t="s">
        <v>3366</v>
      </c>
      <c r="C570" s="48" t="s">
        <v>1635</v>
      </c>
      <c r="D570" s="48" t="s">
        <v>3440</v>
      </c>
      <c r="E570" s="48" t="s">
        <v>3441</v>
      </c>
      <c r="F570" s="49" t="s">
        <v>3442</v>
      </c>
    </row>
    <row r="571" spans="1:6">
      <c r="A571" s="44"/>
      <c r="B571" s="44" t="s">
        <v>3366</v>
      </c>
      <c r="C571" s="45" t="s">
        <v>1635</v>
      </c>
      <c r="D571" s="45" t="s">
        <v>3443</v>
      </c>
      <c r="E571" s="45" t="s">
        <v>3444</v>
      </c>
      <c r="F571" s="50" t="s">
        <v>3445</v>
      </c>
    </row>
    <row r="572" spans="1:6">
      <c r="A572" s="47"/>
      <c r="B572" s="47" t="s">
        <v>3366</v>
      </c>
      <c r="C572" s="48" t="s">
        <v>1635</v>
      </c>
      <c r="D572" s="48" t="s">
        <v>3446</v>
      </c>
      <c r="E572" s="48" t="s">
        <v>3447</v>
      </c>
      <c r="F572" s="49" t="s">
        <v>3448</v>
      </c>
    </row>
    <row r="573" spans="1:6">
      <c r="A573" s="44"/>
      <c r="B573" s="44" t="s">
        <v>3366</v>
      </c>
      <c r="C573" s="45" t="s">
        <v>1635</v>
      </c>
      <c r="D573" s="45" t="s">
        <v>3449</v>
      </c>
      <c r="E573" s="45" t="s">
        <v>67</v>
      </c>
      <c r="F573" s="50" t="s">
        <v>3450</v>
      </c>
    </row>
    <row r="574" spans="1:6">
      <c r="A574" s="47"/>
      <c r="B574" s="47" t="s">
        <v>3366</v>
      </c>
      <c r="C574" s="48" t="s">
        <v>1635</v>
      </c>
      <c r="D574" s="48" t="s">
        <v>3451</v>
      </c>
      <c r="E574" s="48" t="s">
        <v>3452</v>
      </c>
      <c r="F574" s="49" t="s">
        <v>3453</v>
      </c>
    </row>
    <row r="575" spans="1:6">
      <c r="A575" s="44"/>
      <c r="B575" s="44" t="s">
        <v>3366</v>
      </c>
      <c r="C575" s="45" t="s">
        <v>1635</v>
      </c>
      <c r="D575" s="45" t="s">
        <v>3454</v>
      </c>
      <c r="E575" s="45" t="s">
        <v>3455</v>
      </c>
      <c r="F575" s="50" t="s">
        <v>3456</v>
      </c>
    </row>
    <row r="576" spans="1:6">
      <c r="A576" s="47"/>
      <c r="B576" s="47" t="s">
        <v>3366</v>
      </c>
      <c r="C576" s="48" t="s">
        <v>1635</v>
      </c>
      <c r="D576" s="48" t="s">
        <v>3457</v>
      </c>
      <c r="E576" s="48" t="s">
        <v>3458</v>
      </c>
      <c r="F576" s="49" t="s">
        <v>1638</v>
      </c>
    </row>
    <row r="577" spans="1:6">
      <c r="A577" s="44"/>
      <c r="B577" s="44" t="s">
        <v>3366</v>
      </c>
      <c r="C577" s="45" t="s">
        <v>1635</v>
      </c>
      <c r="D577" s="45" t="s">
        <v>3459</v>
      </c>
      <c r="E577" s="45" t="s">
        <v>3460</v>
      </c>
      <c r="F577" s="50" t="s">
        <v>1639</v>
      </c>
    </row>
    <row r="578" spans="1:6">
      <c r="A578" s="47"/>
      <c r="B578" s="47" t="s">
        <v>3366</v>
      </c>
      <c r="C578" s="48" t="s">
        <v>1635</v>
      </c>
      <c r="D578" s="48" t="s">
        <v>3461</v>
      </c>
      <c r="E578" s="48" t="s">
        <v>3462</v>
      </c>
      <c r="F578" s="49" t="s">
        <v>3463</v>
      </c>
    </row>
    <row r="579" spans="1:6">
      <c r="A579" s="44"/>
      <c r="B579" s="44" t="s">
        <v>3366</v>
      </c>
      <c r="C579" s="45" t="s">
        <v>1635</v>
      </c>
      <c r="D579" s="45" t="s">
        <v>3464</v>
      </c>
      <c r="E579" s="45" t="s">
        <v>3465</v>
      </c>
      <c r="F579" s="50" t="s">
        <v>3466</v>
      </c>
    </row>
    <row r="580" spans="1:6">
      <c r="A580" s="47"/>
      <c r="B580" s="47" t="s">
        <v>3366</v>
      </c>
      <c r="C580" s="48" t="s">
        <v>1635</v>
      </c>
      <c r="D580" s="48" t="s">
        <v>3467</v>
      </c>
      <c r="E580" s="48" t="s">
        <v>3468</v>
      </c>
      <c r="F580" s="49" t="s">
        <v>1640</v>
      </c>
    </row>
    <row r="581" spans="1:6">
      <c r="A581" s="44"/>
      <c r="B581" s="44" t="s">
        <v>3366</v>
      </c>
      <c r="C581" s="45" t="s">
        <v>1635</v>
      </c>
      <c r="D581" s="45" t="s">
        <v>12</v>
      </c>
      <c r="E581" s="45" t="s">
        <v>3469</v>
      </c>
      <c r="F581" s="50" t="s">
        <v>1641</v>
      </c>
    </row>
    <row r="582" spans="1:6">
      <c r="A582" s="47"/>
      <c r="B582" s="47" t="s">
        <v>3366</v>
      </c>
      <c r="C582" s="48" t="s">
        <v>1635</v>
      </c>
      <c r="D582" s="48" t="s">
        <v>3470</v>
      </c>
      <c r="E582" s="48" t="s">
        <v>66</v>
      </c>
      <c r="F582" s="49" t="s">
        <v>3471</v>
      </c>
    </row>
    <row r="583" spans="1:6">
      <c r="A583" s="44"/>
      <c r="B583" s="44" t="s">
        <v>3366</v>
      </c>
      <c r="C583" s="45" t="s">
        <v>1635</v>
      </c>
      <c r="D583" s="45" t="s">
        <v>3472</v>
      </c>
      <c r="E583" s="45" t="s">
        <v>65</v>
      </c>
      <c r="F583" s="50" t="s">
        <v>1643</v>
      </c>
    </row>
    <row r="584" spans="1:6">
      <c r="A584" s="47"/>
      <c r="B584" s="47" t="s">
        <v>3366</v>
      </c>
      <c r="C584" s="48" t="s">
        <v>1635</v>
      </c>
      <c r="D584" s="48" t="s">
        <v>3473</v>
      </c>
      <c r="E584" s="48" t="s">
        <v>3474</v>
      </c>
      <c r="F584" s="49" t="s">
        <v>3475</v>
      </c>
    </row>
    <row r="585" spans="1:6">
      <c r="A585" s="44"/>
      <c r="B585" s="44" t="s">
        <v>3366</v>
      </c>
      <c r="C585" s="45" t="s">
        <v>1635</v>
      </c>
      <c r="D585" s="45" t="s">
        <v>3476</v>
      </c>
      <c r="E585" s="45" t="s">
        <v>3477</v>
      </c>
      <c r="F585" s="50" t="s">
        <v>3478</v>
      </c>
    </row>
    <row r="586" spans="1:6">
      <c r="A586" s="47"/>
      <c r="B586" s="47" t="s">
        <v>3366</v>
      </c>
      <c r="C586" s="48" t="s">
        <v>1635</v>
      </c>
      <c r="D586" s="48" t="s">
        <v>3479</v>
      </c>
      <c r="E586" s="48" t="s">
        <v>3480</v>
      </c>
      <c r="F586" s="49" t="s">
        <v>3481</v>
      </c>
    </row>
    <row r="587" spans="1:6">
      <c r="A587" s="44"/>
      <c r="B587" s="44" t="s">
        <v>3366</v>
      </c>
      <c r="C587" s="45" t="s">
        <v>1635</v>
      </c>
      <c r="D587" s="45" t="s">
        <v>3482</v>
      </c>
      <c r="E587" s="45" t="s">
        <v>3483</v>
      </c>
      <c r="F587" s="50" t="s">
        <v>3484</v>
      </c>
    </row>
    <row r="588" spans="1:6">
      <c r="A588" s="47"/>
      <c r="B588" s="47" t="s">
        <v>3366</v>
      </c>
      <c r="C588" s="48" t="s">
        <v>1635</v>
      </c>
      <c r="D588" s="48" t="s">
        <v>3485</v>
      </c>
      <c r="E588" s="48" t="s">
        <v>3486</v>
      </c>
      <c r="F588" s="49" t="s">
        <v>3487</v>
      </c>
    </row>
    <row r="589" spans="1:6">
      <c r="A589" s="44"/>
      <c r="B589" s="44" t="s">
        <v>3366</v>
      </c>
      <c r="C589" s="45" t="s">
        <v>1635</v>
      </c>
      <c r="D589" s="45" t="s">
        <v>3488</v>
      </c>
      <c r="E589" s="45" t="s">
        <v>3489</v>
      </c>
      <c r="F589" s="50" t="s">
        <v>1644</v>
      </c>
    </row>
    <row r="590" spans="1:6">
      <c r="A590" s="47"/>
      <c r="B590" s="47" t="s">
        <v>3366</v>
      </c>
      <c r="C590" s="48" t="s">
        <v>1635</v>
      </c>
      <c r="D590" s="48" t="s">
        <v>3490</v>
      </c>
      <c r="E590" s="48" t="s">
        <v>3491</v>
      </c>
      <c r="F590" s="49" t="s">
        <v>1645</v>
      </c>
    </row>
    <row r="591" spans="1:6">
      <c r="A591" s="44"/>
      <c r="B591" s="44" t="s">
        <v>3366</v>
      </c>
      <c r="C591" s="45" t="s">
        <v>1635</v>
      </c>
      <c r="D591" s="45" t="s">
        <v>3492</v>
      </c>
      <c r="E591" s="45" t="s">
        <v>3493</v>
      </c>
      <c r="F591" s="50" t="s">
        <v>3494</v>
      </c>
    </row>
    <row r="592" spans="1:6">
      <c r="A592" s="47"/>
      <c r="B592" s="47" t="s">
        <v>3366</v>
      </c>
      <c r="C592" s="48" t="s">
        <v>1635</v>
      </c>
      <c r="D592" s="48" t="s">
        <v>3495</v>
      </c>
      <c r="E592" s="48" t="s">
        <v>3496</v>
      </c>
      <c r="F592" s="49" t="s">
        <v>3497</v>
      </c>
    </row>
    <row r="593" spans="1:6">
      <c r="A593" s="44"/>
      <c r="B593" s="44" t="s">
        <v>3366</v>
      </c>
      <c r="C593" s="45" t="s">
        <v>1635</v>
      </c>
      <c r="D593" s="45" t="s">
        <v>3498</v>
      </c>
      <c r="E593" s="45" t="s">
        <v>64</v>
      </c>
      <c r="F593" s="50" t="s">
        <v>3499</v>
      </c>
    </row>
    <row r="594" spans="1:6">
      <c r="A594" s="47"/>
      <c r="B594" s="47" t="s">
        <v>3366</v>
      </c>
      <c r="C594" s="48" t="s">
        <v>1635</v>
      </c>
      <c r="D594" s="48" t="s">
        <v>3500</v>
      </c>
      <c r="E594" s="48" t="s">
        <v>3501</v>
      </c>
      <c r="F594" s="49" t="s">
        <v>1646</v>
      </c>
    </row>
    <row r="595" spans="1:6">
      <c r="A595" s="44"/>
      <c r="B595" s="44" t="s">
        <v>3366</v>
      </c>
      <c r="C595" s="45" t="s">
        <v>1635</v>
      </c>
      <c r="D595" s="45" t="s">
        <v>3502</v>
      </c>
      <c r="E595" s="45" t="s">
        <v>3503</v>
      </c>
      <c r="F595" s="50" t="s">
        <v>3504</v>
      </c>
    </row>
    <row r="596" spans="1:6">
      <c r="A596" s="47"/>
      <c r="B596" s="47" t="s">
        <v>3366</v>
      </c>
      <c r="C596" s="48" t="s">
        <v>1635</v>
      </c>
      <c r="D596" s="48" t="s">
        <v>3505</v>
      </c>
      <c r="E596" s="48" t="s">
        <v>3506</v>
      </c>
      <c r="F596" s="49" t="s">
        <v>3507</v>
      </c>
    </row>
    <row r="597" spans="1:6">
      <c r="A597" s="44"/>
      <c r="B597" s="44" t="s">
        <v>3366</v>
      </c>
      <c r="C597" s="45" t="s">
        <v>1635</v>
      </c>
      <c r="D597" s="45" t="s">
        <v>3508</v>
      </c>
      <c r="E597" s="45" t="s">
        <v>63</v>
      </c>
      <c r="F597" s="50" t="s">
        <v>3509</v>
      </c>
    </row>
    <row r="598" spans="1:6">
      <c r="A598" s="47"/>
      <c r="B598" s="47" t="s">
        <v>3366</v>
      </c>
      <c r="C598" s="48" t="s">
        <v>1635</v>
      </c>
      <c r="D598" s="48" t="s">
        <v>3510</v>
      </c>
      <c r="E598" s="48" t="s">
        <v>3511</v>
      </c>
      <c r="F598" s="49" t="s">
        <v>3512</v>
      </c>
    </row>
    <row r="599" spans="1:6">
      <c r="A599" s="44"/>
      <c r="B599" s="44" t="s">
        <v>3366</v>
      </c>
      <c r="C599" s="45" t="s">
        <v>1635</v>
      </c>
      <c r="D599" s="45" t="s">
        <v>3513</v>
      </c>
      <c r="E599" s="45" t="s">
        <v>62</v>
      </c>
      <c r="F599" s="50" t="s">
        <v>3514</v>
      </c>
    </row>
    <row r="600" spans="1:6">
      <c r="A600" s="47"/>
      <c r="B600" s="47" t="s">
        <v>3366</v>
      </c>
      <c r="C600" s="48" t="s">
        <v>1635</v>
      </c>
      <c r="D600" s="48" t="s">
        <v>3515</v>
      </c>
      <c r="E600" s="48" t="s">
        <v>3516</v>
      </c>
      <c r="F600" s="49" t="s">
        <v>3517</v>
      </c>
    </row>
    <row r="601" spans="1:6">
      <c r="A601" s="44"/>
      <c r="B601" s="44" t="s">
        <v>3366</v>
      </c>
      <c r="C601" s="45" t="s">
        <v>1635</v>
      </c>
      <c r="D601" s="45" t="s">
        <v>3518</v>
      </c>
      <c r="E601" s="45" t="s">
        <v>3519</v>
      </c>
      <c r="F601" s="50" t="s">
        <v>3520</v>
      </c>
    </row>
    <row r="602" spans="1:6">
      <c r="A602" s="47"/>
      <c r="B602" s="47" t="s">
        <v>3366</v>
      </c>
      <c r="C602" s="48" t="s">
        <v>1635</v>
      </c>
      <c r="D602" s="48" t="s">
        <v>3521</v>
      </c>
      <c r="E602" s="48" t="s">
        <v>3522</v>
      </c>
      <c r="F602" s="49" t="s">
        <v>3523</v>
      </c>
    </row>
    <row r="603" spans="1:6">
      <c r="A603" s="44"/>
      <c r="B603" s="44" t="s">
        <v>3366</v>
      </c>
      <c r="C603" s="45" t="s">
        <v>1635</v>
      </c>
      <c r="D603" s="45" t="s">
        <v>3524</v>
      </c>
      <c r="E603" s="45" t="s">
        <v>3525</v>
      </c>
      <c r="F603" s="50" t="s">
        <v>3526</v>
      </c>
    </row>
    <row r="604" spans="1:6">
      <c r="A604" s="47"/>
      <c r="B604" s="47" t="s">
        <v>3366</v>
      </c>
      <c r="C604" s="48" t="s">
        <v>1635</v>
      </c>
      <c r="D604" s="48" t="s">
        <v>3527</v>
      </c>
      <c r="E604" s="48" t="s">
        <v>3528</v>
      </c>
      <c r="F604" s="49" t="s">
        <v>3529</v>
      </c>
    </row>
    <row r="605" spans="1:6">
      <c r="A605" s="44"/>
      <c r="B605" s="44" t="s">
        <v>3366</v>
      </c>
      <c r="C605" s="45" t="s">
        <v>1635</v>
      </c>
      <c r="D605" s="45" t="s">
        <v>3530</v>
      </c>
      <c r="E605" s="45" t="s">
        <v>3531</v>
      </c>
      <c r="F605" s="50" t="s">
        <v>3532</v>
      </c>
    </row>
    <row r="606" spans="1:6">
      <c r="A606" s="47"/>
      <c r="B606" s="47" t="s">
        <v>3366</v>
      </c>
      <c r="C606" s="48" t="s">
        <v>1635</v>
      </c>
      <c r="D606" s="48" t="s">
        <v>3533</v>
      </c>
      <c r="E606" s="48" t="s">
        <v>3534</v>
      </c>
      <c r="F606" s="49" t="s">
        <v>1647</v>
      </c>
    </row>
    <row r="607" spans="1:6">
      <c r="A607" s="44"/>
      <c r="B607" s="44" t="s">
        <v>3366</v>
      </c>
      <c r="C607" s="45" t="s">
        <v>1635</v>
      </c>
      <c r="D607" s="45" t="s">
        <v>3535</v>
      </c>
      <c r="E607" s="45" t="s">
        <v>3536</v>
      </c>
      <c r="F607" s="50" t="s">
        <v>1648</v>
      </c>
    </row>
    <row r="608" spans="1:6">
      <c r="A608" s="47"/>
      <c r="B608" s="47" t="s">
        <v>3366</v>
      </c>
      <c r="C608" s="48" t="s">
        <v>1635</v>
      </c>
      <c r="D608" s="48" t="s">
        <v>3537</v>
      </c>
      <c r="E608" s="48" t="s">
        <v>3538</v>
      </c>
      <c r="F608" s="49" t="s">
        <v>3539</v>
      </c>
    </row>
    <row r="609" spans="1:6">
      <c r="A609" s="44"/>
      <c r="B609" s="44" t="s">
        <v>3366</v>
      </c>
      <c r="C609" s="45" t="s">
        <v>1635</v>
      </c>
      <c r="D609" s="45" t="s">
        <v>3540</v>
      </c>
      <c r="E609" s="45" t="s">
        <v>3541</v>
      </c>
      <c r="F609" s="50" t="s">
        <v>3542</v>
      </c>
    </row>
    <row r="610" spans="1:6">
      <c r="A610" s="47"/>
      <c r="B610" s="47" t="s">
        <v>3366</v>
      </c>
      <c r="C610" s="48" t="s">
        <v>1635</v>
      </c>
      <c r="D610" s="48" t="s">
        <v>3543</v>
      </c>
      <c r="E610" s="48" t="s">
        <v>61</v>
      </c>
      <c r="F610" s="49" t="s">
        <v>3544</v>
      </c>
    </row>
    <row r="611" spans="1:6">
      <c r="A611" s="44"/>
      <c r="B611" s="44" t="s">
        <v>3366</v>
      </c>
      <c r="C611" s="45" t="s">
        <v>1635</v>
      </c>
      <c r="D611" s="45" t="s">
        <v>3545</v>
      </c>
      <c r="E611" s="45" t="s">
        <v>3546</v>
      </c>
      <c r="F611" s="50" t="s">
        <v>3547</v>
      </c>
    </row>
    <row r="612" spans="1:6">
      <c r="A612" s="47"/>
      <c r="B612" s="47" t="s">
        <v>3366</v>
      </c>
      <c r="C612" s="48" t="s">
        <v>1635</v>
      </c>
      <c r="D612" s="48" t="s">
        <v>3548</v>
      </c>
      <c r="E612" s="48" t="s">
        <v>60</v>
      </c>
      <c r="F612" s="49" t="s">
        <v>3549</v>
      </c>
    </row>
    <row r="613" spans="1:6">
      <c r="A613" s="44"/>
      <c r="B613" s="44" t="s">
        <v>3366</v>
      </c>
      <c r="C613" s="45" t="s">
        <v>1635</v>
      </c>
      <c r="D613" s="45" t="s">
        <v>3550</v>
      </c>
      <c r="E613" s="45" t="s">
        <v>3551</v>
      </c>
      <c r="F613" s="50" t="s">
        <v>3552</v>
      </c>
    </row>
    <row r="614" spans="1:6">
      <c r="A614" s="47"/>
      <c r="B614" s="47" t="s">
        <v>3366</v>
      </c>
      <c r="C614" s="48" t="s">
        <v>1635</v>
      </c>
      <c r="D614" s="48" t="s">
        <v>3553</v>
      </c>
      <c r="E614" s="48" t="s">
        <v>3554</v>
      </c>
      <c r="F614" s="49" t="s">
        <v>3555</v>
      </c>
    </row>
    <row r="615" spans="1:6">
      <c r="A615" s="44"/>
      <c r="B615" s="44" t="s">
        <v>3366</v>
      </c>
      <c r="C615" s="45" t="s">
        <v>1635</v>
      </c>
      <c r="D615" s="45" t="s">
        <v>3556</v>
      </c>
      <c r="E615" s="45" t="s">
        <v>3557</v>
      </c>
      <c r="F615" s="50" t="s">
        <v>3558</v>
      </c>
    </row>
    <row r="616" spans="1:6">
      <c r="A616" s="47"/>
      <c r="B616" s="47" t="s">
        <v>3366</v>
      </c>
      <c r="C616" s="48" t="s">
        <v>1635</v>
      </c>
      <c r="D616" s="48" t="s">
        <v>3559</v>
      </c>
      <c r="E616" s="48" t="s">
        <v>3560</v>
      </c>
      <c r="F616" s="49" t="s">
        <v>3561</v>
      </c>
    </row>
    <row r="617" spans="1:6">
      <c r="A617" s="44"/>
      <c r="B617" s="44" t="s">
        <v>3366</v>
      </c>
      <c r="C617" s="45" t="s">
        <v>1635</v>
      </c>
      <c r="D617" s="45" t="s">
        <v>3562</v>
      </c>
      <c r="E617" s="45" t="s">
        <v>3563</v>
      </c>
      <c r="F617" s="50" t="s">
        <v>1649</v>
      </c>
    </row>
    <row r="618" spans="1:6">
      <c r="A618" s="47"/>
      <c r="B618" s="47" t="s">
        <v>3366</v>
      </c>
      <c r="C618" s="48" t="s">
        <v>1635</v>
      </c>
      <c r="D618" s="48" t="s">
        <v>3564</v>
      </c>
      <c r="E618" s="48" t="s">
        <v>3565</v>
      </c>
      <c r="F618" s="49" t="s">
        <v>1650</v>
      </c>
    </row>
    <row r="619" spans="1:6">
      <c r="A619" s="44"/>
      <c r="B619" s="44" t="s">
        <v>3366</v>
      </c>
      <c r="C619" s="45" t="s">
        <v>1635</v>
      </c>
      <c r="D619" s="45" t="s">
        <v>3566</v>
      </c>
      <c r="E619" s="45" t="s">
        <v>59</v>
      </c>
      <c r="F619" s="50" t="s">
        <v>3567</v>
      </c>
    </row>
    <row r="620" spans="1:6">
      <c r="A620" s="47"/>
      <c r="B620" s="47" t="s">
        <v>3366</v>
      </c>
      <c r="C620" s="48" t="s">
        <v>1635</v>
      </c>
      <c r="D620" s="48" t="s">
        <v>3568</v>
      </c>
      <c r="E620" s="48" t="s">
        <v>3569</v>
      </c>
      <c r="F620" s="49" t="s">
        <v>3570</v>
      </c>
    </row>
    <row r="621" spans="1:6">
      <c r="A621" s="44"/>
      <c r="B621" s="44" t="s">
        <v>3366</v>
      </c>
      <c r="C621" s="45" t="s">
        <v>1635</v>
      </c>
      <c r="D621" s="45" t="s">
        <v>3571</v>
      </c>
      <c r="E621" s="45" t="s">
        <v>3572</v>
      </c>
      <c r="F621" s="50" t="s">
        <v>3573</v>
      </c>
    </row>
    <row r="622" spans="1:6">
      <c r="A622" s="47"/>
      <c r="B622" s="47" t="s">
        <v>3366</v>
      </c>
      <c r="C622" s="48" t="s">
        <v>1635</v>
      </c>
      <c r="D622" s="48" t="s">
        <v>3574</v>
      </c>
      <c r="E622" s="48" t="s">
        <v>3575</v>
      </c>
      <c r="F622" s="49" t="s">
        <v>3576</v>
      </c>
    </row>
    <row r="623" spans="1:6">
      <c r="A623" s="44"/>
      <c r="B623" s="44" t="s">
        <v>3366</v>
      </c>
      <c r="C623" s="45" t="s">
        <v>1635</v>
      </c>
      <c r="D623" s="45" t="s">
        <v>3577</v>
      </c>
      <c r="E623" s="45" t="s">
        <v>3578</v>
      </c>
      <c r="F623" s="50" t="s">
        <v>3579</v>
      </c>
    </row>
    <row r="624" spans="1:6">
      <c r="A624" s="47"/>
      <c r="B624" s="47" t="s">
        <v>3366</v>
      </c>
      <c r="C624" s="48" t="s">
        <v>1635</v>
      </c>
      <c r="D624" s="48" t="s">
        <v>3580</v>
      </c>
      <c r="E624" s="48" t="s">
        <v>3581</v>
      </c>
      <c r="F624" s="49" t="s">
        <v>3582</v>
      </c>
    </row>
    <row r="625" spans="1:6">
      <c r="A625" s="44"/>
      <c r="B625" s="44" t="s">
        <v>3366</v>
      </c>
      <c r="C625" s="45" t="s">
        <v>1635</v>
      </c>
      <c r="D625" s="45" t="s">
        <v>3583</v>
      </c>
      <c r="E625" s="45" t="s">
        <v>3584</v>
      </c>
      <c r="F625" s="50" t="s">
        <v>3585</v>
      </c>
    </row>
    <row r="626" spans="1:6">
      <c r="A626" s="47"/>
      <c r="B626" s="47" t="s">
        <v>3366</v>
      </c>
      <c r="C626" s="48" t="s">
        <v>1635</v>
      </c>
      <c r="D626" s="48" t="s">
        <v>3586</v>
      </c>
      <c r="E626" s="48" t="s">
        <v>3587</v>
      </c>
      <c r="F626" s="49" t="s">
        <v>3588</v>
      </c>
    </row>
    <row r="627" spans="1:6">
      <c r="A627" s="44"/>
      <c r="B627" s="44" t="s">
        <v>3366</v>
      </c>
      <c r="C627" s="45" t="s">
        <v>1635</v>
      </c>
      <c r="D627" s="45" t="s">
        <v>3589</v>
      </c>
      <c r="E627" s="45" t="s">
        <v>3590</v>
      </c>
      <c r="F627" s="50" t="s">
        <v>3591</v>
      </c>
    </row>
    <row r="628" spans="1:6">
      <c r="A628" s="47"/>
      <c r="B628" s="47" t="s">
        <v>3366</v>
      </c>
      <c r="C628" s="48" t="s">
        <v>1635</v>
      </c>
      <c r="D628" s="48" t="s">
        <v>3592</v>
      </c>
      <c r="E628" s="48" t="s">
        <v>3593</v>
      </c>
      <c r="F628" s="49" t="s">
        <v>3594</v>
      </c>
    </row>
    <row r="629" spans="1:6">
      <c r="A629" s="44"/>
      <c r="B629" s="44" t="s">
        <v>3366</v>
      </c>
      <c r="C629" s="45" t="s">
        <v>1635</v>
      </c>
      <c r="D629" s="45" t="s">
        <v>3595</v>
      </c>
      <c r="E629" s="45" t="s">
        <v>58</v>
      </c>
      <c r="F629" s="50" t="s">
        <v>3596</v>
      </c>
    </row>
    <row r="630" spans="1:6">
      <c r="A630" s="47"/>
      <c r="B630" s="47" t="s">
        <v>3366</v>
      </c>
      <c r="C630" s="48" t="s">
        <v>1635</v>
      </c>
      <c r="D630" s="48" t="s">
        <v>3597</v>
      </c>
      <c r="E630" s="48" t="s">
        <v>3598</v>
      </c>
      <c r="F630" s="49" t="s">
        <v>3599</v>
      </c>
    </row>
    <row r="631" spans="1:6">
      <c r="A631" s="44"/>
      <c r="B631" s="44" t="s">
        <v>3366</v>
      </c>
      <c r="C631" s="45" t="s">
        <v>1635</v>
      </c>
      <c r="D631" s="45" t="s">
        <v>3600</v>
      </c>
      <c r="E631" s="45" t="s">
        <v>57</v>
      </c>
      <c r="F631" s="50" t="s">
        <v>3601</v>
      </c>
    </row>
    <row r="632" spans="1:6">
      <c r="A632" s="47"/>
      <c r="B632" s="47" t="s">
        <v>3366</v>
      </c>
      <c r="C632" s="48" t="s">
        <v>1635</v>
      </c>
      <c r="D632" s="48" t="s">
        <v>3602</v>
      </c>
      <c r="E632" s="48" t="s">
        <v>3603</v>
      </c>
      <c r="F632" s="49" t="s">
        <v>3604</v>
      </c>
    </row>
    <row r="633" spans="1:6">
      <c r="A633" s="44"/>
      <c r="B633" s="44" t="s">
        <v>3366</v>
      </c>
      <c r="C633" s="45" t="s">
        <v>1635</v>
      </c>
      <c r="D633" s="45" t="s">
        <v>3605</v>
      </c>
      <c r="E633" s="45" t="s">
        <v>3606</v>
      </c>
      <c r="F633" s="50" t="s">
        <v>3607</v>
      </c>
    </row>
    <row r="634" spans="1:6">
      <c r="A634" s="47"/>
      <c r="B634" s="47" t="s">
        <v>3366</v>
      </c>
      <c r="C634" s="48" t="s">
        <v>1635</v>
      </c>
      <c r="D634" s="48" t="s">
        <v>3608</v>
      </c>
      <c r="E634" s="48" t="s">
        <v>3609</v>
      </c>
      <c r="F634" s="49" t="s">
        <v>3610</v>
      </c>
    </row>
    <row r="635" spans="1:6">
      <c r="A635" s="44"/>
      <c r="B635" s="44" t="s">
        <v>3366</v>
      </c>
      <c r="C635" s="45" t="s">
        <v>1635</v>
      </c>
      <c r="D635" s="45" t="s">
        <v>3611</v>
      </c>
      <c r="E635" s="45" t="s">
        <v>3612</v>
      </c>
      <c r="F635" s="50" t="s">
        <v>3613</v>
      </c>
    </row>
    <row r="636" spans="1:6">
      <c r="A636" s="47"/>
      <c r="B636" s="47" t="s">
        <v>3366</v>
      </c>
      <c r="C636" s="48" t="s">
        <v>1635</v>
      </c>
      <c r="D636" s="48" t="s">
        <v>3614</v>
      </c>
      <c r="E636" s="48" t="s">
        <v>3615</v>
      </c>
      <c r="F636" s="49" t="s">
        <v>3616</v>
      </c>
    </row>
    <row r="637" spans="1:6">
      <c r="A637" s="44"/>
      <c r="B637" s="44" t="s">
        <v>3366</v>
      </c>
      <c r="C637" s="45" t="s">
        <v>1635</v>
      </c>
      <c r="D637" s="45" t="s">
        <v>3617</v>
      </c>
      <c r="E637" s="45" t="s">
        <v>3618</v>
      </c>
      <c r="F637" s="50" t="s">
        <v>3619</v>
      </c>
    </row>
    <row r="638" spans="1:6">
      <c r="A638" s="47"/>
      <c r="B638" s="47" t="s">
        <v>3366</v>
      </c>
      <c r="C638" s="48" t="s">
        <v>1635</v>
      </c>
      <c r="D638" s="48" t="s">
        <v>3620</v>
      </c>
      <c r="E638" s="48" t="s">
        <v>3621</v>
      </c>
      <c r="F638" s="49" t="s">
        <v>1652</v>
      </c>
    </row>
    <row r="639" spans="1:6">
      <c r="A639" s="44"/>
      <c r="B639" s="44" t="s">
        <v>3366</v>
      </c>
      <c r="C639" s="45" t="s">
        <v>1635</v>
      </c>
      <c r="D639" s="45" t="s">
        <v>3622</v>
      </c>
      <c r="E639" s="45" t="s">
        <v>3623</v>
      </c>
      <c r="F639" s="50" t="s">
        <v>3624</v>
      </c>
    </row>
    <row r="640" spans="1:6">
      <c r="A640" s="47"/>
      <c r="B640" s="47" t="s">
        <v>3366</v>
      </c>
      <c r="C640" s="48" t="s">
        <v>1635</v>
      </c>
      <c r="D640" s="48" t="s">
        <v>3625</v>
      </c>
      <c r="E640" s="48" t="s">
        <v>3626</v>
      </c>
      <c r="F640" s="49" t="s">
        <v>3627</v>
      </c>
    </row>
    <row r="641" spans="1:6">
      <c r="A641" s="44"/>
      <c r="B641" s="44" t="s">
        <v>3366</v>
      </c>
      <c r="C641" s="45" t="s">
        <v>1635</v>
      </c>
      <c r="D641" s="45" t="s">
        <v>3628</v>
      </c>
      <c r="E641" s="45" t="s">
        <v>3629</v>
      </c>
      <c r="F641" s="50" t="s">
        <v>1651</v>
      </c>
    </row>
    <row r="642" spans="1:6">
      <c r="A642" s="47"/>
      <c r="B642" s="47" t="s">
        <v>3366</v>
      </c>
      <c r="C642" s="48" t="s">
        <v>1635</v>
      </c>
      <c r="D642" s="48" t="s">
        <v>3630</v>
      </c>
      <c r="E642" s="48" t="s">
        <v>3631</v>
      </c>
      <c r="F642" s="49" t="s">
        <v>3632</v>
      </c>
    </row>
    <row r="643" spans="1:6">
      <c r="A643" s="44"/>
      <c r="B643" s="44" t="s">
        <v>3366</v>
      </c>
      <c r="C643" s="45" t="s">
        <v>1635</v>
      </c>
      <c r="D643" s="45" t="s">
        <v>3633</v>
      </c>
      <c r="E643" s="45" t="s">
        <v>3634</v>
      </c>
      <c r="F643" s="50" t="s">
        <v>3635</v>
      </c>
    </row>
    <row r="644" spans="1:6">
      <c r="A644" s="47"/>
      <c r="B644" s="47" t="s">
        <v>3366</v>
      </c>
      <c r="C644" s="48" t="s">
        <v>1635</v>
      </c>
      <c r="D644" s="48" t="s">
        <v>3636</v>
      </c>
      <c r="E644" s="48" t="s">
        <v>3637</v>
      </c>
      <c r="F644" s="49" t="s">
        <v>3638</v>
      </c>
    </row>
    <row r="645" spans="1:6">
      <c r="A645" s="44"/>
      <c r="B645" s="44" t="s">
        <v>3366</v>
      </c>
      <c r="C645" s="45" t="s">
        <v>1635</v>
      </c>
      <c r="D645" s="45" t="s">
        <v>3639</v>
      </c>
      <c r="E645" s="45" t="s">
        <v>3640</v>
      </c>
      <c r="F645" s="50" t="s">
        <v>3641</v>
      </c>
    </row>
    <row r="646" spans="1:6">
      <c r="A646" s="47"/>
      <c r="B646" s="47" t="s">
        <v>3366</v>
      </c>
      <c r="C646" s="48" t="s">
        <v>1635</v>
      </c>
      <c r="D646" s="48" t="s">
        <v>3642</v>
      </c>
      <c r="E646" s="48" t="s">
        <v>3643</v>
      </c>
      <c r="F646" s="49" t="s">
        <v>3644</v>
      </c>
    </row>
    <row r="647" spans="1:6">
      <c r="A647" s="44"/>
      <c r="B647" s="44" t="s">
        <v>3366</v>
      </c>
      <c r="C647" s="45" t="s">
        <v>1635</v>
      </c>
      <c r="D647" s="45" t="s">
        <v>3645</v>
      </c>
      <c r="E647" s="45" t="s">
        <v>3646</v>
      </c>
      <c r="F647" s="50" t="s">
        <v>3647</v>
      </c>
    </row>
    <row r="648" spans="1:6">
      <c r="A648" s="47"/>
      <c r="B648" s="47" t="s">
        <v>3366</v>
      </c>
      <c r="C648" s="48" t="s">
        <v>1635</v>
      </c>
      <c r="D648" s="48" t="s">
        <v>3648</v>
      </c>
      <c r="E648" s="48" t="s">
        <v>3649</v>
      </c>
      <c r="F648" s="49" t="s">
        <v>3650</v>
      </c>
    </row>
    <row r="649" spans="1:6">
      <c r="A649" s="44"/>
      <c r="B649" s="44" t="s">
        <v>3366</v>
      </c>
      <c r="C649" s="45" t="s">
        <v>1635</v>
      </c>
      <c r="D649" s="45" t="s">
        <v>3651</v>
      </c>
      <c r="E649" s="45" t="s">
        <v>3652</v>
      </c>
      <c r="F649" s="50" t="s">
        <v>3653</v>
      </c>
    </row>
    <row r="650" spans="1:6">
      <c r="A650" s="47"/>
      <c r="B650" s="47" t="s">
        <v>3366</v>
      </c>
      <c r="C650" s="48" t="s">
        <v>1635</v>
      </c>
      <c r="D650" s="48" t="s">
        <v>3654</v>
      </c>
      <c r="E650" s="48" t="s">
        <v>3655</v>
      </c>
      <c r="F650" s="49" t="s">
        <v>1653</v>
      </c>
    </row>
    <row r="651" spans="1:6">
      <c r="A651" s="44"/>
      <c r="B651" s="44" t="s">
        <v>3366</v>
      </c>
      <c r="C651" s="45" t="s">
        <v>1635</v>
      </c>
      <c r="D651" s="45" t="s">
        <v>3656</v>
      </c>
      <c r="E651" s="45" t="s">
        <v>3657</v>
      </c>
      <c r="F651" s="50" t="s">
        <v>3658</v>
      </c>
    </row>
    <row r="652" spans="1:6">
      <c r="A652" s="47"/>
      <c r="B652" s="47" t="s">
        <v>3366</v>
      </c>
      <c r="C652" s="48" t="s">
        <v>1635</v>
      </c>
      <c r="D652" s="48" t="s">
        <v>3659</v>
      </c>
      <c r="E652" s="48" t="s">
        <v>3660</v>
      </c>
      <c r="F652" s="49" t="s">
        <v>3661</v>
      </c>
    </row>
    <row r="653" spans="1:6">
      <c r="A653" s="44"/>
      <c r="B653" s="44" t="s">
        <v>3366</v>
      </c>
      <c r="C653" s="45" t="s">
        <v>1635</v>
      </c>
      <c r="D653" s="45" t="s">
        <v>3662</v>
      </c>
      <c r="E653" s="45" t="s">
        <v>3663</v>
      </c>
      <c r="F653" s="50" t="s">
        <v>3664</v>
      </c>
    </row>
    <row r="654" spans="1:6">
      <c r="A654" s="47"/>
      <c r="B654" s="47" t="s">
        <v>3366</v>
      </c>
      <c r="C654" s="48" t="s">
        <v>1635</v>
      </c>
      <c r="D654" s="48" t="s">
        <v>3665</v>
      </c>
      <c r="E654" s="48" t="s">
        <v>3666</v>
      </c>
      <c r="F654" s="49" t="s">
        <v>3667</v>
      </c>
    </row>
    <row r="655" spans="1:6">
      <c r="A655" s="44"/>
      <c r="B655" s="44" t="s">
        <v>3366</v>
      </c>
      <c r="C655" s="45" t="s">
        <v>1635</v>
      </c>
      <c r="D655" s="45" t="s">
        <v>3668</v>
      </c>
      <c r="E655" s="45" t="s">
        <v>3669</v>
      </c>
      <c r="F655" s="50" t="s">
        <v>3670</v>
      </c>
    </row>
    <row r="656" spans="1:6">
      <c r="A656" s="47"/>
      <c r="B656" s="47" t="s">
        <v>3366</v>
      </c>
      <c r="C656" s="48" t="s">
        <v>1635</v>
      </c>
      <c r="D656" s="48" t="s">
        <v>3671</v>
      </c>
      <c r="E656" s="48" t="s">
        <v>56</v>
      </c>
      <c r="F656" s="49" t="s">
        <v>3672</v>
      </c>
    </row>
    <row r="657" spans="1:6">
      <c r="A657" s="44"/>
      <c r="B657" s="44" t="s">
        <v>3366</v>
      </c>
      <c r="C657" s="45" t="s">
        <v>1635</v>
      </c>
      <c r="D657" s="45" t="s">
        <v>3673</v>
      </c>
      <c r="E657" s="45" t="s">
        <v>55</v>
      </c>
      <c r="F657" s="50" t="s">
        <v>3674</v>
      </c>
    </row>
    <row r="658" spans="1:6">
      <c r="A658" s="47"/>
      <c r="B658" s="47" t="s">
        <v>3366</v>
      </c>
      <c r="C658" s="48" t="s">
        <v>1635</v>
      </c>
      <c r="D658" s="48" t="s">
        <v>3675</v>
      </c>
      <c r="E658" s="48" t="s">
        <v>3676</v>
      </c>
      <c r="F658" s="49" t="s">
        <v>3677</v>
      </c>
    </row>
    <row r="659" spans="1:6">
      <c r="A659" s="44"/>
      <c r="B659" s="44" t="s">
        <v>3366</v>
      </c>
      <c r="C659" s="45" t="s">
        <v>1635</v>
      </c>
      <c r="D659" s="45" t="s">
        <v>3678</v>
      </c>
      <c r="E659" s="45" t="s">
        <v>3679</v>
      </c>
      <c r="F659" s="50" t="s">
        <v>3680</v>
      </c>
    </row>
    <row r="660" spans="1:6">
      <c r="A660" s="47"/>
      <c r="B660" s="47" t="s">
        <v>3366</v>
      </c>
      <c r="C660" s="48" t="s">
        <v>1635</v>
      </c>
      <c r="D660" s="48" t="s">
        <v>3681</v>
      </c>
      <c r="E660" s="48" t="s">
        <v>3682</v>
      </c>
      <c r="F660" s="49" t="s">
        <v>3683</v>
      </c>
    </row>
    <row r="661" spans="1:6">
      <c r="A661" s="44"/>
      <c r="B661" s="44" t="s">
        <v>3366</v>
      </c>
      <c r="C661" s="45" t="s">
        <v>1635</v>
      </c>
      <c r="D661" s="45" t="s">
        <v>3684</v>
      </c>
      <c r="E661" s="45" t="s">
        <v>3685</v>
      </c>
      <c r="F661" s="50" t="s">
        <v>3686</v>
      </c>
    </row>
    <row r="662" spans="1:6">
      <c r="A662" s="47"/>
      <c r="B662" s="47" t="s">
        <v>3366</v>
      </c>
      <c r="C662" s="48" t="s">
        <v>1635</v>
      </c>
      <c r="D662" s="48" t="s">
        <v>3687</v>
      </c>
      <c r="E662" s="48" t="s">
        <v>3688</v>
      </c>
      <c r="F662" s="49" t="s">
        <v>1654</v>
      </c>
    </row>
    <row r="663" spans="1:6">
      <c r="A663" s="44"/>
      <c r="B663" s="44" t="s">
        <v>3366</v>
      </c>
      <c r="C663" s="45" t="s">
        <v>1635</v>
      </c>
      <c r="D663" s="45" t="s">
        <v>3689</v>
      </c>
      <c r="E663" s="45" t="s">
        <v>192</v>
      </c>
      <c r="F663" s="50" t="s">
        <v>3690</v>
      </c>
    </row>
    <row r="664" spans="1:6">
      <c r="A664" s="47"/>
      <c r="B664" s="47" t="s">
        <v>3366</v>
      </c>
      <c r="C664" s="48" t="s">
        <v>1635</v>
      </c>
      <c r="D664" s="48" t="s">
        <v>3691</v>
      </c>
      <c r="E664" s="48" t="s">
        <v>3692</v>
      </c>
      <c r="F664" s="49" t="s">
        <v>3693</v>
      </c>
    </row>
    <row r="665" spans="1:6">
      <c r="A665" s="44"/>
      <c r="B665" s="44" t="s">
        <v>3366</v>
      </c>
      <c r="C665" s="45" t="s">
        <v>1635</v>
      </c>
      <c r="D665" s="45" t="s">
        <v>3694</v>
      </c>
      <c r="E665" s="45" t="s">
        <v>3695</v>
      </c>
      <c r="F665" s="50" t="s">
        <v>1655</v>
      </c>
    </row>
    <row r="666" spans="1:6">
      <c r="A666" s="47"/>
      <c r="B666" s="47" t="s">
        <v>3366</v>
      </c>
      <c r="C666" s="48" t="s">
        <v>1635</v>
      </c>
      <c r="D666" s="48" t="s">
        <v>3696</v>
      </c>
      <c r="E666" s="48" t="s">
        <v>3697</v>
      </c>
      <c r="F666" s="49" t="s">
        <v>3698</v>
      </c>
    </row>
    <row r="667" spans="1:6">
      <c r="A667" s="44"/>
      <c r="B667" s="44" t="s">
        <v>3366</v>
      </c>
      <c r="C667" s="45" t="s">
        <v>1635</v>
      </c>
      <c r="D667" s="45" t="s">
        <v>3699</v>
      </c>
      <c r="E667" s="45" t="s">
        <v>54</v>
      </c>
      <c r="F667" s="50" t="s">
        <v>3700</v>
      </c>
    </row>
    <row r="668" spans="1:6">
      <c r="A668" s="47"/>
      <c r="B668" s="47" t="s">
        <v>3366</v>
      </c>
      <c r="C668" s="48" t="s">
        <v>1635</v>
      </c>
      <c r="D668" s="48" t="s">
        <v>3701</v>
      </c>
      <c r="E668" s="48" t="s">
        <v>3702</v>
      </c>
      <c r="F668" s="49" t="s">
        <v>3703</v>
      </c>
    </row>
    <row r="669" spans="1:6">
      <c r="A669" s="44"/>
      <c r="B669" s="44" t="s">
        <v>3366</v>
      </c>
      <c r="C669" s="45" t="s">
        <v>1635</v>
      </c>
      <c r="D669" s="45" t="s">
        <v>3704</v>
      </c>
      <c r="E669" s="45" t="s">
        <v>53</v>
      </c>
      <c r="F669" s="50" t="s">
        <v>3705</v>
      </c>
    </row>
    <row r="670" spans="1:6">
      <c r="A670" s="47"/>
      <c r="B670" s="47" t="s">
        <v>3366</v>
      </c>
      <c r="C670" s="48" t="s">
        <v>1635</v>
      </c>
      <c r="D670" s="48" t="s">
        <v>3706</v>
      </c>
      <c r="E670" s="48" t="s">
        <v>3707</v>
      </c>
      <c r="F670" s="49" t="s">
        <v>3708</v>
      </c>
    </row>
    <row r="671" spans="1:6">
      <c r="A671" s="44"/>
      <c r="B671" s="44" t="s">
        <v>3366</v>
      </c>
      <c r="C671" s="45" t="s">
        <v>1635</v>
      </c>
      <c r="D671" s="45" t="s">
        <v>3709</v>
      </c>
      <c r="E671" s="45" t="s">
        <v>3710</v>
      </c>
      <c r="F671" s="50" t="s">
        <v>3711</v>
      </c>
    </row>
    <row r="672" spans="1:6">
      <c r="A672" s="47"/>
      <c r="B672" s="47" t="s">
        <v>3366</v>
      </c>
      <c r="C672" s="48" t="s">
        <v>1635</v>
      </c>
      <c r="D672" s="48" t="s">
        <v>3712</v>
      </c>
      <c r="E672" s="48" t="s">
        <v>3713</v>
      </c>
      <c r="F672" s="49" t="s">
        <v>3714</v>
      </c>
    </row>
    <row r="673" spans="1:6">
      <c r="A673" s="44"/>
      <c r="B673" s="44" t="s">
        <v>3366</v>
      </c>
      <c r="C673" s="45" t="s">
        <v>1635</v>
      </c>
      <c r="D673" s="45" t="s">
        <v>3715</v>
      </c>
      <c r="E673" s="45" t="s">
        <v>3716</v>
      </c>
      <c r="F673" s="50" t="s">
        <v>3717</v>
      </c>
    </row>
    <row r="674" spans="1:6">
      <c r="A674" s="47"/>
      <c r="B674" s="47" t="s">
        <v>3366</v>
      </c>
      <c r="C674" s="48" t="s">
        <v>1635</v>
      </c>
      <c r="D674" s="48" t="s">
        <v>3718</v>
      </c>
      <c r="E674" s="48" t="s">
        <v>3719</v>
      </c>
      <c r="F674" s="49" t="s">
        <v>1656</v>
      </c>
    </row>
    <row r="675" spans="1:6">
      <c r="A675" s="44"/>
      <c r="B675" s="44" t="s">
        <v>3366</v>
      </c>
      <c r="C675" s="45" t="s">
        <v>1635</v>
      </c>
      <c r="D675" s="45" t="s">
        <v>3720</v>
      </c>
      <c r="E675" s="45" t="s">
        <v>3721</v>
      </c>
      <c r="F675" s="50" t="s">
        <v>1657</v>
      </c>
    </row>
    <row r="676" spans="1:6">
      <c r="A676" s="47"/>
      <c r="B676" s="47" t="s">
        <v>3366</v>
      </c>
      <c r="C676" s="48" t="s">
        <v>1635</v>
      </c>
      <c r="D676" s="48" t="s">
        <v>3722</v>
      </c>
      <c r="E676" s="48" t="s">
        <v>3723</v>
      </c>
      <c r="F676" s="49" t="s">
        <v>3724</v>
      </c>
    </row>
    <row r="677" spans="1:6">
      <c r="A677" s="44"/>
      <c r="B677" s="44" t="s">
        <v>3366</v>
      </c>
      <c r="C677" s="45" t="s">
        <v>1635</v>
      </c>
      <c r="D677" s="45" t="s">
        <v>3725</v>
      </c>
      <c r="E677" s="45" t="s">
        <v>3726</v>
      </c>
      <c r="F677" s="50" t="s">
        <v>3727</v>
      </c>
    </row>
    <row r="678" spans="1:6">
      <c r="A678" s="47"/>
      <c r="B678" s="47" t="s">
        <v>3366</v>
      </c>
      <c r="C678" s="48" t="s">
        <v>1635</v>
      </c>
      <c r="D678" s="48" t="s">
        <v>3728</v>
      </c>
      <c r="E678" s="48" t="s">
        <v>3729</v>
      </c>
      <c r="F678" s="49" t="s">
        <v>3730</v>
      </c>
    </row>
    <row r="679" spans="1:6">
      <c r="A679" s="44"/>
      <c r="B679" s="44" t="s">
        <v>3366</v>
      </c>
      <c r="C679" s="45" t="s">
        <v>1635</v>
      </c>
      <c r="D679" s="45" t="s">
        <v>3731</v>
      </c>
      <c r="E679" s="45" t="s">
        <v>52</v>
      </c>
      <c r="F679" s="50" t="s">
        <v>1658</v>
      </c>
    </row>
    <row r="680" spans="1:6">
      <c r="A680" s="47"/>
      <c r="B680" s="47" t="s">
        <v>3366</v>
      </c>
      <c r="C680" s="48" t="s">
        <v>1635</v>
      </c>
      <c r="D680" s="48" t="s">
        <v>3732</v>
      </c>
      <c r="E680" s="48" t="s">
        <v>3733</v>
      </c>
      <c r="F680" s="49" t="s">
        <v>3734</v>
      </c>
    </row>
    <row r="681" spans="1:6">
      <c r="A681" s="44"/>
      <c r="B681" s="44" t="s">
        <v>3366</v>
      </c>
      <c r="C681" s="45" t="s">
        <v>1635</v>
      </c>
      <c r="D681" s="45" t="s">
        <v>3735</v>
      </c>
      <c r="E681" s="45" t="s">
        <v>51</v>
      </c>
      <c r="F681" s="50" t="s">
        <v>3736</v>
      </c>
    </row>
    <row r="682" spans="1:6">
      <c r="A682" s="47"/>
      <c r="B682" s="47" t="s">
        <v>3366</v>
      </c>
      <c r="C682" s="48" t="s">
        <v>1635</v>
      </c>
      <c r="D682" s="48" t="s">
        <v>3737</v>
      </c>
      <c r="E682" s="48" t="s">
        <v>3738</v>
      </c>
      <c r="F682" s="49" t="s">
        <v>3739</v>
      </c>
    </row>
    <row r="683" spans="1:6">
      <c r="A683" s="44"/>
      <c r="B683" s="44" t="s">
        <v>3366</v>
      </c>
      <c r="C683" s="45" t="s">
        <v>1635</v>
      </c>
      <c r="D683" s="45" t="s">
        <v>3740</v>
      </c>
      <c r="E683" s="45" t="s">
        <v>3741</v>
      </c>
      <c r="F683" s="50" t="s">
        <v>3742</v>
      </c>
    </row>
    <row r="684" spans="1:6">
      <c r="A684" s="47"/>
      <c r="B684" s="47" t="s">
        <v>3366</v>
      </c>
      <c r="C684" s="48" t="s">
        <v>1635</v>
      </c>
      <c r="D684" s="48" t="s">
        <v>3743</v>
      </c>
      <c r="E684" s="48" t="s">
        <v>50</v>
      </c>
      <c r="F684" s="49" t="s">
        <v>3744</v>
      </c>
    </row>
    <row r="685" spans="1:6">
      <c r="A685" s="44"/>
      <c r="B685" s="44" t="s">
        <v>3366</v>
      </c>
      <c r="C685" s="45" t="s">
        <v>1635</v>
      </c>
      <c r="D685" s="45" t="s">
        <v>3745</v>
      </c>
      <c r="E685" s="45" t="s">
        <v>3746</v>
      </c>
      <c r="F685" s="50" t="s">
        <v>1659</v>
      </c>
    </row>
    <row r="686" spans="1:6">
      <c r="A686" s="47"/>
      <c r="B686" s="47" t="s">
        <v>3366</v>
      </c>
      <c r="C686" s="48" t="s">
        <v>1635</v>
      </c>
      <c r="D686" s="48" t="s">
        <v>3747</v>
      </c>
      <c r="E686" s="48" t="s">
        <v>3748</v>
      </c>
      <c r="F686" s="49" t="s">
        <v>1660</v>
      </c>
    </row>
    <row r="687" spans="1:6">
      <c r="A687" s="44"/>
      <c r="B687" s="44" t="s">
        <v>3366</v>
      </c>
      <c r="C687" s="45" t="s">
        <v>1635</v>
      </c>
      <c r="D687" s="45" t="s">
        <v>3749</v>
      </c>
      <c r="E687" s="45" t="s">
        <v>3750</v>
      </c>
      <c r="F687" s="50" t="s">
        <v>3751</v>
      </c>
    </row>
    <row r="688" spans="1:6">
      <c r="A688" s="47"/>
      <c r="B688" s="47" t="s">
        <v>3366</v>
      </c>
      <c r="C688" s="48" t="s">
        <v>1635</v>
      </c>
      <c r="D688" s="48" t="s">
        <v>3752</v>
      </c>
      <c r="E688" s="48" t="s">
        <v>49</v>
      </c>
      <c r="F688" s="49" t="s">
        <v>3753</v>
      </c>
    </row>
    <row r="689" spans="1:6">
      <c r="A689" s="44"/>
      <c r="B689" s="44" t="s">
        <v>3366</v>
      </c>
      <c r="C689" s="45" t="s">
        <v>1635</v>
      </c>
      <c r="D689" s="45" t="s">
        <v>3754</v>
      </c>
      <c r="E689" s="45" t="s">
        <v>48</v>
      </c>
      <c r="F689" s="50" t="s">
        <v>3755</v>
      </c>
    </row>
    <row r="690" spans="1:6">
      <c r="A690" s="47"/>
      <c r="B690" s="47" t="s">
        <v>3366</v>
      </c>
      <c r="C690" s="48" t="s">
        <v>1635</v>
      </c>
      <c r="D690" s="48" t="s">
        <v>3756</v>
      </c>
      <c r="E690" s="48" t="s">
        <v>3757</v>
      </c>
      <c r="F690" s="49" t="s">
        <v>3758</v>
      </c>
    </row>
    <row r="691" spans="1:6">
      <c r="A691" s="44"/>
      <c r="B691" s="44" t="s">
        <v>3366</v>
      </c>
      <c r="C691" s="45" t="s">
        <v>1635</v>
      </c>
      <c r="D691" s="45" t="s">
        <v>3759</v>
      </c>
      <c r="E691" s="45" t="s">
        <v>11</v>
      </c>
      <c r="F691" s="50" t="s">
        <v>3760</v>
      </c>
    </row>
    <row r="692" spans="1:6">
      <c r="A692" s="47"/>
      <c r="B692" s="47" t="s">
        <v>3366</v>
      </c>
      <c r="C692" s="48" t="s">
        <v>1635</v>
      </c>
      <c r="D692" s="48" t="s">
        <v>3761</v>
      </c>
      <c r="E692" s="48" t="s">
        <v>47</v>
      </c>
      <c r="F692" s="49" t="s">
        <v>3762</v>
      </c>
    </row>
    <row r="693" spans="1:6">
      <c r="A693" s="44"/>
      <c r="B693" s="44" t="s">
        <v>3366</v>
      </c>
      <c r="C693" s="45" t="s">
        <v>1635</v>
      </c>
      <c r="D693" s="45" t="s">
        <v>3763</v>
      </c>
      <c r="E693" s="45" t="s">
        <v>3764</v>
      </c>
      <c r="F693" s="50" t="s">
        <v>1642</v>
      </c>
    </row>
    <row r="694" spans="1:6">
      <c r="A694" s="47"/>
      <c r="B694" s="47" t="s">
        <v>3366</v>
      </c>
      <c r="C694" s="48" t="s">
        <v>1635</v>
      </c>
      <c r="D694" s="48" t="s">
        <v>3765</v>
      </c>
      <c r="E694" s="48" t="s">
        <v>3766</v>
      </c>
      <c r="F694" s="49" t="s">
        <v>3767</v>
      </c>
    </row>
    <row r="695" spans="1:6">
      <c r="A695" s="44"/>
      <c r="B695" s="44" t="s">
        <v>3366</v>
      </c>
      <c r="C695" s="45" t="s">
        <v>1635</v>
      </c>
      <c r="D695" s="45" t="s">
        <v>3768</v>
      </c>
      <c r="E695" s="45" t="s">
        <v>3769</v>
      </c>
      <c r="F695" s="50" t="s">
        <v>3770</v>
      </c>
    </row>
    <row r="696" spans="1:6">
      <c r="A696" s="47"/>
      <c r="B696" s="47" t="s">
        <v>3366</v>
      </c>
      <c r="C696" s="48" t="s">
        <v>1635</v>
      </c>
      <c r="D696" s="48" t="s">
        <v>3771</v>
      </c>
      <c r="E696" s="48" t="s">
        <v>46</v>
      </c>
      <c r="F696" s="49" t="s">
        <v>3772</v>
      </c>
    </row>
    <row r="697" spans="1:6">
      <c r="A697" s="44"/>
      <c r="B697" s="44" t="s">
        <v>3366</v>
      </c>
      <c r="C697" s="45" t="s">
        <v>1635</v>
      </c>
      <c r="D697" s="45" t="s">
        <v>3773</v>
      </c>
      <c r="E697" s="45" t="s">
        <v>45</v>
      </c>
      <c r="F697" s="50" t="s">
        <v>3774</v>
      </c>
    </row>
    <row r="698" spans="1:6">
      <c r="A698" s="47"/>
      <c r="B698" s="47" t="s">
        <v>3366</v>
      </c>
      <c r="C698" s="48" t="s">
        <v>1635</v>
      </c>
      <c r="D698" s="48" t="s">
        <v>3775</v>
      </c>
      <c r="E698" s="48" t="s">
        <v>3776</v>
      </c>
      <c r="F698" s="49" t="s">
        <v>3777</v>
      </c>
    </row>
    <row r="699" spans="1:6">
      <c r="A699" s="44"/>
      <c r="B699" s="44" t="s">
        <v>3366</v>
      </c>
      <c r="C699" s="45" t="s">
        <v>1635</v>
      </c>
      <c r="D699" s="45" t="s">
        <v>3778</v>
      </c>
      <c r="E699" s="45" t="s">
        <v>3779</v>
      </c>
      <c r="F699" s="50" t="s">
        <v>3780</v>
      </c>
    </row>
    <row r="700" spans="1:6">
      <c r="A700" s="47"/>
      <c r="B700" s="47" t="s">
        <v>3366</v>
      </c>
      <c r="C700" s="48" t="s">
        <v>1635</v>
      </c>
      <c r="D700" s="48" t="s">
        <v>3781</v>
      </c>
      <c r="E700" s="48" t="s">
        <v>3782</v>
      </c>
      <c r="F700" s="49" t="s">
        <v>1661</v>
      </c>
    </row>
    <row r="701" spans="1:6">
      <c r="A701" s="44"/>
      <c r="B701" s="44" t="s">
        <v>3366</v>
      </c>
      <c r="C701" s="45" t="s">
        <v>1635</v>
      </c>
      <c r="D701" s="45" t="s">
        <v>3783</v>
      </c>
      <c r="E701" s="45" t="s">
        <v>44</v>
      </c>
      <c r="F701" s="50" t="s">
        <v>3784</v>
      </c>
    </row>
    <row r="702" spans="1:6">
      <c r="A702" s="47"/>
      <c r="B702" s="47" t="s">
        <v>3366</v>
      </c>
      <c r="C702" s="48" t="s">
        <v>1635</v>
      </c>
      <c r="D702" s="48" t="s">
        <v>3785</v>
      </c>
      <c r="E702" s="48" t="s">
        <v>3786</v>
      </c>
      <c r="F702" s="49" t="s">
        <v>3787</v>
      </c>
    </row>
    <row r="703" spans="1:6">
      <c r="A703" s="44"/>
      <c r="B703" s="44" t="s">
        <v>3366</v>
      </c>
      <c r="C703" s="45" t="s">
        <v>1635</v>
      </c>
      <c r="D703" s="45" t="s">
        <v>3788</v>
      </c>
      <c r="E703" s="45" t="s">
        <v>3789</v>
      </c>
      <c r="F703" s="50" t="s">
        <v>3790</v>
      </c>
    </row>
    <row r="704" spans="1:6">
      <c r="A704" s="47"/>
      <c r="B704" s="47" t="s">
        <v>3366</v>
      </c>
      <c r="C704" s="48" t="s">
        <v>1635</v>
      </c>
      <c r="D704" s="48" t="s">
        <v>3791</v>
      </c>
      <c r="E704" s="48" t="s">
        <v>3792</v>
      </c>
      <c r="F704" s="49" t="s">
        <v>3793</v>
      </c>
    </row>
    <row r="705" spans="1:6">
      <c r="A705" s="44"/>
      <c r="B705" s="44" t="s">
        <v>3366</v>
      </c>
      <c r="C705" s="45" t="s">
        <v>1635</v>
      </c>
      <c r="D705" s="45" t="s">
        <v>3794</v>
      </c>
      <c r="E705" s="45" t="s">
        <v>3795</v>
      </c>
      <c r="F705" s="50" t="s">
        <v>3796</v>
      </c>
    </row>
    <row r="706" spans="1:6">
      <c r="A706" s="47"/>
      <c r="B706" s="47" t="s">
        <v>3366</v>
      </c>
      <c r="C706" s="48" t="s">
        <v>1635</v>
      </c>
      <c r="D706" s="48" t="s">
        <v>3797</v>
      </c>
      <c r="E706" s="48" t="s">
        <v>3798</v>
      </c>
      <c r="F706" s="49" t="s">
        <v>3799</v>
      </c>
    </row>
    <row r="707" spans="1:6">
      <c r="A707" s="44"/>
      <c r="B707" s="44" t="s">
        <v>3366</v>
      </c>
      <c r="C707" s="45" t="s">
        <v>1635</v>
      </c>
      <c r="D707" s="45" t="s">
        <v>3800</v>
      </c>
      <c r="E707" s="45" t="s">
        <v>3801</v>
      </c>
      <c r="F707" s="50" t="s">
        <v>3802</v>
      </c>
    </row>
    <row r="708" spans="1:6">
      <c r="A708" s="47"/>
      <c r="B708" s="47" t="s">
        <v>3366</v>
      </c>
      <c r="C708" s="48" t="s">
        <v>1635</v>
      </c>
      <c r="D708" s="48" t="s">
        <v>3803</v>
      </c>
      <c r="E708" s="48" t="s">
        <v>3804</v>
      </c>
      <c r="F708" s="49" t="s">
        <v>3805</v>
      </c>
    </row>
    <row r="709" spans="1:6">
      <c r="A709" s="44"/>
      <c r="B709" s="44" t="s">
        <v>3366</v>
      </c>
      <c r="C709" s="45" t="s">
        <v>1635</v>
      </c>
      <c r="D709" s="45" t="s">
        <v>3806</v>
      </c>
      <c r="E709" s="45" t="s">
        <v>3807</v>
      </c>
      <c r="F709" s="50" t="s">
        <v>3808</v>
      </c>
    </row>
    <row r="710" spans="1:6">
      <c r="A710" s="47"/>
      <c r="B710" s="47" t="s">
        <v>3366</v>
      </c>
      <c r="C710" s="48" t="s">
        <v>1635</v>
      </c>
      <c r="D710" s="48" t="s">
        <v>3809</v>
      </c>
      <c r="E710" s="48" t="s">
        <v>3810</v>
      </c>
      <c r="F710" s="49" t="s">
        <v>3811</v>
      </c>
    </row>
    <row r="711" spans="1:6">
      <c r="A711" s="44"/>
      <c r="B711" s="44" t="s">
        <v>3366</v>
      </c>
      <c r="C711" s="45" t="s">
        <v>1635</v>
      </c>
      <c r="D711" s="45" t="s">
        <v>3812</v>
      </c>
      <c r="E711" s="45" t="s">
        <v>3813</v>
      </c>
      <c r="F711" s="50" t="s">
        <v>3814</v>
      </c>
    </row>
    <row r="712" spans="1:6">
      <c r="A712" s="47"/>
      <c r="B712" s="47" t="s">
        <v>3366</v>
      </c>
      <c r="C712" s="48" t="s">
        <v>1635</v>
      </c>
      <c r="D712" s="48" t="s">
        <v>3815</v>
      </c>
      <c r="E712" s="48" t="s">
        <v>3816</v>
      </c>
      <c r="F712" s="49" t="s">
        <v>3817</v>
      </c>
    </row>
    <row r="713" spans="1:6">
      <c r="A713" s="44"/>
      <c r="B713" s="44" t="s">
        <v>3366</v>
      </c>
      <c r="C713" s="45" t="s">
        <v>1635</v>
      </c>
      <c r="D713" s="45" t="s">
        <v>3818</v>
      </c>
      <c r="E713" s="45" t="s">
        <v>43</v>
      </c>
      <c r="F713" s="50" t="s">
        <v>3819</v>
      </c>
    </row>
    <row r="714" spans="1:6">
      <c r="A714" s="47"/>
      <c r="B714" s="47" t="s">
        <v>3366</v>
      </c>
      <c r="C714" s="48" t="s">
        <v>1635</v>
      </c>
      <c r="D714" s="48" t="s">
        <v>3820</v>
      </c>
      <c r="E714" s="48" t="s">
        <v>3821</v>
      </c>
      <c r="F714" s="49" t="s">
        <v>3822</v>
      </c>
    </row>
    <row r="715" spans="1:6">
      <c r="A715" s="44"/>
      <c r="B715" s="44" t="s">
        <v>3366</v>
      </c>
      <c r="C715" s="45" t="s">
        <v>1635</v>
      </c>
      <c r="D715" s="45" t="s">
        <v>3823</v>
      </c>
      <c r="E715" s="45" t="s">
        <v>3824</v>
      </c>
      <c r="F715" s="50" t="s">
        <v>3825</v>
      </c>
    </row>
    <row r="716" spans="1:6">
      <c r="A716" s="47"/>
      <c r="B716" s="47" t="s">
        <v>3366</v>
      </c>
      <c r="C716" s="48" t="s">
        <v>1635</v>
      </c>
      <c r="D716" s="48" t="s">
        <v>3826</v>
      </c>
      <c r="E716" s="48" t="s">
        <v>3827</v>
      </c>
      <c r="F716" s="49" t="s">
        <v>3828</v>
      </c>
    </row>
    <row r="717" spans="1:6">
      <c r="A717" s="44"/>
      <c r="B717" s="44" t="s">
        <v>3366</v>
      </c>
      <c r="C717" s="45" t="s">
        <v>1635</v>
      </c>
      <c r="D717" s="45" t="s">
        <v>3829</v>
      </c>
      <c r="E717" s="45" t="s">
        <v>3830</v>
      </c>
      <c r="F717" s="50" t="s">
        <v>3831</v>
      </c>
    </row>
    <row r="718" spans="1:6">
      <c r="A718" s="47"/>
      <c r="B718" s="47" t="s">
        <v>3366</v>
      </c>
      <c r="C718" s="48" t="s">
        <v>1635</v>
      </c>
      <c r="D718" s="48" t="s">
        <v>3832</v>
      </c>
      <c r="E718" s="48" t="s">
        <v>3833</v>
      </c>
      <c r="F718" s="49" t="s">
        <v>3834</v>
      </c>
    </row>
    <row r="719" spans="1:6">
      <c r="A719" s="44"/>
      <c r="B719" s="44" t="s">
        <v>3366</v>
      </c>
      <c r="C719" s="45" t="s">
        <v>1635</v>
      </c>
      <c r="D719" s="45" t="s">
        <v>3835</v>
      </c>
      <c r="E719" s="45" t="s">
        <v>3836</v>
      </c>
      <c r="F719" s="50" t="s">
        <v>3837</v>
      </c>
    </row>
    <row r="720" spans="1:6">
      <c r="A720" s="47"/>
      <c r="B720" s="47" t="s">
        <v>3366</v>
      </c>
      <c r="C720" s="48" t="s">
        <v>1635</v>
      </c>
      <c r="D720" s="48" t="s">
        <v>3838</v>
      </c>
      <c r="E720" s="48" t="s">
        <v>3839</v>
      </c>
      <c r="F720" s="49" t="s">
        <v>3840</v>
      </c>
    </row>
    <row r="721" spans="1:7">
      <c r="A721" s="44"/>
      <c r="B721" s="44" t="s">
        <v>3366</v>
      </c>
      <c r="C721" s="45" t="s">
        <v>1635</v>
      </c>
      <c r="D721" s="45" t="s">
        <v>3841</v>
      </c>
      <c r="E721" s="45" t="s">
        <v>3842</v>
      </c>
      <c r="F721" s="50" t="s">
        <v>3843</v>
      </c>
    </row>
    <row r="722" spans="1:7">
      <c r="A722" s="47"/>
      <c r="B722" s="47" t="s">
        <v>3366</v>
      </c>
      <c r="C722" s="48" t="s">
        <v>1635</v>
      </c>
      <c r="D722" s="48" t="s">
        <v>3844</v>
      </c>
      <c r="E722" s="48" t="s">
        <v>3845</v>
      </c>
      <c r="F722" s="49" t="s">
        <v>3846</v>
      </c>
    </row>
    <row r="723" spans="1:7">
      <c r="A723" s="44"/>
      <c r="B723" s="44" t="s">
        <v>3366</v>
      </c>
      <c r="C723" s="45" t="s">
        <v>1635</v>
      </c>
      <c r="D723" s="45" t="s">
        <v>3847</v>
      </c>
      <c r="E723" s="45" t="s">
        <v>3848</v>
      </c>
      <c r="F723" s="50" t="s">
        <v>3849</v>
      </c>
    </row>
    <row r="724" spans="1:7">
      <c r="A724" s="47"/>
      <c r="B724" s="47" t="s">
        <v>3366</v>
      </c>
      <c r="C724" s="48" t="s">
        <v>1635</v>
      </c>
      <c r="D724" s="48" t="s">
        <v>3850</v>
      </c>
      <c r="E724" s="48" t="s">
        <v>3851</v>
      </c>
      <c r="F724" s="49" t="s">
        <v>3852</v>
      </c>
    </row>
    <row r="725" spans="1:7">
      <c r="A725" s="44"/>
      <c r="B725" s="44" t="s">
        <v>3366</v>
      </c>
      <c r="C725" s="45" t="s">
        <v>1635</v>
      </c>
      <c r="D725" s="45" t="s">
        <v>3853</v>
      </c>
      <c r="E725" s="45" t="s">
        <v>3854</v>
      </c>
      <c r="F725" s="50" t="s">
        <v>3855</v>
      </c>
    </row>
    <row r="726" spans="1:7">
      <c r="A726" s="47"/>
      <c r="B726" s="47" t="s">
        <v>3366</v>
      </c>
      <c r="C726" s="48" t="s">
        <v>1635</v>
      </c>
      <c r="D726" s="48" t="s">
        <v>3856</v>
      </c>
      <c r="E726" s="48" t="s">
        <v>3857</v>
      </c>
      <c r="F726" s="49" t="s">
        <v>3858</v>
      </c>
    </row>
    <row r="727" spans="1:7">
      <c r="A727" s="44"/>
      <c r="B727" s="44" t="s">
        <v>3366</v>
      </c>
      <c r="C727" s="45" t="s">
        <v>1635</v>
      </c>
      <c r="D727" s="45" t="s">
        <v>3859</v>
      </c>
      <c r="E727" s="45" t="s">
        <v>3860</v>
      </c>
      <c r="F727" s="50" t="s">
        <v>3861</v>
      </c>
    </row>
    <row r="728" spans="1:7">
      <c r="A728" s="35"/>
      <c r="B728" s="35" t="s">
        <v>3366</v>
      </c>
      <c r="C728" s="36" t="s">
        <v>1635</v>
      </c>
      <c r="D728" s="36" t="s">
        <v>3862</v>
      </c>
      <c r="E728" s="36" t="s">
        <v>3863</v>
      </c>
      <c r="F728" s="37" t="s">
        <v>3864</v>
      </c>
    </row>
    <row r="729" spans="1:7">
      <c r="A729" s="38" t="s">
        <v>3865</v>
      </c>
      <c r="B729" s="38" t="s">
        <v>3866</v>
      </c>
      <c r="C729" s="40" t="s">
        <v>3867</v>
      </c>
      <c r="D729" s="39" t="s">
        <v>3865</v>
      </c>
      <c r="E729" s="40"/>
      <c r="F729" s="52" t="s">
        <v>3868</v>
      </c>
    </row>
    <row r="730" spans="1:7">
      <c r="A730" s="41" t="s">
        <v>3869</v>
      </c>
      <c r="B730" s="41" t="s">
        <v>3866</v>
      </c>
      <c r="C730" s="42" t="s">
        <v>3867</v>
      </c>
      <c r="D730" s="42" t="s">
        <v>3869</v>
      </c>
      <c r="E730" s="42"/>
      <c r="F730" s="43" t="s">
        <v>3870</v>
      </c>
    </row>
    <row r="731" spans="1:7">
      <c r="A731" s="38" t="s">
        <v>3871</v>
      </c>
      <c r="B731" s="38" t="s">
        <v>3866</v>
      </c>
      <c r="C731" s="40" t="s">
        <v>3867</v>
      </c>
      <c r="D731" s="40" t="s">
        <v>3871</v>
      </c>
      <c r="E731" s="40"/>
      <c r="F731" s="52" t="s">
        <v>3872</v>
      </c>
    </row>
    <row r="732" spans="1:7">
      <c r="A732" s="41" t="s">
        <v>3873</v>
      </c>
      <c r="B732" s="41" t="s">
        <v>3866</v>
      </c>
      <c r="C732" s="42" t="s">
        <v>3867</v>
      </c>
      <c r="D732" s="55" t="s">
        <v>3873</v>
      </c>
      <c r="E732" s="42"/>
      <c r="F732" s="43" t="s">
        <v>3874</v>
      </c>
    </row>
    <row r="733" spans="1:7">
      <c r="A733" s="38" t="s">
        <v>3875</v>
      </c>
      <c r="B733" s="38" t="s">
        <v>3866</v>
      </c>
      <c r="C733" s="40" t="s">
        <v>3867</v>
      </c>
      <c r="D733" s="39" t="s">
        <v>3875</v>
      </c>
      <c r="E733" s="40"/>
      <c r="F733" s="52" t="s">
        <v>3876</v>
      </c>
    </row>
    <row r="734" spans="1:7">
      <c r="A734" s="238" t="s">
        <v>3877</v>
      </c>
      <c r="B734" s="30" t="s">
        <v>3866</v>
      </c>
      <c r="C734" s="31" t="s">
        <v>3867</v>
      </c>
      <c r="D734" s="56" t="s">
        <v>3877</v>
      </c>
      <c r="E734" s="31"/>
      <c r="F734" s="32" t="s">
        <v>3878</v>
      </c>
    </row>
    <row r="735" spans="1:7" ht="75">
      <c r="A735" s="57" t="s">
        <v>3879</v>
      </c>
      <c r="B735" s="57" t="s">
        <v>3880</v>
      </c>
      <c r="C735" s="58" t="s">
        <v>3881</v>
      </c>
      <c r="D735" s="58" t="s">
        <v>3882</v>
      </c>
      <c r="E735" s="58" t="s">
        <v>3882</v>
      </c>
      <c r="F735" s="58" t="s">
        <v>3883</v>
      </c>
      <c r="G735" s="59" t="s">
        <v>3884</v>
      </c>
    </row>
    <row r="736" spans="1:7" ht="150">
      <c r="A736" s="60" t="s">
        <v>3885</v>
      </c>
      <c r="B736" s="60" t="s">
        <v>3880</v>
      </c>
      <c r="C736" s="61" t="s">
        <v>3881</v>
      </c>
      <c r="D736" s="61" t="s">
        <v>3886</v>
      </c>
      <c r="E736" s="61" t="s">
        <v>3886</v>
      </c>
      <c r="F736" s="61" t="s">
        <v>3887</v>
      </c>
      <c r="G736" s="62" t="s">
        <v>3888</v>
      </c>
    </row>
    <row r="737" spans="1:6">
      <c r="A737" s="38" t="s">
        <v>3889</v>
      </c>
      <c r="B737" s="38" t="s">
        <v>3890</v>
      </c>
      <c r="C737" s="40" t="s">
        <v>3891</v>
      </c>
      <c r="D737" s="39" t="s">
        <v>3889</v>
      </c>
      <c r="E737" s="40"/>
      <c r="F737" s="236" t="s">
        <v>3892</v>
      </c>
    </row>
    <row r="738" spans="1:6">
      <c r="A738" s="41" t="s">
        <v>3893</v>
      </c>
      <c r="B738" s="41" t="s">
        <v>3890</v>
      </c>
      <c r="C738" s="42" t="s">
        <v>3891</v>
      </c>
      <c r="D738" s="42" t="s">
        <v>3894</v>
      </c>
      <c r="E738" s="42"/>
      <c r="F738" s="65" t="s">
        <v>3895</v>
      </c>
    </row>
    <row r="739" spans="1:6">
      <c r="A739" s="38" t="s">
        <v>3896</v>
      </c>
      <c r="B739" s="38" t="s">
        <v>3890</v>
      </c>
      <c r="C739" s="235" t="s">
        <v>3891</v>
      </c>
      <c r="D739" s="40" t="s">
        <v>3896</v>
      </c>
      <c r="E739" s="40"/>
      <c r="F739" s="236" t="s">
        <v>3897</v>
      </c>
    </row>
    <row r="740" spans="1:6">
      <c r="A740" s="240" t="s">
        <v>3898</v>
      </c>
      <c r="B740" s="41" t="s">
        <v>3890</v>
      </c>
      <c r="C740" s="42" t="s">
        <v>3891</v>
      </c>
      <c r="D740" s="42" t="s">
        <v>3898</v>
      </c>
      <c r="E740" s="42"/>
      <c r="F740" s="65" t="s">
        <v>3899</v>
      </c>
    </row>
    <row r="741" spans="1:6">
      <c r="A741" s="38" t="s">
        <v>3900</v>
      </c>
      <c r="B741" s="38" t="s">
        <v>3890</v>
      </c>
      <c r="C741" s="40" t="s">
        <v>3891</v>
      </c>
      <c r="D741" s="40" t="s">
        <v>3900</v>
      </c>
      <c r="E741" s="40"/>
      <c r="F741" s="236" t="s">
        <v>3901</v>
      </c>
    </row>
    <row r="742" spans="1:6">
      <c r="A742" s="41" t="s">
        <v>3902</v>
      </c>
      <c r="B742" s="41" t="s">
        <v>3890</v>
      </c>
      <c r="C742" s="42" t="s">
        <v>3891</v>
      </c>
      <c r="D742" s="42" t="s">
        <v>3902</v>
      </c>
      <c r="E742" s="42"/>
      <c r="F742" s="65" t="s">
        <v>3903</v>
      </c>
    </row>
    <row r="743" spans="1:6">
      <c r="A743" s="38" t="s">
        <v>3904</v>
      </c>
      <c r="B743" s="38" t="s">
        <v>3890</v>
      </c>
      <c r="C743" s="40" t="s">
        <v>3891</v>
      </c>
      <c r="D743" s="40" t="s">
        <v>3904</v>
      </c>
      <c r="E743" s="40"/>
      <c r="F743" s="236" t="s">
        <v>3905</v>
      </c>
    </row>
    <row r="744" spans="1:6">
      <c r="A744" s="41" t="s">
        <v>3906</v>
      </c>
      <c r="B744" s="41" t="s">
        <v>3890</v>
      </c>
      <c r="C744" s="42" t="s">
        <v>3891</v>
      </c>
      <c r="D744" s="42" t="s">
        <v>3906</v>
      </c>
      <c r="E744" s="42"/>
      <c r="F744" s="65" t="s">
        <v>3907</v>
      </c>
    </row>
    <row r="745" spans="1:6">
      <c r="A745" s="38" t="s">
        <v>3908</v>
      </c>
      <c r="B745" s="38" t="s">
        <v>3890</v>
      </c>
      <c r="C745" s="40" t="s">
        <v>3891</v>
      </c>
      <c r="D745" s="40" t="s">
        <v>3908</v>
      </c>
      <c r="E745" s="40"/>
      <c r="F745" s="236" t="s">
        <v>3909</v>
      </c>
    </row>
    <row r="746" spans="1:6">
      <c r="A746" s="41" t="s">
        <v>3910</v>
      </c>
      <c r="B746" s="41" t="s">
        <v>3890</v>
      </c>
      <c r="C746" s="42" t="s">
        <v>3891</v>
      </c>
      <c r="D746" s="42" t="s">
        <v>3910</v>
      </c>
      <c r="E746" s="42"/>
      <c r="F746" s="65" t="s">
        <v>3911</v>
      </c>
    </row>
    <row r="747" spans="1:6">
      <c r="A747" s="38" t="s">
        <v>3912</v>
      </c>
      <c r="B747" s="38" t="s">
        <v>3890</v>
      </c>
      <c r="C747" s="40" t="s">
        <v>3891</v>
      </c>
      <c r="D747" s="40" t="s">
        <v>3912</v>
      </c>
      <c r="E747" s="40"/>
      <c r="F747" s="236" t="s">
        <v>3913</v>
      </c>
    </row>
    <row r="748" spans="1:6">
      <c r="A748" s="41" t="s">
        <v>3914</v>
      </c>
      <c r="B748" s="41" t="s">
        <v>3890</v>
      </c>
      <c r="C748" s="42" t="s">
        <v>3891</v>
      </c>
      <c r="D748" s="42" t="s">
        <v>3914</v>
      </c>
      <c r="E748" s="42"/>
      <c r="F748" s="65" t="s">
        <v>3915</v>
      </c>
    </row>
    <row r="749" spans="1:6">
      <c r="A749" s="38" t="s">
        <v>3916</v>
      </c>
      <c r="B749" s="38" t="s">
        <v>3890</v>
      </c>
      <c r="C749" s="40" t="s">
        <v>3891</v>
      </c>
      <c r="D749" s="40" t="s">
        <v>3916</v>
      </c>
      <c r="E749" s="40"/>
      <c r="F749" s="236" t="s">
        <v>3917</v>
      </c>
    </row>
    <row r="750" spans="1:6">
      <c r="A750" s="41" t="s">
        <v>3918</v>
      </c>
      <c r="B750" s="41" t="s">
        <v>3890</v>
      </c>
      <c r="C750" s="42" t="s">
        <v>3891</v>
      </c>
      <c r="D750" s="42" t="s">
        <v>3918</v>
      </c>
      <c r="E750" s="42"/>
      <c r="F750" s="65" t="s">
        <v>3919</v>
      </c>
    </row>
    <row r="751" spans="1:6">
      <c r="A751" s="38" t="s">
        <v>3920</v>
      </c>
      <c r="B751" s="38" t="s">
        <v>3890</v>
      </c>
      <c r="C751" s="40" t="s">
        <v>3891</v>
      </c>
      <c r="D751" s="40" t="s">
        <v>3920</v>
      </c>
      <c r="E751" s="40"/>
      <c r="F751" s="236" t="s">
        <v>3921</v>
      </c>
    </row>
    <row r="752" spans="1:6">
      <c r="A752" s="41" t="s">
        <v>3922</v>
      </c>
      <c r="B752" s="41" t="s">
        <v>3890</v>
      </c>
      <c r="C752" s="42" t="s">
        <v>3891</v>
      </c>
      <c r="D752" s="42" t="s">
        <v>3922</v>
      </c>
      <c r="E752" s="42"/>
      <c r="F752" s="65" t="s">
        <v>3923</v>
      </c>
    </row>
    <row r="753" spans="1:6">
      <c r="A753" s="38" t="s">
        <v>3924</v>
      </c>
      <c r="B753" s="38" t="s">
        <v>3890</v>
      </c>
      <c r="C753" s="40" t="s">
        <v>3891</v>
      </c>
      <c r="D753" s="40" t="s">
        <v>3924</v>
      </c>
      <c r="E753" s="40"/>
      <c r="F753" s="236" t="s">
        <v>3925</v>
      </c>
    </row>
    <row r="754" spans="1:6">
      <c r="A754" s="41" t="s">
        <v>3926</v>
      </c>
      <c r="B754" s="41" t="s">
        <v>3890</v>
      </c>
      <c r="C754" s="42" t="s">
        <v>3891</v>
      </c>
      <c r="D754" s="42" t="s">
        <v>3926</v>
      </c>
      <c r="E754" s="42"/>
      <c r="F754" s="65" t="s">
        <v>3927</v>
      </c>
    </row>
    <row r="755" spans="1:6">
      <c r="A755" s="38" t="s">
        <v>3928</v>
      </c>
      <c r="B755" s="38" t="s">
        <v>3890</v>
      </c>
      <c r="C755" s="40" t="s">
        <v>3891</v>
      </c>
      <c r="D755" s="40" t="s">
        <v>3928</v>
      </c>
      <c r="E755" s="40"/>
      <c r="F755" s="236" t="s">
        <v>3929</v>
      </c>
    </row>
    <row r="756" spans="1:6">
      <c r="A756" s="30" t="s">
        <v>3930</v>
      </c>
      <c r="B756" s="30" t="s">
        <v>3890</v>
      </c>
      <c r="C756" s="31" t="s">
        <v>3891</v>
      </c>
      <c r="D756" s="31" t="s">
        <v>3930</v>
      </c>
      <c r="E756" s="31"/>
      <c r="F756" s="239" t="s">
        <v>3931</v>
      </c>
    </row>
    <row r="757" spans="1:6">
      <c r="A757" s="44" t="s">
        <v>3932</v>
      </c>
      <c r="B757" s="44" t="s">
        <v>3933</v>
      </c>
      <c r="C757" s="45" t="s">
        <v>3934</v>
      </c>
      <c r="D757" s="241" t="s">
        <v>3932</v>
      </c>
      <c r="E757" s="45">
        <v>1</v>
      </c>
      <c r="F757" s="234" t="s">
        <v>3935</v>
      </c>
    </row>
    <row r="758" spans="1:6">
      <c r="A758" s="47" t="s">
        <v>3936</v>
      </c>
      <c r="B758" s="47" t="s">
        <v>3933</v>
      </c>
      <c r="C758" s="48" t="s">
        <v>3934</v>
      </c>
      <c r="D758" s="242" t="s">
        <v>3936</v>
      </c>
      <c r="E758" s="48">
        <v>2</v>
      </c>
      <c r="F758" s="244" t="s">
        <v>3937</v>
      </c>
    </row>
    <row r="759" spans="1:6">
      <c r="A759" s="44" t="s">
        <v>3938</v>
      </c>
      <c r="B759" s="44" t="s">
        <v>3933</v>
      </c>
      <c r="C759" s="45" t="s">
        <v>3934</v>
      </c>
      <c r="D759" s="241" t="s">
        <v>3938</v>
      </c>
      <c r="E759" s="45">
        <v>3</v>
      </c>
      <c r="F759" s="234" t="s">
        <v>3939</v>
      </c>
    </row>
    <row r="760" spans="1:6">
      <c r="A760" s="47" t="s">
        <v>3940</v>
      </c>
      <c r="B760" s="47" t="s">
        <v>3933</v>
      </c>
      <c r="C760" s="48" t="s">
        <v>3934</v>
      </c>
      <c r="D760" s="242" t="s">
        <v>3940</v>
      </c>
      <c r="E760" s="48">
        <v>4</v>
      </c>
      <c r="F760" s="244" t="s">
        <v>3941</v>
      </c>
    </row>
    <row r="761" spans="1:6">
      <c r="A761" s="44" t="s">
        <v>3942</v>
      </c>
      <c r="B761" s="44" t="s">
        <v>3933</v>
      </c>
      <c r="C761" s="45" t="s">
        <v>3934</v>
      </c>
      <c r="D761" s="241" t="s">
        <v>3942</v>
      </c>
      <c r="E761" s="45">
        <v>5</v>
      </c>
      <c r="F761" s="234" t="s">
        <v>3943</v>
      </c>
    </row>
    <row r="762" spans="1:6">
      <c r="A762" s="47" t="s">
        <v>3944</v>
      </c>
      <c r="B762" s="47" t="s">
        <v>3933</v>
      </c>
      <c r="C762" s="48" t="s">
        <v>3934</v>
      </c>
      <c r="D762" s="242" t="s">
        <v>3944</v>
      </c>
      <c r="E762" s="48">
        <v>6</v>
      </c>
      <c r="F762" s="244" t="s">
        <v>3945</v>
      </c>
    </row>
    <row r="763" spans="1:6">
      <c r="A763" s="44" t="s">
        <v>3946</v>
      </c>
      <c r="B763" s="44" t="s">
        <v>3933</v>
      </c>
      <c r="C763" s="45" t="s">
        <v>3934</v>
      </c>
      <c r="D763" s="241" t="s">
        <v>3946</v>
      </c>
      <c r="E763" s="45">
        <v>7</v>
      </c>
      <c r="F763" s="234" t="s">
        <v>3947</v>
      </c>
    </row>
    <row r="764" spans="1:6">
      <c r="A764" s="35" t="s">
        <v>3948</v>
      </c>
      <c r="B764" s="35" t="s">
        <v>3933</v>
      </c>
      <c r="C764" s="36" t="s">
        <v>3934</v>
      </c>
      <c r="D764" s="243" t="s">
        <v>3948</v>
      </c>
      <c r="E764" s="36">
        <v>8</v>
      </c>
      <c r="F764" s="245" t="s">
        <v>3949</v>
      </c>
    </row>
    <row r="765" spans="1:6" s="70" customFormat="1">
      <c r="A765" s="251" t="s">
        <v>3950</v>
      </c>
      <c r="B765" s="252" t="s">
        <v>3951</v>
      </c>
      <c r="C765" s="251" t="s">
        <v>3952</v>
      </c>
      <c r="D765" s="251" t="s">
        <v>3950</v>
      </c>
      <c r="E765" s="251"/>
      <c r="F765" s="253" t="s">
        <v>3953</v>
      </c>
    </row>
    <row r="766" spans="1:6" s="70" customFormat="1">
      <c r="A766" s="251" t="s">
        <v>3954</v>
      </c>
      <c r="B766" s="252" t="s">
        <v>3951</v>
      </c>
      <c r="C766" s="251" t="s">
        <v>3952</v>
      </c>
      <c r="D766" s="251" t="s">
        <v>3955</v>
      </c>
      <c r="E766" s="251"/>
      <c r="F766" s="254" t="s">
        <v>3956</v>
      </c>
    </row>
    <row r="767" spans="1:6" s="70" customFormat="1">
      <c r="A767" s="251" t="s">
        <v>3957</v>
      </c>
      <c r="B767" s="252" t="s">
        <v>3951</v>
      </c>
      <c r="C767" s="251" t="s">
        <v>3952</v>
      </c>
      <c r="D767" s="251" t="s">
        <v>3958</v>
      </c>
      <c r="E767" s="251"/>
      <c r="F767" s="255" t="s">
        <v>3959</v>
      </c>
    </row>
    <row r="768" spans="1:6" s="70" customFormat="1">
      <c r="A768" s="251" t="s">
        <v>3960</v>
      </c>
      <c r="B768" s="252" t="s">
        <v>3951</v>
      </c>
      <c r="C768" s="251" t="s">
        <v>3952</v>
      </c>
      <c r="D768" s="251" t="s">
        <v>3961</v>
      </c>
      <c r="E768" s="251"/>
      <c r="F768" s="255" t="s">
        <v>3962</v>
      </c>
    </row>
    <row r="769" spans="1:6" s="70" customFormat="1">
      <c r="A769" s="251" t="s">
        <v>3963</v>
      </c>
      <c r="B769" s="252" t="s">
        <v>3951</v>
      </c>
      <c r="C769" s="251" t="s">
        <v>3952</v>
      </c>
      <c r="D769" s="251" t="s">
        <v>3964</v>
      </c>
      <c r="E769" s="251"/>
      <c r="F769" s="255" t="s">
        <v>3965</v>
      </c>
    </row>
    <row r="770" spans="1:6" s="70" customFormat="1">
      <c r="A770" s="251" t="s">
        <v>3966</v>
      </c>
      <c r="B770" s="252" t="s">
        <v>3951</v>
      </c>
      <c r="C770" s="251" t="s">
        <v>3952</v>
      </c>
      <c r="D770" s="251" t="s">
        <v>3966</v>
      </c>
      <c r="E770" s="251"/>
      <c r="F770" s="255" t="s">
        <v>3967</v>
      </c>
    </row>
    <row r="771" spans="1:6" s="70" customFormat="1">
      <c r="A771" s="251" t="s">
        <v>3968</v>
      </c>
      <c r="B771" s="252" t="s">
        <v>3951</v>
      </c>
      <c r="C771" s="251" t="s">
        <v>3952</v>
      </c>
      <c r="D771" s="251" t="s">
        <v>3968</v>
      </c>
      <c r="E771" s="251"/>
      <c r="F771" s="255" t="s">
        <v>3969</v>
      </c>
    </row>
    <row r="772" spans="1:6" s="70" customFormat="1">
      <c r="A772" s="251" t="s">
        <v>3970</v>
      </c>
      <c r="B772" s="252" t="s">
        <v>3951</v>
      </c>
      <c r="C772" s="251" t="s">
        <v>3952</v>
      </c>
      <c r="D772" s="251" t="s">
        <v>3970</v>
      </c>
      <c r="E772" s="251"/>
      <c r="F772" s="255" t="s">
        <v>3971</v>
      </c>
    </row>
    <row r="773" spans="1:6" s="70" customFormat="1">
      <c r="A773" s="251" t="s">
        <v>3972</v>
      </c>
      <c r="B773" s="252" t="s">
        <v>3951</v>
      </c>
      <c r="C773" s="251" t="s">
        <v>3952</v>
      </c>
      <c r="D773" s="251" t="s">
        <v>3973</v>
      </c>
      <c r="E773" s="251"/>
      <c r="F773" s="255" t="s">
        <v>3974</v>
      </c>
    </row>
    <row r="774" spans="1:6" s="70" customFormat="1">
      <c r="A774" s="251" t="s">
        <v>3975</v>
      </c>
      <c r="B774" s="252" t="s">
        <v>3951</v>
      </c>
      <c r="C774" s="251" t="s">
        <v>3952</v>
      </c>
      <c r="D774" s="251" t="s">
        <v>3976</v>
      </c>
      <c r="E774" s="251"/>
      <c r="F774" s="255" t="s">
        <v>3977</v>
      </c>
    </row>
    <row r="775" spans="1:6" s="70" customFormat="1">
      <c r="A775" s="251" t="s">
        <v>3978</v>
      </c>
      <c r="B775" s="252" t="s">
        <v>3951</v>
      </c>
      <c r="C775" s="251" t="s">
        <v>3952</v>
      </c>
      <c r="D775" s="251" t="s">
        <v>3979</v>
      </c>
      <c r="E775" s="251"/>
      <c r="F775" s="255" t="s">
        <v>3980</v>
      </c>
    </row>
    <row r="776" spans="1:6" s="70" customFormat="1">
      <c r="A776" s="251" t="s">
        <v>3981</v>
      </c>
      <c r="B776" s="252" t="s">
        <v>3951</v>
      </c>
      <c r="C776" s="251" t="s">
        <v>3952</v>
      </c>
      <c r="D776" s="251" t="s">
        <v>3982</v>
      </c>
      <c r="E776" s="251"/>
      <c r="F776" s="255" t="s">
        <v>3983</v>
      </c>
    </row>
    <row r="777" spans="1:6" s="70" customFormat="1">
      <c r="A777" s="251" t="s">
        <v>3984</v>
      </c>
      <c r="B777" s="252" t="s">
        <v>3951</v>
      </c>
      <c r="C777" s="251" t="s">
        <v>3952</v>
      </c>
      <c r="D777" s="251" t="s">
        <v>3984</v>
      </c>
      <c r="E777" s="251"/>
      <c r="F777" s="255" t="s">
        <v>3985</v>
      </c>
    </row>
    <row r="778" spans="1:6" s="70" customFormat="1">
      <c r="A778" s="251" t="s">
        <v>3986</v>
      </c>
      <c r="B778" s="252" t="s">
        <v>3951</v>
      </c>
      <c r="C778" s="251" t="s">
        <v>3952</v>
      </c>
      <c r="D778" s="251" t="s">
        <v>3987</v>
      </c>
      <c r="E778" s="251"/>
      <c r="F778" s="255" t="s">
        <v>3988</v>
      </c>
    </row>
    <row r="779" spans="1:6" s="70" customFormat="1">
      <c r="A779" s="251" t="s">
        <v>3989</v>
      </c>
      <c r="B779" s="252" t="s">
        <v>3951</v>
      </c>
      <c r="C779" s="251" t="s">
        <v>3952</v>
      </c>
      <c r="D779" s="251" t="s">
        <v>3990</v>
      </c>
      <c r="E779" s="251"/>
      <c r="F779" s="255" t="s">
        <v>3991</v>
      </c>
    </row>
    <row r="780" spans="1:6" s="70" customFormat="1">
      <c r="A780" s="251" t="s">
        <v>3992</v>
      </c>
      <c r="B780" s="252" t="s">
        <v>3951</v>
      </c>
      <c r="C780" s="251" t="s">
        <v>3952</v>
      </c>
      <c r="D780" s="251" t="s">
        <v>3993</v>
      </c>
      <c r="E780" s="251"/>
      <c r="F780" s="255" t="s">
        <v>3994</v>
      </c>
    </row>
    <row r="781" spans="1:6" s="70" customFormat="1">
      <c r="A781" s="251" t="s">
        <v>3995</v>
      </c>
      <c r="B781" s="252" t="s">
        <v>3951</v>
      </c>
      <c r="C781" s="251" t="s">
        <v>3952</v>
      </c>
      <c r="D781" s="251" t="s">
        <v>3996</v>
      </c>
      <c r="E781" s="251"/>
      <c r="F781" s="255" t="s">
        <v>3997</v>
      </c>
    </row>
    <row r="782" spans="1:6" s="70" customFormat="1">
      <c r="A782" s="251" t="s">
        <v>3998</v>
      </c>
      <c r="B782" s="252" t="s">
        <v>3951</v>
      </c>
      <c r="C782" s="251" t="s">
        <v>3952</v>
      </c>
      <c r="D782" s="251" t="s">
        <v>3999</v>
      </c>
      <c r="E782" s="251"/>
      <c r="F782" s="255" t="s">
        <v>4000</v>
      </c>
    </row>
    <row r="783" spans="1:6" s="70" customFormat="1">
      <c r="A783" s="251" t="s">
        <v>4001</v>
      </c>
      <c r="B783" s="252" t="s">
        <v>3951</v>
      </c>
      <c r="C783" s="251" t="s">
        <v>3952</v>
      </c>
      <c r="D783" s="251" t="s">
        <v>4001</v>
      </c>
      <c r="E783" s="251"/>
      <c r="F783" s="255" t="s">
        <v>4002</v>
      </c>
    </row>
    <row r="784" spans="1:6" s="70" customFormat="1">
      <c r="A784" s="251" t="s">
        <v>4003</v>
      </c>
      <c r="B784" s="252" t="s">
        <v>3951</v>
      </c>
      <c r="C784" s="251" t="s">
        <v>3952</v>
      </c>
      <c r="D784" s="251" t="s">
        <v>4004</v>
      </c>
      <c r="E784" s="251"/>
      <c r="F784" s="255" t="s">
        <v>4005</v>
      </c>
    </row>
    <row r="785" spans="1:6" s="70" customFormat="1">
      <c r="A785" s="251" t="s">
        <v>4006</v>
      </c>
      <c r="B785" s="252" t="s">
        <v>3951</v>
      </c>
      <c r="C785" s="251" t="s">
        <v>3952</v>
      </c>
      <c r="D785" s="251" t="s">
        <v>4006</v>
      </c>
      <c r="E785" s="251"/>
      <c r="F785" s="255" t="s">
        <v>4007</v>
      </c>
    </row>
    <row r="786" spans="1:6" s="70" customFormat="1">
      <c r="A786" s="251" t="s">
        <v>4008</v>
      </c>
      <c r="B786" s="252" t="s">
        <v>3951</v>
      </c>
      <c r="C786" s="251" t="s">
        <v>3952</v>
      </c>
      <c r="D786" s="251" t="s">
        <v>4009</v>
      </c>
      <c r="E786" s="251"/>
      <c r="F786" s="255" t="s">
        <v>4010</v>
      </c>
    </row>
    <row r="787" spans="1:6" s="70" customFormat="1">
      <c r="A787" s="251" t="s">
        <v>4011</v>
      </c>
      <c r="B787" s="252" t="s">
        <v>3951</v>
      </c>
      <c r="C787" s="251" t="s">
        <v>3952</v>
      </c>
      <c r="D787" s="251" t="s">
        <v>4011</v>
      </c>
      <c r="E787" s="251"/>
      <c r="F787" s="255" t="s">
        <v>4012</v>
      </c>
    </row>
    <row r="788" spans="1:6" s="70" customFormat="1">
      <c r="A788" s="251" t="s">
        <v>4013</v>
      </c>
      <c r="B788" s="252" t="s">
        <v>3951</v>
      </c>
      <c r="C788" s="251" t="s">
        <v>3952</v>
      </c>
      <c r="D788" s="251" t="s">
        <v>4014</v>
      </c>
      <c r="E788" s="251"/>
      <c r="F788" s="255" t="s">
        <v>4015</v>
      </c>
    </row>
    <row r="789" spans="1:6" s="70" customFormat="1">
      <c r="A789" s="251" t="s">
        <v>4016</v>
      </c>
      <c r="B789" s="252" t="s">
        <v>3951</v>
      </c>
      <c r="C789" s="251" t="s">
        <v>3952</v>
      </c>
      <c r="D789" s="251" t="s">
        <v>4017</v>
      </c>
      <c r="E789" s="251"/>
      <c r="F789" s="255" t="s">
        <v>4018</v>
      </c>
    </row>
    <row r="790" spans="1:6" s="70" customFormat="1">
      <c r="A790" s="251" t="s">
        <v>4019</v>
      </c>
      <c r="B790" s="252" t="s">
        <v>3951</v>
      </c>
      <c r="C790" s="251" t="s">
        <v>3952</v>
      </c>
      <c r="D790" s="251" t="s">
        <v>4019</v>
      </c>
      <c r="E790" s="251"/>
      <c r="F790" s="255" t="s">
        <v>4020</v>
      </c>
    </row>
    <row r="791" spans="1:6" s="70" customFormat="1">
      <c r="A791" s="251" t="s">
        <v>4021</v>
      </c>
      <c r="B791" s="252" t="s">
        <v>3951</v>
      </c>
      <c r="C791" s="251" t="s">
        <v>3952</v>
      </c>
      <c r="D791" s="251" t="s">
        <v>4022</v>
      </c>
      <c r="E791" s="251"/>
      <c r="F791" s="255" t="s">
        <v>4023</v>
      </c>
    </row>
    <row r="792" spans="1:6" s="70" customFormat="1">
      <c r="A792" s="251" t="s">
        <v>4024</v>
      </c>
      <c r="B792" s="252" t="s">
        <v>3951</v>
      </c>
      <c r="C792" s="251" t="s">
        <v>3952</v>
      </c>
      <c r="D792" s="251" t="s">
        <v>4025</v>
      </c>
      <c r="E792" s="251"/>
      <c r="F792" s="255" t="s">
        <v>4026</v>
      </c>
    </row>
    <row r="793" spans="1:6" s="70" customFormat="1">
      <c r="A793" s="251" t="s">
        <v>4027</v>
      </c>
      <c r="B793" s="252" t="s">
        <v>3951</v>
      </c>
      <c r="C793" s="251" t="s">
        <v>3952</v>
      </c>
      <c r="D793" s="251" t="s">
        <v>4027</v>
      </c>
      <c r="E793" s="251"/>
      <c r="F793" s="255" t="s">
        <v>4028</v>
      </c>
    </row>
    <row r="794" spans="1:6" s="70" customFormat="1">
      <c r="A794" s="251" t="s">
        <v>4029</v>
      </c>
      <c r="B794" s="252" t="s">
        <v>3951</v>
      </c>
      <c r="C794" s="251" t="s">
        <v>3952</v>
      </c>
      <c r="D794" s="251" t="s">
        <v>4029</v>
      </c>
      <c r="E794" s="251"/>
      <c r="F794" s="255" t="s">
        <v>4030</v>
      </c>
    </row>
    <row r="795" spans="1:6" s="70" customFormat="1">
      <c r="A795" s="251" t="s">
        <v>4031</v>
      </c>
      <c r="B795" s="252" t="s">
        <v>3951</v>
      </c>
      <c r="C795" s="251" t="s">
        <v>3952</v>
      </c>
      <c r="D795" s="251" t="s">
        <v>4032</v>
      </c>
      <c r="E795" s="251"/>
      <c r="F795" s="255" t="s">
        <v>4033</v>
      </c>
    </row>
    <row r="796" spans="1:6" s="70" customFormat="1">
      <c r="A796" s="251" t="s">
        <v>4034</v>
      </c>
      <c r="B796" s="252" t="s">
        <v>3951</v>
      </c>
      <c r="C796" s="251" t="s">
        <v>3952</v>
      </c>
      <c r="D796" s="251" t="s">
        <v>4035</v>
      </c>
      <c r="E796" s="251"/>
      <c r="F796" s="255" t="s">
        <v>4036</v>
      </c>
    </row>
    <row r="797" spans="1:6" s="70" customFormat="1">
      <c r="A797" s="251" t="s">
        <v>4037</v>
      </c>
      <c r="B797" s="252" t="s">
        <v>3951</v>
      </c>
      <c r="C797" s="251" t="s">
        <v>3952</v>
      </c>
      <c r="D797" s="251" t="s">
        <v>4038</v>
      </c>
      <c r="E797" s="251"/>
      <c r="F797" s="255" t="s">
        <v>4039</v>
      </c>
    </row>
    <row r="798" spans="1:6" s="70" customFormat="1">
      <c r="A798" s="251" t="s">
        <v>4040</v>
      </c>
      <c r="B798" s="252" t="s">
        <v>3951</v>
      </c>
      <c r="C798" s="251" t="s">
        <v>3952</v>
      </c>
      <c r="D798" s="251" t="s">
        <v>4040</v>
      </c>
      <c r="E798" s="251"/>
      <c r="F798" s="255" t="s">
        <v>4041</v>
      </c>
    </row>
    <row r="799" spans="1:6" s="70" customFormat="1">
      <c r="A799" s="251" t="s">
        <v>4042</v>
      </c>
      <c r="B799" s="252" t="s">
        <v>3951</v>
      </c>
      <c r="C799" s="251" t="s">
        <v>3952</v>
      </c>
      <c r="D799" s="251" t="s">
        <v>4043</v>
      </c>
      <c r="E799" s="251"/>
      <c r="F799" s="255" t="s">
        <v>4044</v>
      </c>
    </row>
    <row r="800" spans="1:6" s="70" customFormat="1">
      <c r="A800" s="251" t="s">
        <v>4045</v>
      </c>
      <c r="B800" s="252" t="s">
        <v>3951</v>
      </c>
      <c r="C800" s="251" t="s">
        <v>3952</v>
      </c>
      <c r="D800" s="251" t="s">
        <v>4045</v>
      </c>
      <c r="E800" s="251"/>
      <c r="F800" s="255" t="s">
        <v>4046</v>
      </c>
    </row>
    <row r="801" spans="1:6" s="70" customFormat="1">
      <c r="A801" s="251" t="s">
        <v>4047</v>
      </c>
      <c r="B801" s="252" t="s">
        <v>3951</v>
      </c>
      <c r="C801" s="251" t="s">
        <v>3952</v>
      </c>
      <c r="D801" s="251" t="s">
        <v>4048</v>
      </c>
      <c r="E801" s="251"/>
      <c r="F801" s="255" t="s">
        <v>4049</v>
      </c>
    </row>
    <row r="802" spans="1:6" s="70" customFormat="1">
      <c r="A802" s="251" t="s">
        <v>4050</v>
      </c>
      <c r="B802" s="252" t="s">
        <v>3951</v>
      </c>
      <c r="C802" s="251" t="s">
        <v>3952</v>
      </c>
      <c r="D802" s="251" t="s">
        <v>4051</v>
      </c>
      <c r="E802" s="251"/>
      <c r="F802" s="255" t="s">
        <v>4052</v>
      </c>
    </row>
    <row r="803" spans="1:6" s="70" customFormat="1">
      <c r="A803" s="251" t="s">
        <v>4053</v>
      </c>
      <c r="B803" s="252" t="s">
        <v>3951</v>
      </c>
      <c r="C803" s="251" t="s">
        <v>3952</v>
      </c>
      <c r="D803" s="251" t="s">
        <v>4054</v>
      </c>
      <c r="E803" s="251"/>
      <c r="F803" s="255" t="s">
        <v>4055</v>
      </c>
    </row>
    <row r="804" spans="1:6" s="70" customFormat="1">
      <c r="A804" s="251" t="s">
        <v>4056</v>
      </c>
      <c r="B804" s="252" t="s">
        <v>3951</v>
      </c>
      <c r="C804" s="251" t="s">
        <v>3952</v>
      </c>
      <c r="D804" s="251" t="s">
        <v>4056</v>
      </c>
      <c r="E804" s="251"/>
      <c r="F804" s="255" t="s">
        <v>4057</v>
      </c>
    </row>
    <row r="805" spans="1:6" s="70" customFormat="1">
      <c r="A805" s="251" t="s">
        <v>4058</v>
      </c>
      <c r="B805" s="252" t="s">
        <v>3951</v>
      </c>
      <c r="C805" s="251" t="s">
        <v>3952</v>
      </c>
      <c r="D805" s="251" t="s">
        <v>4059</v>
      </c>
      <c r="E805" s="251"/>
      <c r="F805" s="255" t="s">
        <v>4060</v>
      </c>
    </row>
    <row r="806" spans="1:6" s="70" customFormat="1">
      <c r="A806" s="251" t="s">
        <v>4061</v>
      </c>
      <c r="B806" s="252" t="s">
        <v>3951</v>
      </c>
      <c r="C806" s="251" t="s">
        <v>3952</v>
      </c>
      <c r="D806" s="251" t="s">
        <v>4062</v>
      </c>
      <c r="E806" s="251"/>
      <c r="F806" s="255" t="s">
        <v>4063</v>
      </c>
    </row>
    <row r="807" spans="1:6" s="70" customFormat="1">
      <c r="A807" s="256" t="s">
        <v>4064</v>
      </c>
      <c r="B807" s="257" t="s">
        <v>3951</v>
      </c>
      <c r="C807" s="256" t="s">
        <v>3952</v>
      </c>
      <c r="D807" s="256" t="s">
        <v>4065</v>
      </c>
      <c r="E807" s="256"/>
      <c r="F807" s="258" t="s">
        <v>4066</v>
      </c>
    </row>
    <row r="808" spans="1:6">
      <c r="A808" s="42" t="s">
        <v>4067</v>
      </c>
      <c r="B808" s="41" t="s">
        <v>3951</v>
      </c>
      <c r="C808" s="42" t="s">
        <v>3952</v>
      </c>
      <c r="D808" s="42" t="s">
        <v>4068</v>
      </c>
      <c r="E808" s="42"/>
      <c r="F808" s="43" t="s">
        <v>4069</v>
      </c>
    </row>
    <row r="809" spans="1:6">
      <c r="A809" s="42" t="s">
        <v>4070</v>
      </c>
      <c r="B809" s="41" t="s">
        <v>3951</v>
      </c>
      <c r="C809" s="42" t="s">
        <v>3952</v>
      </c>
      <c r="D809" s="42" t="s">
        <v>4071</v>
      </c>
      <c r="E809" s="42"/>
      <c r="F809" s="43" t="s">
        <v>4072</v>
      </c>
    </row>
    <row r="810" spans="1:6">
      <c r="A810" s="42" t="s">
        <v>4073</v>
      </c>
      <c r="B810" s="41" t="s">
        <v>3951</v>
      </c>
      <c r="C810" s="42" t="s">
        <v>3952</v>
      </c>
      <c r="D810" s="42" t="s">
        <v>4074</v>
      </c>
      <c r="E810" s="42"/>
      <c r="F810" s="43" t="s">
        <v>4075</v>
      </c>
    </row>
    <row r="811" spans="1:6">
      <c r="A811" s="42" t="s">
        <v>4076</v>
      </c>
      <c r="B811" s="41" t="s">
        <v>3951</v>
      </c>
      <c r="C811" s="42" t="s">
        <v>3952</v>
      </c>
      <c r="D811" s="42" t="s">
        <v>4077</v>
      </c>
      <c r="E811" s="42"/>
      <c r="F811" s="43" t="s">
        <v>4078</v>
      </c>
    </row>
    <row r="812" spans="1:6">
      <c r="A812" s="42" t="s">
        <v>4079</v>
      </c>
      <c r="B812" s="41" t="s">
        <v>3951</v>
      </c>
      <c r="C812" s="42" t="s">
        <v>3952</v>
      </c>
      <c r="D812" s="42" t="s">
        <v>4080</v>
      </c>
      <c r="E812" s="42"/>
      <c r="F812" s="43" t="s">
        <v>4081</v>
      </c>
    </row>
    <row r="813" spans="1:6">
      <c r="A813" s="42" t="s">
        <v>4082</v>
      </c>
      <c r="B813" s="41" t="s">
        <v>3951</v>
      </c>
      <c r="C813" s="42" t="s">
        <v>3952</v>
      </c>
      <c r="D813" s="42" t="s">
        <v>4083</v>
      </c>
      <c r="E813" s="42"/>
      <c r="F813" s="43" t="s">
        <v>4084</v>
      </c>
    </row>
    <row r="814" spans="1:6">
      <c r="A814" s="42" t="s">
        <v>4085</v>
      </c>
      <c r="B814" s="41" t="s">
        <v>3951</v>
      </c>
      <c r="C814" s="42" t="s">
        <v>3952</v>
      </c>
      <c r="D814" s="42" t="s">
        <v>4086</v>
      </c>
      <c r="E814" s="42"/>
      <c r="F814" s="43" t="s">
        <v>4087</v>
      </c>
    </row>
    <row r="815" spans="1:6">
      <c r="A815" s="42" t="s">
        <v>4088</v>
      </c>
      <c r="B815" s="41" t="s">
        <v>3951</v>
      </c>
      <c r="C815" s="42" t="s">
        <v>3952</v>
      </c>
      <c r="D815" s="42" t="s">
        <v>4089</v>
      </c>
      <c r="E815" s="42"/>
      <c r="F815" s="43" t="s">
        <v>4090</v>
      </c>
    </row>
    <row r="816" spans="1:6">
      <c r="A816" s="42" t="s">
        <v>4091</v>
      </c>
      <c r="B816" s="41" t="s">
        <v>3951</v>
      </c>
      <c r="C816" s="42" t="s">
        <v>3952</v>
      </c>
      <c r="D816" s="42" t="s">
        <v>4091</v>
      </c>
      <c r="E816" s="42"/>
      <c r="F816" s="43" t="s">
        <v>4092</v>
      </c>
    </row>
    <row r="817" spans="1:6">
      <c r="A817" s="42" t="s">
        <v>4093</v>
      </c>
      <c r="B817" s="41" t="s">
        <v>3951</v>
      </c>
      <c r="C817" s="42" t="s">
        <v>3952</v>
      </c>
      <c r="D817" s="42" t="s">
        <v>4093</v>
      </c>
      <c r="E817" s="42"/>
      <c r="F817" s="43" t="s">
        <v>4094</v>
      </c>
    </row>
    <row r="818" spans="1:6">
      <c r="A818" s="42" t="s">
        <v>4095</v>
      </c>
      <c r="B818" s="41" t="s">
        <v>3951</v>
      </c>
      <c r="C818" s="42" t="s">
        <v>3952</v>
      </c>
      <c r="D818" s="42" t="s">
        <v>4095</v>
      </c>
      <c r="E818" s="42"/>
      <c r="F818" s="43" t="s">
        <v>4096</v>
      </c>
    </row>
    <row r="819" spans="1:6">
      <c r="A819" s="42" t="s">
        <v>4097</v>
      </c>
      <c r="B819" s="41" t="s">
        <v>3951</v>
      </c>
      <c r="C819" s="42" t="s">
        <v>3952</v>
      </c>
      <c r="D819" s="42" t="s">
        <v>4097</v>
      </c>
      <c r="E819" s="42"/>
      <c r="F819" s="43" t="s">
        <v>4098</v>
      </c>
    </row>
    <row r="820" spans="1:6">
      <c r="A820" s="42" t="s">
        <v>4099</v>
      </c>
      <c r="B820" s="41" t="s">
        <v>3951</v>
      </c>
      <c r="C820" s="42" t="s">
        <v>3952</v>
      </c>
      <c r="D820" s="42" t="s">
        <v>4099</v>
      </c>
      <c r="E820" s="42"/>
      <c r="F820" s="43" t="s">
        <v>4100</v>
      </c>
    </row>
    <row r="821" spans="1:6">
      <c r="A821" s="42" t="s">
        <v>4101</v>
      </c>
      <c r="B821" s="41" t="s">
        <v>3951</v>
      </c>
      <c r="C821" s="42" t="s">
        <v>3952</v>
      </c>
      <c r="D821" s="42" t="s">
        <v>4101</v>
      </c>
      <c r="E821" s="42"/>
      <c r="F821" s="43" t="s">
        <v>4102</v>
      </c>
    </row>
    <row r="822" spans="1:6">
      <c r="A822" s="42" t="s">
        <v>4103</v>
      </c>
      <c r="B822" s="41" t="s">
        <v>3951</v>
      </c>
      <c r="C822" s="42" t="s">
        <v>3952</v>
      </c>
      <c r="D822" s="42" t="s">
        <v>4103</v>
      </c>
      <c r="E822" s="42"/>
      <c r="F822" s="43" t="s">
        <v>4104</v>
      </c>
    </row>
    <row r="823" spans="1:6">
      <c r="A823" s="42" t="s">
        <v>4105</v>
      </c>
      <c r="B823" s="41" t="s">
        <v>3951</v>
      </c>
      <c r="C823" s="42" t="s">
        <v>3952</v>
      </c>
      <c r="D823" s="42" t="s">
        <v>4105</v>
      </c>
      <c r="E823" s="42"/>
      <c r="F823" s="43" t="s">
        <v>4106</v>
      </c>
    </row>
    <row r="824" spans="1:6">
      <c r="A824" s="42" t="s">
        <v>4107</v>
      </c>
      <c r="B824" s="41" t="s">
        <v>3951</v>
      </c>
      <c r="C824" s="42" t="s">
        <v>3952</v>
      </c>
      <c r="D824" s="42" t="s">
        <v>4108</v>
      </c>
      <c r="E824" s="42"/>
      <c r="F824" s="43" t="s">
        <v>4109</v>
      </c>
    </row>
    <row r="825" spans="1:6">
      <c r="A825" s="42" t="s">
        <v>4110</v>
      </c>
      <c r="B825" s="41" t="s">
        <v>3951</v>
      </c>
      <c r="C825" s="42" t="s">
        <v>3952</v>
      </c>
      <c r="D825" s="42" t="s">
        <v>4111</v>
      </c>
      <c r="E825" s="42"/>
      <c r="F825" s="43" t="s">
        <v>4112</v>
      </c>
    </row>
    <row r="826" spans="1:6">
      <c r="A826" s="42" t="s">
        <v>4113</v>
      </c>
      <c r="B826" s="41" t="s">
        <v>3951</v>
      </c>
      <c r="C826" s="42" t="s">
        <v>3952</v>
      </c>
      <c r="D826" s="42" t="s">
        <v>4114</v>
      </c>
      <c r="E826" s="42"/>
      <c r="F826" s="43" t="s">
        <v>4115</v>
      </c>
    </row>
    <row r="827" spans="1:6">
      <c r="A827" s="42" t="s">
        <v>4116</v>
      </c>
      <c r="B827" s="41" t="s">
        <v>3951</v>
      </c>
      <c r="C827" s="42" t="s">
        <v>3952</v>
      </c>
      <c r="D827" s="42" t="s">
        <v>4117</v>
      </c>
      <c r="E827" s="42"/>
      <c r="F827" s="43" t="s">
        <v>4118</v>
      </c>
    </row>
    <row r="828" spans="1:6">
      <c r="A828" s="42" t="s">
        <v>4119</v>
      </c>
      <c r="B828" s="41" t="s">
        <v>3951</v>
      </c>
      <c r="C828" s="42" t="s">
        <v>3952</v>
      </c>
      <c r="D828" s="42" t="s">
        <v>4120</v>
      </c>
      <c r="E828" s="42"/>
      <c r="F828" s="43" t="s">
        <v>4121</v>
      </c>
    </row>
    <row r="829" spans="1:6">
      <c r="A829" s="42" t="s">
        <v>4122</v>
      </c>
      <c r="B829" s="41" t="s">
        <v>3951</v>
      </c>
      <c r="C829" s="42" t="s">
        <v>3952</v>
      </c>
      <c r="D829" s="42" t="s">
        <v>4123</v>
      </c>
      <c r="E829" s="42"/>
      <c r="F829" s="43" t="s">
        <v>4124</v>
      </c>
    </row>
    <row r="830" spans="1:6">
      <c r="A830" s="42" t="s">
        <v>4125</v>
      </c>
      <c r="B830" s="41" t="s">
        <v>3951</v>
      </c>
      <c r="C830" s="42" t="s">
        <v>3952</v>
      </c>
      <c r="D830" s="42" t="s">
        <v>4126</v>
      </c>
      <c r="E830" s="42"/>
      <c r="F830" s="43" t="s">
        <v>4127</v>
      </c>
    </row>
    <row r="831" spans="1:6">
      <c r="A831" s="42" t="s">
        <v>4128</v>
      </c>
      <c r="B831" s="41" t="s">
        <v>3951</v>
      </c>
      <c r="C831" s="42" t="s">
        <v>3952</v>
      </c>
      <c r="D831" s="42" t="s">
        <v>4129</v>
      </c>
      <c r="E831" s="42"/>
      <c r="F831" s="43" t="s">
        <v>4130</v>
      </c>
    </row>
    <row r="832" spans="1:6">
      <c r="A832" s="42" t="s">
        <v>4131</v>
      </c>
      <c r="B832" s="41" t="s">
        <v>3951</v>
      </c>
      <c r="C832" s="42" t="s">
        <v>3952</v>
      </c>
      <c r="D832" s="42" t="s">
        <v>4132</v>
      </c>
      <c r="E832" s="42"/>
      <c r="F832" s="43" t="s">
        <v>4133</v>
      </c>
    </row>
    <row r="833" spans="1:6">
      <c r="A833" s="42" t="s">
        <v>4134</v>
      </c>
      <c r="B833" s="41" t="s">
        <v>3951</v>
      </c>
      <c r="C833" s="42" t="s">
        <v>3952</v>
      </c>
      <c r="D833" s="42" t="s">
        <v>4135</v>
      </c>
      <c r="E833" s="42"/>
      <c r="F833" s="43" t="s">
        <v>4136</v>
      </c>
    </row>
    <row r="834" spans="1:6">
      <c r="A834" s="42" t="s">
        <v>4137</v>
      </c>
      <c r="B834" s="41" t="s">
        <v>3951</v>
      </c>
      <c r="C834" s="42" t="s">
        <v>3952</v>
      </c>
      <c r="D834" s="42" t="s">
        <v>4138</v>
      </c>
      <c r="E834" s="42"/>
      <c r="F834" s="43" t="s">
        <v>4139</v>
      </c>
    </row>
    <row r="835" spans="1:6">
      <c r="A835" s="42" t="s">
        <v>4140</v>
      </c>
      <c r="B835" s="41" t="s">
        <v>3951</v>
      </c>
      <c r="C835" s="42" t="s">
        <v>3952</v>
      </c>
      <c r="D835" s="42" t="s">
        <v>4141</v>
      </c>
      <c r="E835" s="42"/>
      <c r="F835" s="43" t="s">
        <v>4142</v>
      </c>
    </row>
    <row r="836" spans="1:6">
      <c r="A836" s="42" t="s">
        <v>4143</v>
      </c>
      <c r="B836" s="41" t="s">
        <v>3951</v>
      </c>
      <c r="C836" s="42" t="s">
        <v>3952</v>
      </c>
      <c r="D836" s="42" t="s">
        <v>4144</v>
      </c>
      <c r="E836" s="42"/>
      <c r="F836" s="43" t="s">
        <v>4145</v>
      </c>
    </row>
    <row r="837" spans="1:6">
      <c r="A837" s="42" t="s">
        <v>4146</v>
      </c>
      <c r="B837" s="41" t="s">
        <v>3951</v>
      </c>
      <c r="C837" s="42" t="s">
        <v>3952</v>
      </c>
      <c r="D837" s="42" t="s">
        <v>4147</v>
      </c>
      <c r="E837" s="42"/>
      <c r="F837" s="43" t="s">
        <v>4148</v>
      </c>
    </row>
    <row r="838" spans="1:6">
      <c r="A838" s="42" t="s">
        <v>4149</v>
      </c>
      <c r="B838" s="41" t="s">
        <v>3951</v>
      </c>
      <c r="C838" s="42" t="s">
        <v>3952</v>
      </c>
      <c r="D838" s="42" t="s">
        <v>4150</v>
      </c>
      <c r="E838" s="42"/>
      <c r="F838" s="43" t="s">
        <v>4151</v>
      </c>
    </row>
    <row r="839" spans="1:6">
      <c r="A839" s="42" t="s">
        <v>4152</v>
      </c>
      <c r="B839" s="41" t="s">
        <v>3951</v>
      </c>
      <c r="C839" s="42" t="s">
        <v>3952</v>
      </c>
      <c r="D839" s="42" t="s">
        <v>4153</v>
      </c>
      <c r="E839" s="42"/>
      <c r="F839" s="43" t="s">
        <v>4154</v>
      </c>
    </row>
    <row r="840" spans="1:6">
      <c r="A840" s="42" t="s">
        <v>4155</v>
      </c>
      <c r="B840" s="41" t="s">
        <v>3951</v>
      </c>
      <c r="C840" s="42" t="s">
        <v>3952</v>
      </c>
      <c r="D840" s="42" t="s">
        <v>4156</v>
      </c>
      <c r="E840" s="42"/>
      <c r="F840" s="43" t="s">
        <v>4157</v>
      </c>
    </row>
    <row r="841" spans="1:6">
      <c r="A841" s="42" t="s">
        <v>4158</v>
      </c>
      <c r="B841" s="41" t="s">
        <v>3951</v>
      </c>
      <c r="C841" s="42" t="s">
        <v>3952</v>
      </c>
      <c r="D841" s="42" t="s">
        <v>4159</v>
      </c>
      <c r="E841" s="42"/>
      <c r="F841" s="43" t="s">
        <v>4160</v>
      </c>
    </row>
    <row r="842" spans="1:6">
      <c r="A842" s="42" t="s">
        <v>4161</v>
      </c>
      <c r="B842" s="41" t="s">
        <v>3951</v>
      </c>
      <c r="C842" s="42" t="s">
        <v>3952</v>
      </c>
      <c r="D842" s="42" t="s">
        <v>4162</v>
      </c>
      <c r="E842" s="42"/>
      <c r="F842" s="43" t="s">
        <v>4163</v>
      </c>
    </row>
    <row r="843" spans="1:6">
      <c r="A843" s="42" t="s">
        <v>4164</v>
      </c>
      <c r="B843" s="41" t="s">
        <v>3951</v>
      </c>
      <c r="C843" s="42" t="s">
        <v>3952</v>
      </c>
      <c r="D843" s="42" t="s">
        <v>4165</v>
      </c>
      <c r="E843" s="42"/>
      <c r="F843" s="43" t="s">
        <v>4166</v>
      </c>
    </row>
    <row r="844" spans="1:6">
      <c r="A844" s="42" t="s">
        <v>4167</v>
      </c>
      <c r="B844" s="41" t="s">
        <v>3951</v>
      </c>
      <c r="C844" s="42" t="s">
        <v>3952</v>
      </c>
      <c r="D844" s="42" t="s">
        <v>4168</v>
      </c>
      <c r="E844" s="42"/>
      <c r="F844" s="43" t="s">
        <v>4169</v>
      </c>
    </row>
    <row r="845" spans="1:6">
      <c r="A845" s="42" t="s">
        <v>4170</v>
      </c>
      <c r="B845" s="41" t="s">
        <v>3951</v>
      </c>
      <c r="C845" s="42" t="s">
        <v>3952</v>
      </c>
      <c r="D845" s="42" t="s">
        <v>4171</v>
      </c>
      <c r="E845" s="42"/>
      <c r="F845" s="43" t="s">
        <v>4172</v>
      </c>
    </row>
    <row r="846" spans="1:6">
      <c r="A846" s="42" t="s">
        <v>4173</v>
      </c>
      <c r="B846" s="41" t="s">
        <v>3951</v>
      </c>
      <c r="C846" s="42" t="s">
        <v>3952</v>
      </c>
      <c r="D846" s="42" t="s">
        <v>4174</v>
      </c>
      <c r="E846" s="42"/>
      <c r="F846" s="43" t="s">
        <v>4175</v>
      </c>
    </row>
    <row r="847" spans="1:6">
      <c r="A847" s="42" t="s">
        <v>4176</v>
      </c>
      <c r="B847" s="41" t="s">
        <v>3951</v>
      </c>
      <c r="C847" s="42" t="s">
        <v>3952</v>
      </c>
      <c r="D847" s="42" t="s">
        <v>4177</v>
      </c>
      <c r="E847" s="42"/>
      <c r="F847" s="43" t="s">
        <v>4178</v>
      </c>
    </row>
    <row r="848" spans="1:6">
      <c r="A848" s="42" t="s">
        <v>4179</v>
      </c>
      <c r="B848" s="41" t="s">
        <v>3951</v>
      </c>
      <c r="C848" s="42" t="s">
        <v>3952</v>
      </c>
      <c r="D848" s="42" t="s">
        <v>4180</v>
      </c>
      <c r="E848" s="42"/>
      <c r="F848" s="43" t="s">
        <v>4181</v>
      </c>
    </row>
    <row r="849" spans="1:6">
      <c r="A849" s="42" t="s">
        <v>4182</v>
      </c>
      <c r="B849" s="41" t="s">
        <v>3951</v>
      </c>
      <c r="C849" s="42" t="s">
        <v>3952</v>
      </c>
      <c r="D849" s="42" t="s">
        <v>4183</v>
      </c>
      <c r="E849" s="42"/>
      <c r="F849" s="43" t="s">
        <v>4184</v>
      </c>
    </row>
    <row r="850" spans="1:6">
      <c r="A850" s="42" t="s">
        <v>4185</v>
      </c>
      <c r="B850" s="41" t="s">
        <v>3951</v>
      </c>
      <c r="C850" s="42" t="s">
        <v>3952</v>
      </c>
      <c r="D850" s="42" t="s">
        <v>4186</v>
      </c>
      <c r="E850" s="42"/>
      <c r="F850" s="43" t="s">
        <v>4187</v>
      </c>
    </row>
    <row r="851" spans="1:6">
      <c r="A851" s="42" t="s">
        <v>4188</v>
      </c>
      <c r="B851" s="41" t="s">
        <v>3951</v>
      </c>
      <c r="C851" s="42" t="s">
        <v>3952</v>
      </c>
      <c r="D851" s="42" t="s">
        <v>4189</v>
      </c>
      <c r="E851" s="42"/>
      <c r="F851" s="43" t="s">
        <v>4190</v>
      </c>
    </row>
    <row r="852" spans="1:6">
      <c r="A852" s="42" t="s">
        <v>4191</v>
      </c>
      <c r="B852" s="41" t="s">
        <v>3951</v>
      </c>
      <c r="C852" s="42" t="s">
        <v>3952</v>
      </c>
      <c r="D852" s="42" t="s">
        <v>4192</v>
      </c>
      <c r="E852" s="42"/>
      <c r="F852" s="43" t="s">
        <v>4193</v>
      </c>
    </row>
    <row r="853" spans="1:6">
      <c r="A853" s="42" t="s">
        <v>4194</v>
      </c>
      <c r="B853" s="41" t="s">
        <v>3951</v>
      </c>
      <c r="C853" s="42" t="s">
        <v>3952</v>
      </c>
      <c r="D853" s="42" t="s">
        <v>4195</v>
      </c>
      <c r="E853" s="42"/>
      <c r="F853" s="43" t="s">
        <v>4196</v>
      </c>
    </row>
    <row r="854" spans="1:6">
      <c r="A854" s="42" t="s">
        <v>4197</v>
      </c>
      <c r="B854" s="41" t="s">
        <v>3951</v>
      </c>
      <c r="C854" s="42" t="s">
        <v>3952</v>
      </c>
      <c r="D854" s="42" t="s">
        <v>4198</v>
      </c>
      <c r="E854" s="42"/>
      <c r="F854" s="43" t="s">
        <v>4199</v>
      </c>
    </row>
    <row r="855" spans="1:6">
      <c r="A855" s="42" t="s">
        <v>4200</v>
      </c>
      <c r="B855" s="41" t="s">
        <v>3951</v>
      </c>
      <c r="C855" s="42" t="s">
        <v>3952</v>
      </c>
      <c r="D855" s="42" t="s">
        <v>4201</v>
      </c>
      <c r="E855" s="42"/>
      <c r="F855" s="43" t="s">
        <v>4202</v>
      </c>
    </row>
    <row r="856" spans="1:6">
      <c r="A856" s="42" t="s">
        <v>4203</v>
      </c>
      <c r="B856" s="41" t="s">
        <v>3951</v>
      </c>
      <c r="C856" s="42" t="s">
        <v>3952</v>
      </c>
      <c r="D856" s="42" t="s">
        <v>4204</v>
      </c>
      <c r="E856" s="42"/>
      <c r="F856" s="43" t="s">
        <v>4205</v>
      </c>
    </row>
    <row r="857" spans="1:6">
      <c r="A857" s="42" t="s">
        <v>4206</v>
      </c>
      <c r="B857" s="41" t="s">
        <v>3951</v>
      </c>
      <c r="C857" s="42" t="s">
        <v>3952</v>
      </c>
      <c r="D857" s="42" t="s">
        <v>4207</v>
      </c>
      <c r="E857" s="42"/>
      <c r="F857" s="43" t="s">
        <v>4208</v>
      </c>
    </row>
    <row r="858" spans="1:6">
      <c r="A858" s="42" t="s">
        <v>4209</v>
      </c>
      <c r="B858" s="41" t="s">
        <v>3951</v>
      </c>
      <c r="C858" s="42" t="s">
        <v>3952</v>
      </c>
      <c r="D858" s="42" t="s">
        <v>4210</v>
      </c>
      <c r="E858" s="42"/>
      <c r="F858" s="43" t="s">
        <v>4211</v>
      </c>
    </row>
    <row r="859" spans="1:6">
      <c r="A859" s="42" t="s">
        <v>4212</v>
      </c>
      <c r="B859" s="41" t="s">
        <v>3951</v>
      </c>
      <c r="C859" s="42" t="s">
        <v>3952</v>
      </c>
      <c r="D859" s="42" t="s">
        <v>4213</v>
      </c>
      <c r="E859" s="42"/>
      <c r="F859" s="43" t="s">
        <v>4214</v>
      </c>
    </row>
    <row r="860" spans="1:6">
      <c r="A860" s="42" t="s">
        <v>4215</v>
      </c>
      <c r="B860" s="41" t="s">
        <v>3951</v>
      </c>
      <c r="C860" s="42" t="s">
        <v>3952</v>
      </c>
      <c r="D860" s="42" t="s">
        <v>4216</v>
      </c>
      <c r="E860" s="42"/>
      <c r="F860" s="43" t="s">
        <v>4217</v>
      </c>
    </row>
    <row r="861" spans="1:6">
      <c r="A861" s="42" t="s">
        <v>4218</v>
      </c>
      <c r="B861" s="41" t="s">
        <v>3951</v>
      </c>
      <c r="C861" s="42" t="s">
        <v>3952</v>
      </c>
      <c r="D861" s="42" t="s">
        <v>4219</v>
      </c>
      <c r="E861" s="42"/>
      <c r="F861" s="43" t="s">
        <v>4220</v>
      </c>
    </row>
    <row r="862" spans="1:6">
      <c r="A862" s="42" t="s">
        <v>4221</v>
      </c>
      <c r="B862" s="41" t="s">
        <v>3951</v>
      </c>
      <c r="C862" s="42" t="s">
        <v>3952</v>
      </c>
      <c r="D862" s="42" t="s">
        <v>4222</v>
      </c>
      <c r="E862" s="42"/>
      <c r="F862" s="43" t="s">
        <v>4223</v>
      </c>
    </row>
    <row r="863" spans="1:6">
      <c r="A863" s="42" t="s">
        <v>4224</v>
      </c>
      <c r="B863" s="41" t="s">
        <v>3951</v>
      </c>
      <c r="C863" s="42" t="s">
        <v>3952</v>
      </c>
      <c r="D863" s="42" t="s">
        <v>4225</v>
      </c>
      <c r="E863" s="42"/>
      <c r="F863" s="43" t="s">
        <v>4226</v>
      </c>
    </row>
    <row r="864" spans="1:6">
      <c r="A864" s="42" t="s">
        <v>4227</v>
      </c>
      <c r="B864" s="41" t="s">
        <v>3951</v>
      </c>
      <c r="C864" s="42" t="s">
        <v>3952</v>
      </c>
      <c r="D864" s="42" t="s">
        <v>4228</v>
      </c>
      <c r="E864" s="42"/>
      <c r="F864" s="43" t="s">
        <v>4229</v>
      </c>
    </row>
    <row r="865" spans="1:6">
      <c r="A865" s="42" t="s">
        <v>4230</v>
      </c>
      <c r="B865" s="41" t="s">
        <v>3951</v>
      </c>
      <c r="C865" s="42" t="s">
        <v>3952</v>
      </c>
      <c r="D865" s="42" t="s">
        <v>4231</v>
      </c>
      <c r="E865" s="42"/>
      <c r="F865" s="43" t="s">
        <v>4232</v>
      </c>
    </row>
    <row r="866" spans="1:6">
      <c r="A866" s="42" t="s">
        <v>4233</v>
      </c>
      <c r="B866" s="41" t="s">
        <v>3951</v>
      </c>
      <c r="C866" s="42" t="s">
        <v>3952</v>
      </c>
      <c r="D866" s="42" t="s">
        <v>4234</v>
      </c>
      <c r="E866" s="42"/>
      <c r="F866" s="43" t="s">
        <v>4235</v>
      </c>
    </row>
    <row r="867" spans="1:6">
      <c r="A867" s="42" t="s">
        <v>4236</v>
      </c>
      <c r="B867" s="41" t="s">
        <v>3951</v>
      </c>
      <c r="C867" s="42" t="s">
        <v>3952</v>
      </c>
      <c r="D867" s="42" t="s">
        <v>4237</v>
      </c>
      <c r="E867" s="42"/>
      <c r="F867" s="43" t="s">
        <v>4238</v>
      </c>
    </row>
    <row r="868" spans="1:6">
      <c r="A868" s="42" t="s">
        <v>4239</v>
      </c>
      <c r="B868" s="41" t="s">
        <v>3951</v>
      </c>
      <c r="C868" s="42" t="s">
        <v>3952</v>
      </c>
      <c r="D868" s="42" t="s">
        <v>4240</v>
      </c>
      <c r="E868" s="42"/>
      <c r="F868" s="43" t="s">
        <v>4241</v>
      </c>
    </row>
    <row r="869" spans="1:6">
      <c r="A869" s="42" t="s">
        <v>4242</v>
      </c>
      <c r="B869" s="41" t="s">
        <v>3951</v>
      </c>
      <c r="C869" s="42" t="s">
        <v>3952</v>
      </c>
      <c r="D869" s="42" t="s">
        <v>4243</v>
      </c>
      <c r="E869" s="42"/>
      <c r="F869" s="43" t="s">
        <v>4244</v>
      </c>
    </row>
    <row r="870" spans="1:6">
      <c r="A870" s="42" t="s">
        <v>4245</v>
      </c>
      <c r="B870" s="41" t="s">
        <v>3951</v>
      </c>
      <c r="C870" s="42" t="s">
        <v>3952</v>
      </c>
      <c r="D870" s="42" t="s">
        <v>4246</v>
      </c>
      <c r="E870" s="42"/>
      <c r="F870" s="43" t="s">
        <v>4247</v>
      </c>
    </row>
    <row r="871" spans="1:6">
      <c r="A871" s="42" t="s">
        <v>4248</v>
      </c>
      <c r="B871" s="41" t="s">
        <v>3951</v>
      </c>
      <c r="C871" s="42" t="s">
        <v>3952</v>
      </c>
      <c r="D871" s="42" t="s">
        <v>4249</v>
      </c>
      <c r="E871" s="42"/>
      <c r="F871" s="43" t="s">
        <v>4250</v>
      </c>
    </row>
    <row r="872" spans="1:6">
      <c r="A872" s="42" t="s">
        <v>4251</v>
      </c>
      <c r="B872" s="41" t="s">
        <v>3951</v>
      </c>
      <c r="C872" s="42" t="s">
        <v>3952</v>
      </c>
      <c r="D872" s="42" t="s">
        <v>4252</v>
      </c>
      <c r="E872" s="42"/>
      <c r="F872" s="43" t="s">
        <v>4253</v>
      </c>
    </row>
    <row r="873" spans="1:6">
      <c r="A873" s="42" t="s">
        <v>4254</v>
      </c>
      <c r="B873" s="41" t="s">
        <v>3951</v>
      </c>
      <c r="C873" s="42" t="s">
        <v>3952</v>
      </c>
      <c r="D873" s="42" t="s">
        <v>4255</v>
      </c>
      <c r="E873" s="42"/>
      <c r="F873" s="43" t="s">
        <v>4256</v>
      </c>
    </row>
    <row r="874" spans="1:6">
      <c r="A874" s="42" t="s">
        <v>4257</v>
      </c>
      <c r="B874" s="41" t="s">
        <v>3951</v>
      </c>
      <c r="C874" s="42" t="s">
        <v>3952</v>
      </c>
      <c r="D874" s="42" t="s">
        <v>4258</v>
      </c>
      <c r="E874" s="42"/>
      <c r="F874" s="43" t="s">
        <v>4259</v>
      </c>
    </row>
    <row r="875" spans="1:6">
      <c r="A875" s="42" t="s">
        <v>4260</v>
      </c>
      <c r="B875" s="41" t="s">
        <v>3951</v>
      </c>
      <c r="C875" s="42" t="s">
        <v>3952</v>
      </c>
      <c r="D875" s="42" t="s">
        <v>4261</v>
      </c>
      <c r="E875" s="42"/>
      <c r="F875" s="43" t="s">
        <v>4262</v>
      </c>
    </row>
    <row r="876" spans="1:6">
      <c r="A876" s="42" t="s">
        <v>4263</v>
      </c>
      <c r="B876" s="41" t="s">
        <v>3951</v>
      </c>
      <c r="C876" s="42" t="s">
        <v>3952</v>
      </c>
      <c r="D876" s="42" t="s">
        <v>4264</v>
      </c>
      <c r="E876" s="42"/>
      <c r="F876" s="43" t="s">
        <v>4265</v>
      </c>
    </row>
    <row r="877" spans="1:6">
      <c r="A877" s="42" t="s">
        <v>4266</v>
      </c>
      <c r="B877" s="41" t="s">
        <v>3951</v>
      </c>
      <c r="C877" s="42" t="s">
        <v>3952</v>
      </c>
      <c r="D877" s="42" t="s">
        <v>4267</v>
      </c>
      <c r="E877" s="42"/>
      <c r="F877" s="43" t="s">
        <v>4268</v>
      </c>
    </row>
    <row r="878" spans="1:6">
      <c r="A878" s="42" t="s">
        <v>4269</v>
      </c>
      <c r="B878" s="41" t="s">
        <v>3951</v>
      </c>
      <c r="C878" s="42" t="s">
        <v>3952</v>
      </c>
      <c r="D878" s="42" t="s">
        <v>4270</v>
      </c>
      <c r="E878" s="42"/>
      <c r="F878" s="43" t="s">
        <v>4271</v>
      </c>
    </row>
    <row r="879" spans="1:6">
      <c r="A879" s="42" t="s">
        <v>4272</v>
      </c>
      <c r="B879" s="41" t="s">
        <v>3951</v>
      </c>
      <c r="C879" s="42" t="s">
        <v>3952</v>
      </c>
      <c r="D879" s="42" t="s">
        <v>4273</v>
      </c>
      <c r="E879" s="42"/>
      <c r="F879" s="43" t="s">
        <v>4274</v>
      </c>
    </row>
    <row r="880" spans="1:6">
      <c r="A880" s="42" t="s">
        <v>4275</v>
      </c>
      <c r="B880" s="41" t="s">
        <v>3951</v>
      </c>
      <c r="C880" s="42" t="s">
        <v>3952</v>
      </c>
      <c r="D880" s="42" t="s">
        <v>4276</v>
      </c>
      <c r="E880" s="42"/>
      <c r="F880" s="43" t="s">
        <v>4277</v>
      </c>
    </row>
    <row r="881" spans="1:6">
      <c r="A881" s="42" t="s">
        <v>4278</v>
      </c>
      <c r="B881" s="41" t="s">
        <v>3951</v>
      </c>
      <c r="C881" s="42" t="s">
        <v>3952</v>
      </c>
      <c r="D881" s="42" t="s">
        <v>4279</v>
      </c>
      <c r="E881" s="42"/>
      <c r="F881" s="43" t="s">
        <v>4280</v>
      </c>
    </row>
    <row r="882" spans="1:6">
      <c r="A882" s="42" t="s">
        <v>4281</v>
      </c>
      <c r="B882" s="41" t="s">
        <v>3951</v>
      </c>
      <c r="C882" s="42" t="s">
        <v>3952</v>
      </c>
      <c r="D882" s="42" t="s">
        <v>4282</v>
      </c>
      <c r="E882" s="42"/>
      <c r="F882" s="43" t="s">
        <v>4283</v>
      </c>
    </row>
    <row r="883" spans="1:6">
      <c r="A883" s="42" t="s">
        <v>4284</v>
      </c>
      <c r="B883" s="41" t="s">
        <v>3951</v>
      </c>
      <c r="C883" s="42" t="s">
        <v>3952</v>
      </c>
      <c r="D883" s="42" t="s">
        <v>4285</v>
      </c>
      <c r="E883" s="42"/>
      <c r="F883" s="43" t="s">
        <v>4286</v>
      </c>
    </row>
    <row r="884" spans="1:6">
      <c r="A884" s="42" t="s">
        <v>4287</v>
      </c>
      <c r="B884" s="41" t="s">
        <v>3951</v>
      </c>
      <c r="C884" s="42" t="s">
        <v>3952</v>
      </c>
      <c r="D884" s="42" t="s">
        <v>4288</v>
      </c>
      <c r="E884" s="42"/>
      <c r="F884" s="43" t="s">
        <v>4289</v>
      </c>
    </row>
    <row r="885" spans="1:6">
      <c r="A885" s="42" t="s">
        <v>4290</v>
      </c>
      <c r="B885" s="41" t="s">
        <v>3951</v>
      </c>
      <c r="C885" s="42" t="s">
        <v>3952</v>
      </c>
      <c r="D885" s="42" t="s">
        <v>4291</v>
      </c>
      <c r="E885" s="42"/>
      <c r="F885" s="43" t="s">
        <v>4292</v>
      </c>
    </row>
    <row r="886" spans="1:6">
      <c r="A886" s="42" t="s">
        <v>4293</v>
      </c>
      <c r="B886" s="41" t="s">
        <v>3951</v>
      </c>
      <c r="C886" s="42" t="s">
        <v>3952</v>
      </c>
      <c r="D886" s="42" t="s">
        <v>4294</v>
      </c>
      <c r="E886" s="42"/>
      <c r="F886" s="43" t="s">
        <v>4295</v>
      </c>
    </row>
    <row r="887" spans="1:6">
      <c r="A887" s="42" t="s">
        <v>4296</v>
      </c>
      <c r="B887" s="41" t="s">
        <v>3951</v>
      </c>
      <c r="C887" s="42" t="s">
        <v>3952</v>
      </c>
      <c r="D887" s="42" t="s">
        <v>4297</v>
      </c>
      <c r="E887" s="42"/>
      <c r="F887" s="43" t="s">
        <v>4298</v>
      </c>
    </row>
    <row r="888" spans="1:6">
      <c r="A888" s="42" t="s">
        <v>4299</v>
      </c>
      <c r="B888" s="41" t="s">
        <v>3951</v>
      </c>
      <c r="C888" s="42" t="s">
        <v>3952</v>
      </c>
      <c r="D888" s="42" t="s">
        <v>4300</v>
      </c>
      <c r="E888" s="42"/>
      <c r="F888" s="43" t="s">
        <v>4301</v>
      </c>
    </row>
    <row r="889" spans="1:6">
      <c r="A889" s="42" t="s">
        <v>4302</v>
      </c>
      <c r="B889" s="41" t="s">
        <v>3951</v>
      </c>
      <c r="C889" s="42" t="s">
        <v>3952</v>
      </c>
      <c r="D889" s="42" t="s">
        <v>4303</v>
      </c>
      <c r="E889" s="42"/>
      <c r="F889" s="43" t="s">
        <v>4304</v>
      </c>
    </row>
    <row r="890" spans="1:6">
      <c r="A890" s="42" t="s">
        <v>4305</v>
      </c>
      <c r="B890" s="41" t="s">
        <v>3951</v>
      </c>
      <c r="C890" s="42" t="s">
        <v>3952</v>
      </c>
      <c r="D890" s="42" t="s">
        <v>4306</v>
      </c>
      <c r="E890" s="42"/>
      <c r="F890" s="43" t="s">
        <v>4307</v>
      </c>
    </row>
    <row r="891" spans="1:6">
      <c r="A891" s="42" t="s">
        <v>4308</v>
      </c>
      <c r="B891" s="41" t="s">
        <v>3951</v>
      </c>
      <c r="C891" s="42" t="s">
        <v>3952</v>
      </c>
      <c r="D891" s="42" t="s">
        <v>4309</v>
      </c>
      <c r="E891" s="42"/>
      <c r="F891" s="43" t="s">
        <v>4310</v>
      </c>
    </row>
    <row r="892" spans="1:6">
      <c r="A892" s="42" t="s">
        <v>4311</v>
      </c>
      <c r="B892" s="41" t="s">
        <v>3951</v>
      </c>
      <c r="C892" s="42" t="s">
        <v>3952</v>
      </c>
      <c r="D892" s="42" t="s">
        <v>4312</v>
      </c>
      <c r="E892" s="42"/>
      <c r="F892" s="43" t="s">
        <v>4313</v>
      </c>
    </row>
    <row r="893" spans="1:6">
      <c r="A893" s="42" t="s">
        <v>4314</v>
      </c>
      <c r="B893" s="41" t="s">
        <v>3951</v>
      </c>
      <c r="C893" s="42" t="s">
        <v>3952</v>
      </c>
      <c r="D893" s="42" t="s">
        <v>4315</v>
      </c>
      <c r="E893" s="42"/>
      <c r="F893" s="43" t="s">
        <v>4316</v>
      </c>
    </row>
    <row r="894" spans="1:6">
      <c r="A894" s="42" t="s">
        <v>4317</v>
      </c>
      <c r="B894" s="41" t="s">
        <v>3951</v>
      </c>
      <c r="C894" s="42" t="s">
        <v>3952</v>
      </c>
      <c r="D894" s="42" t="s">
        <v>4318</v>
      </c>
      <c r="E894" s="42"/>
      <c r="F894" s="43" t="s">
        <v>4319</v>
      </c>
    </row>
    <row r="895" spans="1:6">
      <c r="A895" s="42" t="s">
        <v>4320</v>
      </c>
      <c r="B895" s="41" t="s">
        <v>3951</v>
      </c>
      <c r="C895" s="42" t="s">
        <v>3952</v>
      </c>
      <c r="D895" s="42" t="s">
        <v>4321</v>
      </c>
      <c r="E895" s="42"/>
      <c r="F895" s="43" t="s">
        <v>4322</v>
      </c>
    </row>
    <row r="896" spans="1:6">
      <c r="A896" s="42" t="s">
        <v>4323</v>
      </c>
      <c r="B896" s="41" t="s">
        <v>3951</v>
      </c>
      <c r="C896" s="42" t="s">
        <v>3952</v>
      </c>
      <c r="D896" s="42" t="s">
        <v>4324</v>
      </c>
      <c r="E896" s="42"/>
      <c r="F896" s="43" t="s">
        <v>4325</v>
      </c>
    </row>
    <row r="897" spans="1:6">
      <c r="A897" s="42" t="s">
        <v>4326</v>
      </c>
      <c r="B897" s="41" t="s">
        <v>3951</v>
      </c>
      <c r="C897" s="42" t="s">
        <v>3952</v>
      </c>
      <c r="D897" s="42" t="s">
        <v>4327</v>
      </c>
      <c r="E897" s="42"/>
      <c r="F897" s="43" t="s">
        <v>4328</v>
      </c>
    </row>
    <row r="898" spans="1:6">
      <c r="A898" s="42" t="s">
        <v>4329</v>
      </c>
      <c r="B898" s="41" t="s">
        <v>3951</v>
      </c>
      <c r="C898" s="42" t="s">
        <v>3952</v>
      </c>
      <c r="D898" s="42" t="s">
        <v>4330</v>
      </c>
      <c r="E898" s="42"/>
      <c r="F898" s="43" t="s">
        <v>4331</v>
      </c>
    </row>
    <row r="899" spans="1:6">
      <c r="A899" s="42" t="s">
        <v>4332</v>
      </c>
      <c r="B899" s="41" t="s">
        <v>3951</v>
      </c>
      <c r="C899" s="42" t="s">
        <v>3952</v>
      </c>
      <c r="D899" s="42" t="s">
        <v>4333</v>
      </c>
      <c r="E899" s="42"/>
      <c r="F899" s="43" t="s">
        <v>4334</v>
      </c>
    </row>
    <row r="900" spans="1:6">
      <c r="A900" s="42" t="s">
        <v>4335</v>
      </c>
      <c r="B900" s="41" t="s">
        <v>3951</v>
      </c>
      <c r="C900" s="42" t="s">
        <v>3952</v>
      </c>
      <c r="D900" s="42" t="s">
        <v>4336</v>
      </c>
      <c r="E900" s="42"/>
      <c r="F900" s="43" t="s">
        <v>4337</v>
      </c>
    </row>
    <row r="901" spans="1:6">
      <c r="A901" s="42" t="s">
        <v>4338</v>
      </c>
      <c r="B901" s="41" t="s">
        <v>3951</v>
      </c>
      <c r="C901" s="42" t="s">
        <v>3952</v>
      </c>
      <c r="D901" s="42" t="s">
        <v>4339</v>
      </c>
      <c r="E901" s="42"/>
      <c r="F901" s="43" t="s">
        <v>4340</v>
      </c>
    </row>
    <row r="902" spans="1:6">
      <c r="A902" s="42" t="s">
        <v>4341</v>
      </c>
      <c r="B902" s="41" t="s">
        <v>3951</v>
      </c>
      <c r="C902" s="42" t="s">
        <v>3952</v>
      </c>
      <c r="D902" s="42" t="s">
        <v>4342</v>
      </c>
      <c r="E902" s="42"/>
      <c r="F902" s="43" t="s">
        <v>4343</v>
      </c>
    </row>
    <row r="903" spans="1:6">
      <c r="A903" s="42" t="s">
        <v>4344</v>
      </c>
      <c r="B903" s="41" t="s">
        <v>3951</v>
      </c>
      <c r="C903" s="42" t="s">
        <v>3952</v>
      </c>
      <c r="D903" s="42" t="s">
        <v>4345</v>
      </c>
      <c r="E903" s="42"/>
      <c r="F903" s="43" t="s">
        <v>4346</v>
      </c>
    </row>
    <row r="904" spans="1:6">
      <c r="A904" s="42" t="s">
        <v>4347</v>
      </c>
      <c r="B904" s="41" t="s">
        <v>3951</v>
      </c>
      <c r="C904" s="42" t="s">
        <v>3952</v>
      </c>
      <c r="D904" s="42" t="s">
        <v>4348</v>
      </c>
      <c r="E904" s="42"/>
      <c r="F904" s="43" t="s">
        <v>4349</v>
      </c>
    </row>
    <row r="905" spans="1:6">
      <c r="A905" s="42" t="s">
        <v>4350</v>
      </c>
      <c r="B905" s="41" t="s">
        <v>3951</v>
      </c>
      <c r="C905" s="42" t="s">
        <v>3952</v>
      </c>
      <c r="D905" s="42" t="s">
        <v>4351</v>
      </c>
      <c r="E905" s="42"/>
      <c r="F905" s="43" t="s">
        <v>4352</v>
      </c>
    </row>
    <row r="906" spans="1:6">
      <c r="A906" s="42" t="s">
        <v>4353</v>
      </c>
      <c r="B906" s="41" t="s">
        <v>3951</v>
      </c>
      <c r="C906" s="42" t="s">
        <v>3952</v>
      </c>
      <c r="D906" s="42" t="s">
        <v>4354</v>
      </c>
      <c r="E906" s="42"/>
      <c r="F906" s="43" t="s">
        <v>4355</v>
      </c>
    </row>
    <row r="907" spans="1:6">
      <c r="A907" s="42" t="s">
        <v>4356</v>
      </c>
      <c r="B907" s="41" t="s">
        <v>3951</v>
      </c>
      <c r="C907" s="42" t="s">
        <v>3952</v>
      </c>
      <c r="D907" s="42" t="s">
        <v>4357</v>
      </c>
      <c r="E907" s="42"/>
      <c r="F907" s="43" t="s">
        <v>4358</v>
      </c>
    </row>
    <row r="908" spans="1:6">
      <c r="A908" s="42" t="s">
        <v>4359</v>
      </c>
      <c r="B908" s="41" t="s">
        <v>3951</v>
      </c>
      <c r="C908" s="42" t="s">
        <v>3952</v>
      </c>
      <c r="D908" s="42" t="s">
        <v>4360</v>
      </c>
      <c r="E908" s="42"/>
      <c r="F908" s="43" t="s">
        <v>4361</v>
      </c>
    </row>
    <row r="909" spans="1:6">
      <c r="A909" s="42" t="s">
        <v>4362</v>
      </c>
      <c r="B909" s="41" t="s">
        <v>3951</v>
      </c>
      <c r="C909" s="42" t="s">
        <v>3952</v>
      </c>
      <c r="D909" s="42" t="s">
        <v>4363</v>
      </c>
      <c r="E909" s="42"/>
      <c r="F909" s="43" t="s">
        <v>4364</v>
      </c>
    </row>
    <row r="910" spans="1:6">
      <c r="A910" s="42" t="s">
        <v>4365</v>
      </c>
      <c r="B910" s="41" t="s">
        <v>3951</v>
      </c>
      <c r="C910" s="42" t="s">
        <v>3952</v>
      </c>
      <c r="D910" s="42" t="s">
        <v>4366</v>
      </c>
      <c r="E910" s="42"/>
      <c r="F910" s="43" t="s">
        <v>4367</v>
      </c>
    </row>
    <row r="911" spans="1:6">
      <c r="A911" s="42" t="s">
        <v>4368</v>
      </c>
      <c r="B911" s="41" t="s">
        <v>3951</v>
      </c>
      <c r="C911" s="42" t="s">
        <v>3952</v>
      </c>
      <c r="D911" s="42" t="s">
        <v>4369</v>
      </c>
      <c r="E911" s="42"/>
      <c r="F911" s="43" t="s">
        <v>4370</v>
      </c>
    </row>
    <row r="912" spans="1:6">
      <c r="A912" s="42" t="s">
        <v>4371</v>
      </c>
      <c r="B912" s="41" t="s">
        <v>3951</v>
      </c>
      <c r="C912" s="42" t="s">
        <v>3952</v>
      </c>
      <c r="D912" s="42" t="s">
        <v>4372</v>
      </c>
      <c r="E912" s="42"/>
      <c r="F912" s="43" t="s">
        <v>4373</v>
      </c>
    </row>
    <row r="913" spans="1:6">
      <c r="A913" s="42" t="s">
        <v>4374</v>
      </c>
      <c r="B913" s="41" t="s">
        <v>3951</v>
      </c>
      <c r="C913" s="42" t="s">
        <v>3952</v>
      </c>
      <c r="D913" s="42" t="s">
        <v>4375</v>
      </c>
      <c r="E913" s="42"/>
      <c r="F913" s="43" t="s">
        <v>4376</v>
      </c>
    </row>
    <row r="914" spans="1:6">
      <c r="A914" s="42" t="s">
        <v>4377</v>
      </c>
      <c r="B914" s="41" t="s">
        <v>3951</v>
      </c>
      <c r="C914" s="42" t="s">
        <v>3952</v>
      </c>
      <c r="D914" s="42" t="s">
        <v>4378</v>
      </c>
      <c r="E914" s="42"/>
      <c r="F914" s="43" t="s">
        <v>4379</v>
      </c>
    </row>
    <row r="915" spans="1:6">
      <c r="A915" s="42" t="s">
        <v>4380</v>
      </c>
      <c r="B915" s="41" t="s">
        <v>3951</v>
      </c>
      <c r="C915" s="42" t="s">
        <v>3952</v>
      </c>
      <c r="D915" s="42" t="s">
        <v>4381</v>
      </c>
      <c r="E915" s="42"/>
      <c r="F915" s="43" t="s">
        <v>4382</v>
      </c>
    </row>
    <row r="916" spans="1:6">
      <c r="A916" s="42" t="s">
        <v>4383</v>
      </c>
      <c r="B916" s="41" t="s">
        <v>3951</v>
      </c>
      <c r="C916" s="42" t="s">
        <v>3952</v>
      </c>
      <c r="D916" s="42" t="s">
        <v>4384</v>
      </c>
      <c r="E916" s="42"/>
      <c r="F916" s="43" t="s">
        <v>4385</v>
      </c>
    </row>
    <row r="917" spans="1:6">
      <c r="A917" s="42" t="s">
        <v>4386</v>
      </c>
      <c r="B917" s="41" t="s">
        <v>3951</v>
      </c>
      <c r="C917" s="42" t="s">
        <v>3952</v>
      </c>
      <c r="D917" s="42" t="s">
        <v>4387</v>
      </c>
      <c r="E917" s="42"/>
      <c r="F917" s="43" t="s">
        <v>4388</v>
      </c>
    </row>
    <row r="918" spans="1:6">
      <c r="A918" s="42" t="s">
        <v>4389</v>
      </c>
      <c r="B918" s="41" t="s">
        <v>3951</v>
      </c>
      <c r="C918" s="42" t="s">
        <v>3952</v>
      </c>
      <c r="D918" s="42" t="s">
        <v>4390</v>
      </c>
      <c r="E918" s="42"/>
      <c r="F918" s="43" t="s">
        <v>4391</v>
      </c>
    </row>
    <row r="919" spans="1:6">
      <c r="A919" s="42" t="s">
        <v>4392</v>
      </c>
      <c r="B919" s="41" t="s">
        <v>3951</v>
      </c>
      <c r="C919" s="42" t="s">
        <v>3952</v>
      </c>
      <c r="D919" s="42" t="s">
        <v>4393</v>
      </c>
      <c r="E919" s="42"/>
      <c r="F919" s="43" t="s">
        <v>4394</v>
      </c>
    </row>
    <row r="920" spans="1:6">
      <c r="A920" s="42" t="s">
        <v>4395</v>
      </c>
      <c r="B920" s="41" t="s">
        <v>3951</v>
      </c>
      <c r="C920" s="42" t="s">
        <v>3952</v>
      </c>
      <c r="D920" s="42" t="s">
        <v>4396</v>
      </c>
      <c r="E920" s="42"/>
      <c r="F920" s="43" t="s">
        <v>4397</v>
      </c>
    </row>
    <row r="921" spans="1:6">
      <c r="A921" s="42" t="s">
        <v>4398</v>
      </c>
      <c r="B921" s="41" t="s">
        <v>3951</v>
      </c>
      <c r="C921" s="42" t="s">
        <v>3952</v>
      </c>
      <c r="D921" s="42" t="s">
        <v>4399</v>
      </c>
      <c r="E921" s="42"/>
      <c r="F921" s="43" t="s">
        <v>4400</v>
      </c>
    </row>
    <row r="922" spans="1:6">
      <c r="A922" s="42" t="s">
        <v>4401</v>
      </c>
      <c r="B922" s="41" t="s">
        <v>3951</v>
      </c>
      <c r="C922" s="42" t="s">
        <v>3952</v>
      </c>
      <c r="D922" s="42" t="s">
        <v>4402</v>
      </c>
      <c r="E922" s="42"/>
      <c r="F922" s="43" t="s">
        <v>4403</v>
      </c>
    </row>
    <row r="923" spans="1:6">
      <c r="A923" s="42" t="s">
        <v>4404</v>
      </c>
      <c r="B923" s="41" t="s">
        <v>3951</v>
      </c>
      <c r="C923" s="42" t="s">
        <v>3952</v>
      </c>
      <c r="D923" s="42" t="s">
        <v>4405</v>
      </c>
      <c r="E923" s="42"/>
      <c r="F923" s="43" t="s">
        <v>4406</v>
      </c>
    </row>
    <row r="924" spans="1:6">
      <c r="A924" s="42" t="s">
        <v>4407</v>
      </c>
      <c r="B924" s="41" t="s">
        <v>3951</v>
      </c>
      <c r="C924" s="42" t="s">
        <v>3952</v>
      </c>
      <c r="D924" s="42" t="s">
        <v>4408</v>
      </c>
      <c r="E924" s="42"/>
      <c r="F924" s="43" t="s">
        <v>4409</v>
      </c>
    </row>
    <row r="925" spans="1:6">
      <c r="A925" s="42" t="s">
        <v>4410</v>
      </c>
      <c r="B925" s="41" t="s">
        <v>3951</v>
      </c>
      <c r="C925" s="42" t="s">
        <v>3952</v>
      </c>
      <c r="D925" s="42" t="s">
        <v>4411</v>
      </c>
      <c r="E925" s="42"/>
      <c r="F925" s="43" t="s">
        <v>4412</v>
      </c>
    </row>
    <row r="926" spans="1:6">
      <c r="A926" s="42" t="s">
        <v>4413</v>
      </c>
      <c r="B926" s="41" t="s">
        <v>3951</v>
      </c>
      <c r="C926" s="42" t="s">
        <v>3952</v>
      </c>
      <c r="D926" s="42" t="s">
        <v>4414</v>
      </c>
      <c r="E926" s="42"/>
      <c r="F926" s="43" t="s">
        <v>4415</v>
      </c>
    </row>
    <row r="927" spans="1:6">
      <c r="A927" s="42" t="s">
        <v>4416</v>
      </c>
      <c r="B927" s="41" t="s">
        <v>3951</v>
      </c>
      <c r="C927" s="42" t="s">
        <v>3952</v>
      </c>
      <c r="D927" s="42" t="s">
        <v>4417</v>
      </c>
      <c r="E927" s="42"/>
      <c r="F927" s="43" t="s">
        <v>4418</v>
      </c>
    </row>
    <row r="928" spans="1:6">
      <c r="A928" s="42" t="s">
        <v>4419</v>
      </c>
      <c r="B928" s="41" t="s">
        <v>3951</v>
      </c>
      <c r="C928" s="42" t="s">
        <v>3952</v>
      </c>
      <c r="D928" s="42" t="s">
        <v>4420</v>
      </c>
      <c r="E928" s="42"/>
      <c r="F928" s="43" t="s">
        <v>4421</v>
      </c>
    </row>
    <row r="929" spans="1:6">
      <c r="A929" s="42" t="s">
        <v>4422</v>
      </c>
      <c r="B929" s="41" t="s">
        <v>3951</v>
      </c>
      <c r="C929" s="42" t="s">
        <v>3952</v>
      </c>
      <c r="D929" s="42" t="s">
        <v>4423</v>
      </c>
      <c r="E929" s="42"/>
      <c r="F929" s="43" t="s">
        <v>4424</v>
      </c>
    </row>
    <row r="930" spans="1:6">
      <c r="A930" s="42" t="s">
        <v>4425</v>
      </c>
      <c r="B930" s="41" t="s">
        <v>3951</v>
      </c>
      <c r="C930" s="42" t="s">
        <v>3952</v>
      </c>
      <c r="D930" s="42" t="s">
        <v>4426</v>
      </c>
      <c r="E930" s="42"/>
      <c r="F930" s="43" t="s">
        <v>4427</v>
      </c>
    </row>
    <row r="931" spans="1:6">
      <c r="A931" s="42" t="s">
        <v>4428</v>
      </c>
      <c r="B931" s="41" t="s">
        <v>3951</v>
      </c>
      <c r="C931" s="42" t="s">
        <v>3952</v>
      </c>
      <c r="D931" s="42" t="s">
        <v>4429</v>
      </c>
      <c r="E931" s="42"/>
      <c r="F931" s="43" t="s">
        <v>4430</v>
      </c>
    </row>
    <row r="932" spans="1:6">
      <c r="A932" s="42" t="s">
        <v>4431</v>
      </c>
      <c r="B932" s="41" t="s">
        <v>3951</v>
      </c>
      <c r="C932" s="42" t="s">
        <v>3952</v>
      </c>
      <c r="D932" s="42" t="s">
        <v>4432</v>
      </c>
      <c r="E932" s="42"/>
      <c r="F932" s="43" t="s">
        <v>4433</v>
      </c>
    </row>
    <row r="933" spans="1:6">
      <c r="A933" s="42" t="s">
        <v>4434</v>
      </c>
      <c r="B933" s="41" t="s">
        <v>3951</v>
      </c>
      <c r="C933" s="42" t="s">
        <v>3952</v>
      </c>
      <c r="D933" s="42" t="s">
        <v>4435</v>
      </c>
      <c r="E933" s="42"/>
      <c r="F933" s="43" t="s">
        <v>4436</v>
      </c>
    </row>
    <row r="934" spans="1:6">
      <c r="A934" s="42" t="s">
        <v>4437</v>
      </c>
      <c r="B934" s="41" t="s">
        <v>3951</v>
      </c>
      <c r="C934" s="42" t="s">
        <v>3952</v>
      </c>
      <c r="D934" s="42" t="s">
        <v>4438</v>
      </c>
      <c r="E934" s="42"/>
      <c r="F934" s="43" t="s">
        <v>4439</v>
      </c>
    </row>
    <row r="935" spans="1:6">
      <c r="A935" s="42" t="s">
        <v>4440</v>
      </c>
      <c r="B935" s="41" t="s">
        <v>3951</v>
      </c>
      <c r="C935" s="42" t="s">
        <v>3952</v>
      </c>
      <c r="D935" s="42" t="s">
        <v>4441</v>
      </c>
      <c r="E935" s="42"/>
      <c r="F935" s="43" t="s">
        <v>4442</v>
      </c>
    </row>
    <row r="936" spans="1:6">
      <c r="A936" s="42" t="s">
        <v>4443</v>
      </c>
      <c r="B936" s="41" t="s">
        <v>3951</v>
      </c>
      <c r="C936" s="42" t="s">
        <v>3952</v>
      </c>
      <c r="D936" s="42" t="s">
        <v>4444</v>
      </c>
      <c r="E936" s="42"/>
      <c r="F936" s="43" t="s">
        <v>4445</v>
      </c>
    </row>
    <row r="937" spans="1:6">
      <c r="A937" s="42" t="s">
        <v>4446</v>
      </c>
      <c r="B937" s="41" t="s">
        <v>3951</v>
      </c>
      <c r="C937" s="42" t="s">
        <v>3952</v>
      </c>
      <c r="D937" s="42" t="s">
        <v>4447</v>
      </c>
      <c r="E937" s="42"/>
      <c r="F937" s="43" t="s">
        <v>4448</v>
      </c>
    </row>
    <row r="938" spans="1:6">
      <c r="A938" s="42" t="s">
        <v>4449</v>
      </c>
      <c r="B938" s="41" t="s">
        <v>3951</v>
      </c>
      <c r="C938" s="42" t="s">
        <v>3952</v>
      </c>
      <c r="D938" s="42" t="s">
        <v>4450</v>
      </c>
      <c r="E938" s="42"/>
      <c r="F938" s="43" t="s">
        <v>4451</v>
      </c>
    </row>
    <row r="939" spans="1:6">
      <c r="A939" s="42" t="s">
        <v>4452</v>
      </c>
      <c r="B939" s="41" t="s">
        <v>3951</v>
      </c>
      <c r="C939" s="42" t="s">
        <v>3952</v>
      </c>
      <c r="D939" s="42" t="s">
        <v>4453</v>
      </c>
      <c r="E939" s="42"/>
      <c r="F939" s="43" t="s">
        <v>4454</v>
      </c>
    </row>
    <row r="940" spans="1:6">
      <c r="A940" s="42" t="s">
        <v>4455</v>
      </c>
      <c r="B940" s="41" t="s">
        <v>3951</v>
      </c>
      <c r="C940" s="42" t="s">
        <v>3952</v>
      </c>
      <c r="D940" s="42" t="s">
        <v>4456</v>
      </c>
      <c r="E940" s="42"/>
      <c r="F940" s="43" t="s">
        <v>4457</v>
      </c>
    </row>
    <row r="941" spans="1:6">
      <c r="A941" s="42" t="s">
        <v>4458</v>
      </c>
      <c r="B941" s="41" t="s">
        <v>3951</v>
      </c>
      <c r="C941" s="42" t="s">
        <v>3952</v>
      </c>
      <c r="D941" s="42" t="s">
        <v>4459</v>
      </c>
      <c r="E941" s="42"/>
      <c r="F941" s="43" t="s">
        <v>4460</v>
      </c>
    </row>
    <row r="942" spans="1:6">
      <c r="A942" s="42" t="s">
        <v>4461</v>
      </c>
      <c r="B942" s="41" t="s">
        <v>3951</v>
      </c>
      <c r="C942" s="42" t="s">
        <v>3952</v>
      </c>
      <c r="D942" s="42" t="s">
        <v>4462</v>
      </c>
      <c r="E942" s="42"/>
      <c r="F942" s="43" t="s">
        <v>4463</v>
      </c>
    </row>
    <row r="943" spans="1:6">
      <c r="A943" s="42" t="s">
        <v>4464</v>
      </c>
      <c r="B943" s="41" t="s">
        <v>3951</v>
      </c>
      <c r="C943" s="42" t="s">
        <v>3952</v>
      </c>
      <c r="D943" s="42" t="s">
        <v>4465</v>
      </c>
      <c r="E943" s="42"/>
      <c r="F943" s="43" t="s">
        <v>4466</v>
      </c>
    </row>
    <row r="944" spans="1:6">
      <c r="A944" s="42" t="s">
        <v>4467</v>
      </c>
      <c r="B944" s="41" t="s">
        <v>3951</v>
      </c>
      <c r="C944" s="42" t="s">
        <v>3952</v>
      </c>
      <c r="D944" s="42" t="s">
        <v>4468</v>
      </c>
      <c r="E944" s="42"/>
      <c r="F944" s="43" t="s">
        <v>4469</v>
      </c>
    </row>
    <row r="945" spans="1:6">
      <c r="A945" s="42" t="s">
        <v>4470</v>
      </c>
      <c r="B945" s="41" t="s">
        <v>3951</v>
      </c>
      <c r="C945" s="42" t="s">
        <v>3952</v>
      </c>
      <c r="D945" s="42" t="s">
        <v>4471</v>
      </c>
      <c r="E945" s="42"/>
      <c r="F945" s="43" t="s">
        <v>4472</v>
      </c>
    </row>
    <row r="946" spans="1:6">
      <c r="A946" s="42" t="s">
        <v>4473</v>
      </c>
      <c r="B946" s="41" t="s">
        <v>3951</v>
      </c>
      <c r="C946" s="42" t="s">
        <v>3952</v>
      </c>
      <c r="D946" s="42" t="s">
        <v>4474</v>
      </c>
      <c r="E946" s="42"/>
      <c r="F946" s="43" t="s">
        <v>4475</v>
      </c>
    </row>
    <row r="947" spans="1:6">
      <c r="A947" s="42" t="s">
        <v>4476</v>
      </c>
      <c r="B947" s="41" t="s">
        <v>3951</v>
      </c>
      <c r="C947" s="42" t="s">
        <v>3952</v>
      </c>
      <c r="D947" s="42" t="s">
        <v>4477</v>
      </c>
      <c r="E947" s="42"/>
      <c r="F947" s="43" t="s">
        <v>4478</v>
      </c>
    </row>
    <row r="948" spans="1:6">
      <c r="A948" s="42" t="s">
        <v>4479</v>
      </c>
      <c r="B948" s="41" t="s">
        <v>3951</v>
      </c>
      <c r="C948" s="42" t="s">
        <v>3952</v>
      </c>
      <c r="D948" s="42" t="s">
        <v>4480</v>
      </c>
      <c r="E948" s="42"/>
      <c r="F948" s="43" t="s">
        <v>4481</v>
      </c>
    </row>
    <row r="949" spans="1:6">
      <c r="A949" s="42" t="s">
        <v>4482</v>
      </c>
      <c r="B949" s="41" t="s">
        <v>3951</v>
      </c>
      <c r="C949" s="42" t="s">
        <v>3952</v>
      </c>
      <c r="D949" s="42" t="s">
        <v>4483</v>
      </c>
      <c r="E949" s="42"/>
      <c r="F949" s="43" t="s">
        <v>4484</v>
      </c>
    </row>
    <row r="950" spans="1:6">
      <c r="A950" s="42" t="s">
        <v>4485</v>
      </c>
      <c r="B950" s="41" t="s">
        <v>3951</v>
      </c>
      <c r="C950" s="42" t="s">
        <v>3952</v>
      </c>
      <c r="D950" s="42" t="s">
        <v>4486</v>
      </c>
      <c r="E950" s="42"/>
      <c r="F950" s="43" t="s">
        <v>4487</v>
      </c>
    </row>
    <row r="951" spans="1:6">
      <c r="A951" s="42" t="s">
        <v>4488</v>
      </c>
      <c r="B951" s="41" t="s">
        <v>3951</v>
      </c>
      <c r="C951" s="42" t="s">
        <v>3952</v>
      </c>
      <c r="D951" s="42" t="s">
        <v>4489</v>
      </c>
      <c r="E951" s="42"/>
      <c r="F951" s="43" t="s">
        <v>4490</v>
      </c>
    </row>
    <row r="952" spans="1:6">
      <c r="A952" s="42" t="s">
        <v>4491</v>
      </c>
      <c r="B952" s="41" t="s">
        <v>3951</v>
      </c>
      <c r="C952" s="42" t="s">
        <v>3952</v>
      </c>
      <c r="D952" s="42" t="s">
        <v>4492</v>
      </c>
      <c r="E952" s="42"/>
      <c r="F952" s="43" t="s">
        <v>4493</v>
      </c>
    </row>
    <row r="953" spans="1:6">
      <c r="A953" s="42" t="s">
        <v>4494</v>
      </c>
      <c r="B953" s="41" t="s">
        <v>3951</v>
      </c>
      <c r="C953" s="42" t="s">
        <v>3952</v>
      </c>
      <c r="D953" s="42" t="s">
        <v>4495</v>
      </c>
      <c r="E953" s="42"/>
      <c r="F953" s="43" t="s">
        <v>4496</v>
      </c>
    </row>
    <row r="954" spans="1:6">
      <c r="A954" s="42" t="s">
        <v>4497</v>
      </c>
      <c r="B954" s="41" t="s">
        <v>3951</v>
      </c>
      <c r="C954" s="42" t="s">
        <v>3952</v>
      </c>
      <c r="D954" s="42" t="s">
        <v>4498</v>
      </c>
      <c r="E954" s="42"/>
      <c r="F954" s="43" t="s">
        <v>4499</v>
      </c>
    </row>
    <row r="955" spans="1:6">
      <c r="A955" s="42" t="s">
        <v>4500</v>
      </c>
      <c r="B955" s="41" t="s">
        <v>3951</v>
      </c>
      <c r="C955" s="42" t="s">
        <v>3952</v>
      </c>
      <c r="D955" s="42" t="s">
        <v>4501</v>
      </c>
      <c r="E955" s="42"/>
      <c r="F955" s="43" t="s">
        <v>4502</v>
      </c>
    </row>
    <row r="956" spans="1:6">
      <c r="A956" s="42" t="s">
        <v>4503</v>
      </c>
      <c r="B956" s="41" t="s">
        <v>3951</v>
      </c>
      <c r="C956" s="42" t="s">
        <v>3952</v>
      </c>
      <c r="D956" s="42" t="s">
        <v>4504</v>
      </c>
      <c r="E956" s="42"/>
      <c r="F956" s="43" t="s">
        <v>4505</v>
      </c>
    </row>
    <row r="957" spans="1:6">
      <c r="A957" s="42" t="s">
        <v>4506</v>
      </c>
      <c r="B957" s="41" t="s">
        <v>3951</v>
      </c>
      <c r="C957" s="42" t="s">
        <v>3952</v>
      </c>
      <c r="D957" s="42" t="s">
        <v>4507</v>
      </c>
      <c r="E957" s="42"/>
      <c r="F957" s="43" t="s">
        <v>4508</v>
      </c>
    </row>
    <row r="958" spans="1:6">
      <c r="A958" s="42" t="s">
        <v>4509</v>
      </c>
      <c r="B958" s="41" t="s">
        <v>3951</v>
      </c>
      <c r="C958" s="42" t="s">
        <v>3952</v>
      </c>
      <c r="D958" s="42" t="s">
        <v>4510</v>
      </c>
      <c r="E958" s="42"/>
      <c r="F958" s="43" t="s">
        <v>4511</v>
      </c>
    </row>
    <row r="959" spans="1:6">
      <c r="A959" s="42" t="s">
        <v>4512</v>
      </c>
      <c r="B959" s="41" t="s">
        <v>3951</v>
      </c>
      <c r="C959" s="42" t="s">
        <v>3952</v>
      </c>
      <c r="D959" s="42" t="s">
        <v>4513</v>
      </c>
      <c r="E959" s="42"/>
      <c r="F959" s="43" t="s">
        <v>4514</v>
      </c>
    </row>
    <row r="960" spans="1:6">
      <c r="A960" s="42" t="s">
        <v>4515</v>
      </c>
      <c r="B960" s="41" t="s">
        <v>3951</v>
      </c>
      <c r="C960" s="42" t="s">
        <v>3952</v>
      </c>
      <c r="D960" s="42" t="s">
        <v>4516</v>
      </c>
      <c r="E960" s="42"/>
      <c r="F960" s="43" t="s">
        <v>4517</v>
      </c>
    </row>
    <row r="961" spans="1:6">
      <c r="A961" s="42" t="s">
        <v>4518</v>
      </c>
      <c r="B961" s="41" t="s">
        <v>3951</v>
      </c>
      <c r="C961" s="42" t="s">
        <v>3952</v>
      </c>
      <c r="D961" s="42" t="s">
        <v>4519</v>
      </c>
      <c r="E961" s="42"/>
      <c r="F961" s="43" t="s">
        <v>4520</v>
      </c>
    </row>
    <row r="962" spans="1:6">
      <c r="A962" s="42" t="s">
        <v>4521</v>
      </c>
      <c r="B962" s="41" t="s">
        <v>3951</v>
      </c>
      <c r="C962" s="42" t="s">
        <v>3952</v>
      </c>
      <c r="D962" s="42" t="s">
        <v>4522</v>
      </c>
      <c r="E962" s="42"/>
      <c r="F962" s="43" t="s">
        <v>4523</v>
      </c>
    </row>
    <row r="963" spans="1:6">
      <c r="A963" s="42" t="s">
        <v>4524</v>
      </c>
      <c r="B963" s="41" t="s">
        <v>3951</v>
      </c>
      <c r="C963" s="42" t="s">
        <v>3952</v>
      </c>
      <c r="D963" s="42" t="s">
        <v>4525</v>
      </c>
      <c r="E963" s="42"/>
      <c r="F963" s="43" t="s">
        <v>4526</v>
      </c>
    </row>
    <row r="964" spans="1:6">
      <c r="A964" s="42" t="s">
        <v>4527</v>
      </c>
      <c r="B964" s="41" t="s">
        <v>3951</v>
      </c>
      <c r="C964" s="42" t="s">
        <v>3952</v>
      </c>
      <c r="D964" s="42" t="s">
        <v>4528</v>
      </c>
      <c r="E964" s="42"/>
      <c r="F964" s="43" t="s">
        <v>4529</v>
      </c>
    </row>
    <row r="965" spans="1:6">
      <c r="A965" s="42" t="s">
        <v>4530</v>
      </c>
      <c r="B965" s="41" t="s">
        <v>3951</v>
      </c>
      <c r="C965" s="42" t="s">
        <v>3952</v>
      </c>
      <c r="D965" s="42" t="s">
        <v>4531</v>
      </c>
      <c r="E965" s="42"/>
      <c r="F965" s="43" t="s">
        <v>4532</v>
      </c>
    </row>
    <row r="966" spans="1:6">
      <c r="A966" s="42" t="s">
        <v>4533</v>
      </c>
      <c r="B966" s="41" t="s">
        <v>3951</v>
      </c>
      <c r="C966" s="42" t="s">
        <v>3952</v>
      </c>
      <c r="D966" s="42" t="s">
        <v>4534</v>
      </c>
      <c r="E966" s="42"/>
      <c r="F966" s="43" t="s">
        <v>4535</v>
      </c>
    </row>
    <row r="967" spans="1:6">
      <c r="A967" s="42" t="s">
        <v>4536</v>
      </c>
      <c r="B967" s="41" t="s">
        <v>3951</v>
      </c>
      <c r="C967" s="42" t="s">
        <v>3952</v>
      </c>
      <c r="D967" s="42" t="s">
        <v>4537</v>
      </c>
      <c r="E967" s="42"/>
      <c r="F967" s="43" t="s">
        <v>4538</v>
      </c>
    </row>
    <row r="968" spans="1:6">
      <c r="A968" s="42" t="s">
        <v>4539</v>
      </c>
      <c r="B968" s="41" t="s">
        <v>3951</v>
      </c>
      <c r="C968" s="42" t="s">
        <v>3952</v>
      </c>
      <c r="D968" s="42" t="s">
        <v>4540</v>
      </c>
      <c r="E968" s="42"/>
      <c r="F968" s="43" t="s">
        <v>4541</v>
      </c>
    </row>
    <row r="969" spans="1:6">
      <c r="A969" s="42" t="s">
        <v>4542</v>
      </c>
      <c r="B969" s="41" t="s">
        <v>3951</v>
      </c>
      <c r="C969" s="42" t="s">
        <v>3952</v>
      </c>
      <c r="D969" s="42" t="s">
        <v>4543</v>
      </c>
      <c r="E969" s="42"/>
      <c r="F969" s="43" t="s">
        <v>4544</v>
      </c>
    </row>
    <row r="970" spans="1:6">
      <c r="A970" s="42" t="s">
        <v>4545</v>
      </c>
      <c r="B970" s="41" t="s">
        <v>3951</v>
      </c>
      <c r="C970" s="42" t="s">
        <v>3952</v>
      </c>
      <c r="D970" s="42" t="s">
        <v>4546</v>
      </c>
      <c r="E970" s="42"/>
      <c r="F970" s="43" t="s">
        <v>4547</v>
      </c>
    </row>
    <row r="971" spans="1:6">
      <c r="A971" s="42" t="s">
        <v>4548</v>
      </c>
      <c r="B971" s="41" t="s">
        <v>3951</v>
      </c>
      <c r="C971" s="42" t="s">
        <v>3952</v>
      </c>
      <c r="D971" s="42" t="s">
        <v>4549</v>
      </c>
      <c r="E971" s="42"/>
      <c r="F971" s="43" t="s">
        <v>4550</v>
      </c>
    </row>
    <row r="972" spans="1:6">
      <c r="A972" s="42" t="s">
        <v>4551</v>
      </c>
      <c r="B972" s="41" t="s">
        <v>3951</v>
      </c>
      <c r="C972" s="42" t="s">
        <v>3952</v>
      </c>
      <c r="D972" s="42" t="s">
        <v>4552</v>
      </c>
      <c r="E972" s="42"/>
      <c r="F972" s="43" t="s">
        <v>4553</v>
      </c>
    </row>
    <row r="973" spans="1:6">
      <c r="A973" s="42" t="s">
        <v>4554</v>
      </c>
      <c r="B973" s="41" t="s">
        <v>3951</v>
      </c>
      <c r="C973" s="42" t="s">
        <v>3952</v>
      </c>
      <c r="D973" s="42" t="s">
        <v>4555</v>
      </c>
      <c r="E973" s="42"/>
      <c r="F973" s="43" t="s">
        <v>4556</v>
      </c>
    </row>
    <row r="974" spans="1:6">
      <c r="A974" s="42" t="s">
        <v>4557</v>
      </c>
      <c r="B974" s="41" t="s">
        <v>3951</v>
      </c>
      <c r="C974" s="42" t="s">
        <v>3952</v>
      </c>
      <c r="D974" s="42" t="s">
        <v>4558</v>
      </c>
      <c r="E974" s="42"/>
      <c r="F974" s="43" t="s">
        <v>4559</v>
      </c>
    </row>
    <row r="975" spans="1:6">
      <c r="A975" s="42" t="s">
        <v>4560</v>
      </c>
      <c r="B975" s="41" t="s">
        <v>3951</v>
      </c>
      <c r="C975" s="42" t="s">
        <v>3952</v>
      </c>
      <c r="D975" s="42" t="s">
        <v>4561</v>
      </c>
      <c r="E975" s="42"/>
      <c r="F975" s="43" t="s">
        <v>4562</v>
      </c>
    </row>
    <row r="976" spans="1:6">
      <c r="A976" s="42" t="s">
        <v>4563</v>
      </c>
      <c r="B976" s="41" t="s">
        <v>3951</v>
      </c>
      <c r="C976" s="42" t="s">
        <v>3952</v>
      </c>
      <c r="D976" s="42" t="s">
        <v>4564</v>
      </c>
      <c r="E976" s="42"/>
      <c r="F976" s="43" t="s">
        <v>4565</v>
      </c>
    </row>
    <row r="977" spans="1:6">
      <c r="A977" s="42" t="s">
        <v>4566</v>
      </c>
      <c r="B977" s="41" t="s">
        <v>3951</v>
      </c>
      <c r="C977" s="42" t="s">
        <v>3952</v>
      </c>
      <c r="D977" s="42" t="s">
        <v>4567</v>
      </c>
      <c r="E977" s="42"/>
      <c r="F977" s="43" t="s">
        <v>4568</v>
      </c>
    </row>
    <row r="978" spans="1:6">
      <c r="A978" s="42" t="s">
        <v>4569</v>
      </c>
      <c r="B978" s="41" t="s">
        <v>3951</v>
      </c>
      <c r="C978" s="42" t="s">
        <v>3952</v>
      </c>
      <c r="D978" s="42" t="s">
        <v>4570</v>
      </c>
      <c r="E978" s="42"/>
      <c r="F978" s="43" t="s">
        <v>4571</v>
      </c>
    </row>
    <row r="979" spans="1:6">
      <c r="A979" s="42" t="s">
        <v>4572</v>
      </c>
      <c r="B979" s="41" t="s">
        <v>3951</v>
      </c>
      <c r="C979" s="42" t="s">
        <v>3952</v>
      </c>
      <c r="D979" s="42" t="s">
        <v>4573</v>
      </c>
      <c r="E979" s="42"/>
      <c r="F979" s="43" t="s">
        <v>4574</v>
      </c>
    </row>
    <row r="980" spans="1:6">
      <c r="A980" s="42" t="s">
        <v>4575</v>
      </c>
      <c r="B980" s="41" t="s">
        <v>3951</v>
      </c>
      <c r="C980" s="42" t="s">
        <v>3952</v>
      </c>
      <c r="D980" s="42" t="s">
        <v>4576</v>
      </c>
      <c r="E980" s="42"/>
      <c r="F980" s="43" t="s">
        <v>4577</v>
      </c>
    </row>
    <row r="981" spans="1:6">
      <c r="A981" s="42" t="s">
        <v>4578</v>
      </c>
      <c r="B981" s="41" t="s">
        <v>3951</v>
      </c>
      <c r="C981" s="42" t="s">
        <v>3952</v>
      </c>
      <c r="D981" s="42" t="s">
        <v>4579</v>
      </c>
      <c r="E981" s="42"/>
      <c r="F981" s="43" t="s">
        <v>4580</v>
      </c>
    </row>
    <row r="982" spans="1:6">
      <c r="A982" s="42" t="s">
        <v>4581</v>
      </c>
      <c r="B982" s="41" t="s">
        <v>3951</v>
      </c>
      <c r="C982" s="42" t="s">
        <v>3952</v>
      </c>
      <c r="D982" s="42" t="s">
        <v>4582</v>
      </c>
      <c r="E982" s="42"/>
      <c r="F982" s="43" t="s">
        <v>4583</v>
      </c>
    </row>
    <row r="983" spans="1:6">
      <c r="A983" s="42" t="s">
        <v>4584</v>
      </c>
      <c r="B983" s="41" t="s">
        <v>3951</v>
      </c>
      <c r="C983" s="42" t="s">
        <v>3952</v>
      </c>
      <c r="D983" s="42" t="s">
        <v>4585</v>
      </c>
      <c r="E983" s="42"/>
      <c r="F983" s="43" t="s">
        <v>4586</v>
      </c>
    </row>
    <row r="984" spans="1:6">
      <c r="A984" s="42" t="s">
        <v>4587</v>
      </c>
      <c r="B984" s="41" t="s">
        <v>3951</v>
      </c>
      <c r="C984" s="42" t="s">
        <v>3952</v>
      </c>
      <c r="D984" s="42" t="s">
        <v>4588</v>
      </c>
      <c r="E984" s="42"/>
      <c r="F984" s="43" t="s">
        <v>4589</v>
      </c>
    </row>
    <row r="985" spans="1:6">
      <c r="A985" s="42" t="s">
        <v>4590</v>
      </c>
      <c r="B985" s="41" t="s">
        <v>3951</v>
      </c>
      <c r="C985" s="42" t="s">
        <v>3952</v>
      </c>
      <c r="D985" s="42" t="s">
        <v>4591</v>
      </c>
      <c r="E985" s="42"/>
      <c r="F985" s="43" t="s">
        <v>4592</v>
      </c>
    </row>
    <row r="986" spans="1:6">
      <c r="A986" s="42" t="s">
        <v>4593</v>
      </c>
      <c r="B986" s="41" t="s">
        <v>3951</v>
      </c>
      <c r="C986" s="42" t="s">
        <v>3952</v>
      </c>
      <c r="D986" s="42" t="s">
        <v>4594</v>
      </c>
      <c r="E986" s="42"/>
      <c r="F986" s="43" t="s">
        <v>4595</v>
      </c>
    </row>
    <row r="987" spans="1:6">
      <c r="A987" s="42" t="s">
        <v>4596</v>
      </c>
      <c r="B987" s="41" t="s">
        <v>3951</v>
      </c>
      <c r="C987" s="42" t="s">
        <v>3952</v>
      </c>
      <c r="D987" s="42" t="s">
        <v>4597</v>
      </c>
      <c r="E987" s="42"/>
      <c r="F987" s="43" t="s">
        <v>4598</v>
      </c>
    </row>
    <row r="988" spans="1:6">
      <c r="A988" s="42" t="s">
        <v>4599</v>
      </c>
      <c r="B988" s="41" t="s">
        <v>3951</v>
      </c>
      <c r="C988" s="42" t="s">
        <v>3952</v>
      </c>
      <c r="D988" s="42" t="s">
        <v>4600</v>
      </c>
      <c r="E988" s="42"/>
      <c r="F988" s="43" t="s">
        <v>4601</v>
      </c>
    </row>
    <row r="989" spans="1:6">
      <c r="A989" s="42" t="s">
        <v>4602</v>
      </c>
      <c r="B989" s="41" t="s">
        <v>3951</v>
      </c>
      <c r="C989" s="42" t="s">
        <v>3952</v>
      </c>
      <c r="D989" s="42" t="s">
        <v>4603</v>
      </c>
      <c r="E989" s="42"/>
      <c r="F989" s="43" t="s">
        <v>4604</v>
      </c>
    </row>
    <row r="990" spans="1:6">
      <c r="A990" s="42" t="s">
        <v>4605</v>
      </c>
      <c r="B990" s="41" t="s">
        <v>3951</v>
      </c>
      <c r="C990" s="42" t="s">
        <v>3952</v>
      </c>
      <c r="D990" s="42" t="s">
        <v>4606</v>
      </c>
      <c r="E990" s="42"/>
      <c r="F990" s="43" t="s">
        <v>4607</v>
      </c>
    </row>
    <row r="991" spans="1:6">
      <c r="A991" s="42" t="s">
        <v>4608</v>
      </c>
      <c r="B991" s="41" t="s">
        <v>3951</v>
      </c>
      <c r="C991" s="42" t="s">
        <v>3952</v>
      </c>
      <c r="D991" s="42" t="s">
        <v>4609</v>
      </c>
      <c r="E991" s="42"/>
      <c r="F991" s="43" t="s">
        <v>4610</v>
      </c>
    </row>
    <row r="992" spans="1:6">
      <c r="A992" s="42" t="s">
        <v>4611</v>
      </c>
      <c r="B992" s="41" t="s">
        <v>3951</v>
      </c>
      <c r="C992" s="42" t="s">
        <v>3952</v>
      </c>
      <c r="D992" s="42" t="s">
        <v>4612</v>
      </c>
      <c r="E992" s="42"/>
      <c r="F992" s="43" t="s">
        <v>4613</v>
      </c>
    </row>
    <row r="993" spans="1:6">
      <c r="A993" s="42" t="s">
        <v>4614</v>
      </c>
      <c r="B993" s="41" t="s">
        <v>3951</v>
      </c>
      <c r="C993" s="42" t="s">
        <v>3952</v>
      </c>
      <c r="D993" s="42" t="s">
        <v>4615</v>
      </c>
      <c r="E993" s="42"/>
      <c r="F993" s="43" t="s">
        <v>4616</v>
      </c>
    </row>
    <row r="994" spans="1:6">
      <c r="A994" s="42" t="s">
        <v>4617</v>
      </c>
      <c r="B994" s="41" t="s">
        <v>3951</v>
      </c>
      <c r="C994" s="42" t="s">
        <v>3952</v>
      </c>
      <c r="D994" s="42" t="s">
        <v>4618</v>
      </c>
      <c r="E994" s="42"/>
      <c r="F994" s="43" t="s">
        <v>4619</v>
      </c>
    </row>
    <row r="995" spans="1:6">
      <c r="A995" s="42" t="s">
        <v>4620</v>
      </c>
      <c r="B995" s="41" t="s">
        <v>3951</v>
      </c>
      <c r="C995" s="42" t="s">
        <v>3952</v>
      </c>
      <c r="D995" s="42" t="s">
        <v>4621</v>
      </c>
      <c r="E995" s="42"/>
      <c r="F995" s="43" t="s">
        <v>4622</v>
      </c>
    </row>
    <row r="996" spans="1:6">
      <c r="A996" s="42" t="s">
        <v>4623</v>
      </c>
      <c r="B996" s="41" t="s">
        <v>3951</v>
      </c>
      <c r="C996" s="42" t="s">
        <v>3952</v>
      </c>
      <c r="D996" s="42" t="s">
        <v>4624</v>
      </c>
      <c r="E996" s="42"/>
      <c r="F996" s="43" t="s">
        <v>4625</v>
      </c>
    </row>
    <row r="997" spans="1:6">
      <c r="A997" s="42" t="s">
        <v>4626</v>
      </c>
      <c r="B997" s="41" t="s">
        <v>3951</v>
      </c>
      <c r="C997" s="42" t="s">
        <v>3952</v>
      </c>
      <c r="D997" s="42" t="s">
        <v>4627</v>
      </c>
      <c r="E997" s="42"/>
      <c r="F997" s="43" t="s">
        <v>4628</v>
      </c>
    </row>
    <row r="998" spans="1:6">
      <c r="A998" s="42" t="s">
        <v>4629</v>
      </c>
      <c r="B998" s="41" t="s">
        <v>3951</v>
      </c>
      <c r="C998" s="42" t="s">
        <v>3952</v>
      </c>
      <c r="D998" s="42" t="s">
        <v>4630</v>
      </c>
      <c r="E998" s="42"/>
      <c r="F998" s="43" t="s">
        <v>4631</v>
      </c>
    </row>
    <row r="999" spans="1:6">
      <c r="A999" s="42" t="s">
        <v>4632</v>
      </c>
      <c r="B999" s="41" t="s">
        <v>3951</v>
      </c>
      <c r="C999" s="42" t="s">
        <v>3952</v>
      </c>
      <c r="D999" s="42" t="s">
        <v>4633</v>
      </c>
      <c r="E999" s="42"/>
      <c r="F999" s="43" t="s">
        <v>4634</v>
      </c>
    </row>
    <row r="1000" spans="1:6">
      <c r="A1000" s="42" t="s">
        <v>4635</v>
      </c>
      <c r="B1000" s="41" t="s">
        <v>3951</v>
      </c>
      <c r="C1000" s="42" t="s">
        <v>3952</v>
      </c>
      <c r="D1000" s="42" t="s">
        <v>4636</v>
      </c>
      <c r="E1000" s="42"/>
      <c r="F1000" s="43" t="s">
        <v>4637</v>
      </c>
    </row>
    <row r="1001" spans="1:6">
      <c r="A1001" s="42" t="s">
        <v>4638</v>
      </c>
      <c r="B1001" s="41" t="s">
        <v>3951</v>
      </c>
      <c r="C1001" s="42" t="s">
        <v>3952</v>
      </c>
      <c r="D1001" s="42" t="s">
        <v>4639</v>
      </c>
      <c r="E1001" s="42"/>
      <c r="F1001" s="43" t="s">
        <v>4640</v>
      </c>
    </row>
    <row r="1002" spans="1:6">
      <c r="A1002" s="42" t="s">
        <v>4641</v>
      </c>
      <c r="B1002" s="41" t="s">
        <v>3951</v>
      </c>
      <c r="C1002" s="42" t="s">
        <v>3952</v>
      </c>
      <c r="D1002" s="42" t="s">
        <v>4642</v>
      </c>
      <c r="E1002" s="42"/>
      <c r="F1002" s="43" t="s">
        <v>4643</v>
      </c>
    </row>
    <row r="1003" spans="1:6">
      <c r="A1003" s="42" t="s">
        <v>4644</v>
      </c>
      <c r="B1003" s="41" t="s">
        <v>3951</v>
      </c>
      <c r="C1003" s="42" t="s">
        <v>3952</v>
      </c>
      <c r="D1003" s="42" t="s">
        <v>4645</v>
      </c>
      <c r="E1003" s="42"/>
      <c r="F1003" s="43" t="s">
        <v>4646</v>
      </c>
    </row>
    <row r="1004" spans="1:6">
      <c r="A1004" s="42" t="s">
        <v>4647</v>
      </c>
      <c r="B1004" s="41" t="s">
        <v>3951</v>
      </c>
      <c r="C1004" s="42" t="s">
        <v>3952</v>
      </c>
      <c r="D1004" s="42" t="s">
        <v>4648</v>
      </c>
      <c r="E1004" s="42"/>
      <c r="F1004" s="43" t="s">
        <v>4649</v>
      </c>
    </row>
    <row r="1005" spans="1:6">
      <c r="A1005" s="42" t="s">
        <v>4650</v>
      </c>
      <c r="B1005" s="41" t="s">
        <v>3951</v>
      </c>
      <c r="C1005" s="42" t="s">
        <v>3952</v>
      </c>
      <c r="D1005" s="42" t="s">
        <v>4651</v>
      </c>
      <c r="E1005" s="42"/>
      <c r="F1005" s="43" t="s">
        <v>4652</v>
      </c>
    </row>
    <row r="1006" spans="1:6">
      <c r="A1006" s="42" t="s">
        <v>4653</v>
      </c>
      <c r="B1006" s="41" t="s">
        <v>3951</v>
      </c>
      <c r="C1006" s="42" t="s">
        <v>3952</v>
      </c>
      <c r="D1006" s="42" t="s">
        <v>4654</v>
      </c>
      <c r="E1006" s="42"/>
      <c r="F1006" s="43" t="s">
        <v>4655</v>
      </c>
    </row>
    <row r="1007" spans="1:6">
      <c r="A1007" s="42" t="s">
        <v>4656</v>
      </c>
      <c r="B1007" s="41" t="s">
        <v>3951</v>
      </c>
      <c r="C1007" s="42" t="s">
        <v>3952</v>
      </c>
      <c r="D1007" s="42" t="s">
        <v>4657</v>
      </c>
      <c r="E1007" s="42"/>
      <c r="F1007" s="43" t="s">
        <v>4658</v>
      </c>
    </row>
    <row r="1008" spans="1:6">
      <c r="A1008" s="42" t="s">
        <v>4659</v>
      </c>
      <c r="B1008" s="41" t="s">
        <v>3951</v>
      </c>
      <c r="C1008" s="42" t="s">
        <v>3952</v>
      </c>
      <c r="D1008" s="42" t="s">
        <v>4660</v>
      </c>
      <c r="E1008" s="42"/>
      <c r="F1008" s="43" t="s">
        <v>4661</v>
      </c>
    </row>
    <row r="1009" spans="1:6">
      <c r="A1009" s="42" t="s">
        <v>4662</v>
      </c>
      <c r="B1009" s="41" t="s">
        <v>3951</v>
      </c>
      <c r="C1009" s="42" t="s">
        <v>3952</v>
      </c>
      <c r="D1009" s="42" t="s">
        <v>4663</v>
      </c>
      <c r="E1009" s="42"/>
      <c r="F1009" s="43" t="s">
        <v>4664</v>
      </c>
    </row>
    <row r="1010" spans="1:6">
      <c r="A1010" s="42" t="s">
        <v>4665</v>
      </c>
      <c r="B1010" s="41" t="s">
        <v>3951</v>
      </c>
      <c r="C1010" s="42" t="s">
        <v>3952</v>
      </c>
      <c r="D1010" s="42" t="s">
        <v>4666</v>
      </c>
      <c r="E1010" s="42"/>
      <c r="F1010" s="43" t="s">
        <v>4667</v>
      </c>
    </row>
    <row r="1011" spans="1:6">
      <c r="A1011" s="42" t="s">
        <v>4668</v>
      </c>
      <c r="B1011" s="41" t="s">
        <v>3951</v>
      </c>
      <c r="C1011" s="42" t="s">
        <v>3952</v>
      </c>
      <c r="D1011" s="42" t="s">
        <v>4669</v>
      </c>
      <c r="E1011" s="42"/>
      <c r="F1011" s="43" t="s">
        <v>4670</v>
      </c>
    </row>
    <row r="1012" spans="1:6">
      <c r="A1012" s="42" t="s">
        <v>4671</v>
      </c>
      <c r="B1012" s="41" t="s">
        <v>3951</v>
      </c>
      <c r="C1012" s="42" t="s">
        <v>3952</v>
      </c>
      <c r="D1012" s="42" t="s">
        <v>4672</v>
      </c>
      <c r="E1012" s="42"/>
      <c r="F1012" s="43" t="s">
        <v>4673</v>
      </c>
    </row>
    <row r="1013" spans="1:6">
      <c r="A1013" s="42" t="s">
        <v>4674</v>
      </c>
      <c r="B1013" s="41" t="s">
        <v>3951</v>
      </c>
      <c r="C1013" s="42" t="s">
        <v>3952</v>
      </c>
      <c r="D1013" s="42" t="s">
        <v>4675</v>
      </c>
      <c r="E1013" s="42"/>
      <c r="F1013" s="43" t="s">
        <v>4676</v>
      </c>
    </row>
    <row r="1014" spans="1:6">
      <c r="A1014" s="42" t="s">
        <v>4677</v>
      </c>
      <c r="B1014" s="41" t="s">
        <v>3951</v>
      </c>
      <c r="C1014" s="42" t="s">
        <v>3952</v>
      </c>
      <c r="D1014" s="42" t="s">
        <v>4678</v>
      </c>
      <c r="E1014" s="42"/>
      <c r="F1014" s="43" t="s">
        <v>4679</v>
      </c>
    </row>
    <row r="1015" spans="1:6">
      <c r="A1015" s="42" t="s">
        <v>4680</v>
      </c>
      <c r="B1015" s="41" t="s">
        <v>3951</v>
      </c>
      <c r="C1015" s="42" t="s">
        <v>3952</v>
      </c>
      <c r="D1015" s="42" t="s">
        <v>4681</v>
      </c>
      <c r="E1015" s="42"/>
      <c r="F1015" s="43" t="s">
        <v>4682</v>
      </c>
    </row>
    <row r="1016" spans="1:6">
      <c r="A1016" s="42" t="s">
        <v>4683</v>
      </c>
      <c r="B1016" s="41" t="s">
        <v>3951</v>
      </c>
      <c r="C1016" s="42" t="s">
        <v>3952</v>
      </c>
      <c r="D1016" s="42" t="s">
        <v>4684</v>
      </c>
      <c r="E1016" s="42"/>
      <c r="F1016" s="43" t="s">
        <v>4685</v>
      </c>
    </row>
    <row r="1017" spans="1:6">
      <c r="A1017" s="42" t="s">
        <v>4686</v>
      </c>
      <c r="B1017" s="41" t="s">
        <v>3951</v>
      </c>
      <c r="C1017" s="42" t="s">
        <v>3952</v>
      </c>
      <c r="D1017" s="42" t="s">
        <v>4687</v>
      </c>
      <c r="E1017" s="42"/>
      <c r="F1017" s="43" t="s">
        <v>4688</v>
      </c>
    </row>
    <row r="1018" spans="1:6">
      <c r="A1018" s="42" t="s">
        <v>4689</v>
      </c>
      <c r="B1018" s="41" t="s">
        <v>3951</v>
      </c>
      <c r="C1018" s="42" t="s">
        <v>3952</v>
      </c>
      <c r="D1018" s="42" t="s">
        <v>4690</v>
      </c>
      <c r="E1018" s="42"/>
      <c r="F1018" s="43" t="s">
        <v>4691</v>
      </c>
    </row>
    <row r="1019" spans="1:6">
      <c r="A1019" s="42" t="s">
        <v>4692</v>
      </c>
      <c r="B1019" s="41" t="s">
        <v>3951</v>
      </c>
      <c r="C1019" s="42" t="s">
        <v>3952</v>
      </c>
      <c r="D1019" s="42" t="s">
        <v>4693</v>
      </c>
      <c r="E1019" s="42"/>
      <c r="F1019" s="43" t="s">
        <v>4694</v>
      </c>
    </row>
    <row r="1020" spans="1:6">
      <c r="A1020" s="42" t="s">
        <v>4695</v>
      </c>
      <c r="B1020" s="41" t="s">
        <v>3951</v>
      </c>
      <c r="C1020" s="42" t="s">
        <v>3952</v>
      </c>
      <c r="D1020" s="42" t="s">
        <v>4696</v>
      </c>
      <c r="E1020" s="42"/>
      <c r="F1020" s="43" t="s">
        <v>4697</v>
      </c>
    </row>
    <row r="1021" spans="1:6">
      <c r="A1021" s="42" t="s">
        <v>4698</v>
      </c>
      <c r="B1021" s="41" t="s">
        <v>3951</v>
      </c>
      <c r="C1021" s="42" t="s">
        <v>3952</v>
      </c>
      <c r="D1021" s="42" t="s">
        <v>4699</v>
      </c>
      <c r="E1021" s="42"/>
      <c r="F1021" s="43" t="s">
        <v>4694</v>
      </c>
    </row>
    <row r="1022" spans="1:6">
      <c r="A1022" s="42" t="s">
        <v>4700</v>
      </c>
      <c r="B1022" s="41" t="s">
        <v>3951</v>
      </c>
      <c r="C1022" s="42" t="s">
        <v>3952</v>
      </c>
      <c r="D1022" s="42" t="s">
        <v>4701</v>
      </c>
      <c r="E1022" s="42"/>
      <c r="F1022" s="43" t="s">
        <v>4702</v>
      </c>
    </row>
    <row r="1023" spans="1:6">
      <c r="A1023" s="42" t="s">
        <v>4703</v>
      </c>
      <c r="B1023" s="41" t="s">
        <v>3951</v>
      </c>
      <c r="C1023" s="42" t="s">
        <v>3952</v>
      </c>
      <c r="D1023" s="42" t="s">
        <v>4704</v>
      </c>
      <c r="E1023" s="42"/>
      <c r="F1023" s="43" t="s">
        <v>4705</v>
      </c>
    </row>
    <row r="1024" spans="1:6">
      <c r="A1024" s="42" t="s">
        <v>4706</v>
      </c>
      <c r="B1024" s="41" t="s">
        <v>3951</v>
      </c>
      <c r="C1024" s="42" t="s">
        <v>3952</v>
      </c>
      <c r="D1024" s="42" t="s">
        <v>4707</v>
      </c>
      <c r="E1024" s="42"/>
      <c r="F1024" s="43" t="s">
        <v>4708</v>
      </c>
    </row>
    <row r="1025" spans="1:6">
      <c r="A1025" s="42" t="s">
        <v>4709</v>
      </c>
      <c r="B1025" s="41" t="s">
        <v>3951</v>
      </c>
      <c r="C1025" s="42" t="s">
        <v>3952</v>
      </c>
      <c r="D1025" s="42" t="s">
        <v>4710</v>
      </c>
      <c r="E1025" s="42"/>
      <c r="F1025" s="43" t="s">
        <v>4711</v>
      </c>
    </row>
    <row r="1026" spans="1:6">
      <c r="A1026" s="42" t="s">
        <v>4712</v>
      </c>
      <c r="B1026" s="41" t="s">
        <v>3951</v>
      </c>
      <c r="C1026" s="42" t="s">
        <v>3952</v>
      </c>
      <c r="D1026" s="42" t="s">
        <v>4713</v>
      </c>
      <c r="E1026" s="42"/>
      <c r="F1026" s="43" t="s">
        <v>4714</v>
      </c>
    </row>
    <row r="1027" spans="1:6">
      <c r="A1027" s="42" t="s">
        <v>4715</v>
      </c>
      <c r="B1027" s="41" t="s">
        <v>3951</v>
      </c>
      <c r="C1027" s="42" t="s">
        <v>3952</v>
      </c>
      <c r="D1027" s="42" t="s">
        <v>4716</v>
      </c>
      <c r="E1027" s="42"/>
      <c r="F1027" s="43" t="s">
        <v>4717</v>
      </c>
    </row>
    <row r="1028" spans="1:6">
      <c r="A1028" s="42" t="s">
        <v>4718</v>
      </c>
      <c r="B1028" s="41" t="s">
        <v>3951</v>
      </c>
      <c r="C1028" s="42" t="s">
        <v>3952</v>
      </c>
      <c r="D1028" s="42" t="s">
        <v>4719</v>
      </c>
      <c r="E1028" s="42"/>
      <c r="F1028" s="43" t="s">
        <v>4720</v>
      </c>
    </row>
    <row r="1029" spans="1:6">
      <c r="A1029" s="42" t="s">
        <v>4721</v>
      </c>
      <c r="B1029" s="41" t="s">
        <v>3951</v>
      </c>
      <c r="C1029" s="42" t="s">
        <v>3952</v>
      </c>
      <c r="D1029" s="42" t="s">
        <v>4722</v>
      </c>
      <c r="E1029" s="42"/>
      <c r="F1029" s="43" t="s">
        <v>4723</v>
      </c>
    </row>
    <row r="1030" spans="1:6">
      <c r="A1030" s="42" t="s">
        <v>4724</v>
      </c>
      <c r="B1030" s="41" t="s">
        <v>3951</v>
      </c>
      <c r="C1030" s="42" t="s">
        <v>3952</v>
      </c>
      <c r="D1030" s="42" t="s">
        <v>4725</v>
      </c>
      <c r="E1030" s="42"/>
      <c r="F1030" s="43" t="s">
        <v>4726</v>
      </c>
    </row>
    <row r="1031" spans="1:6">
      <c r="A1031" s="42" t="s">
        <v>4727</v>
      </c>
      <c r="B1031" s="41" t="s">
        <v>3951</v>
      </c>
      <c r="C1031" s="42" t="s">
        <v>3952</v>
      </c>
      <c r="D1031" s="42" t="s">
        <v>4728</v>
      </c>
      <c r="E1031" s="42"/>
      <c r="F1031" s="43" t="s">
        <v>4729</v>
      </c>
    </row>
    <row r="1032" spans="1:6">
      <c r="A1032" s="42" t="s">
        <v>4730</v>
      </c>
      <c r="B1032" s="41" t="s">
        <v>3951</v>
      </c>
      <c r="C1032" s="42" t="s">
        <v>3952</v>
      </c>
      <c r="D1032" s="42" t="s">
        <v>4731</v>
      </c>
      <c r="E1032" s="42"/>
      <c r="F1032" s="43" t="s">
        <v>4732</v>
      </c>
    </row>
    <row r="1033" spans="1:6">
      <c r="A1033" s="42" t="s">
        <v>4733</v>
      </c>
      <c r="B1033" s="41" t="s">
        <v>3951</v>
      </c>
      <c r="C1033" s="42" t="s">
        <v>3952</v>
      </c>
      <c r="D1033" s="42" t="s">
        <v>4734</v>
      </c>
      <c r="E1033" s="42"/>
      <c r="F1033" s="43" t="s">
        <v>4735</v>
      </c>
    </row>
    <row r="1034" spans="1:6">
      <c r="A1034" s="42" t="s">
        <v>4736</v>
      </c>
      <c r="B1034" s="41" t="s">
        <v>3951</v>
      </c>
      <c r="C1034" s="42" t="s">
        <v>3952</v>
      </c>
      <c r="D1034" s="42" t="s">
        <v>4737</v>
      </c>
      <c r="E1034" s="42"/>
      <c r="F1034" s="43" t="s">
        <v>4738</v>
      </c>
    </row>
    <row r="1035" spans="1:6">
      <c r="A1035" s="42" t="s">
        <v>4739</v>
      </c>
      <c r="B1035" s="41" t="s">
        <v>3951</v>
      </c>
      <c r="C1035" s="42" t="s">
        <v>3952</v>
      </c>
      <c r="D1035" s="42" t="s">
        <v>4740</v>
      </c>
      <c r="E1035" s="42"/>
      <c r="F1035" s="43" t="s">
        <v>4741</v>
      </c>
    </row>
    <row r="1036" spans="1:6">
      <c r="A1036" s="42" t="s">
        <v>4742</v>
      </c>
      <c r="B1036" s="41" t="s">
        <v>3951</v>
      </c>
      <c r="C1036" s="42" t="s">
        <v>3952</v>
      </c>
      <c r="D1036" s="42" t="s">
        <v>4743</v>
      </c>
      <c r="E1036" s="42"/>
      <c r="F1036" s="43" t="s">
        <v>4744</v>
      </c>
    </row>
    <row r="1037" spans="1:6">
      <c r="A1037" s="42" t="s">
        <v>4745</v>
      </c>
      <c r="B1037" s="41" t="s">
        <v>3951</v>
      </c>
      <c r="C1037" s="42" t="s">
        <v>3952</v>
      </c>
      <c r="D1037" s="42" t="s">
        <v>4746</v>
      </c>
      <c r="E1037" s="42"/>
      <c r="F1037" s="43" t="s">
        <v>4747</v>
      </c>
    </row>
    <row r="1038" spans="1:6">
      <c r="A1038" s="42" t="s">
        <v>4748</v>
      </c>
      <c r="B1038" s="41" t="s">
        <v>3951</v>
      </c>
      <c r="C1038" s="42" t="s">
        <v>3952</v>
      </c>
      <c r="D1038" s="42" t="s">
        <v>4749</v>
      </c>
      <c r="E1038" s="42"/>
      <c r="F1038" s="43" t="s">
        <v>4750</v>
      </c>
    </row>
    <row r="1039" spans="1:6">
      <c r="A1039" s="42" t="s">
        <v>4751</v>
      </c>
      <c r="B1039" s="41" t="s">
        <v>3951</v>
      </c>
      <c r="C1039" s="42" t="s">
        <v>3952</v>
      </c>
      <c r="D1039" s="42" t="s">
        <v>4752</v>
      </c>
      <c r="E1039" s="42"/>
      <c r="F1039" s="43" t="s">
        <v>4753</v>
      </c>
    </row>
    <row r="1040" spans="1:6">
      <c r="A1040" s="42" t="s">
        <v>4754</v>
      </c>
      <c r="B1040" s="41" t="s">
        <v>3951</v>
      </c>
      <c r="C1040" s="42" t="s">
        <v>3952</v>
      </c>
      <c r="D1040" s="42" t="s">
        <v>4755</v>
      </c>
      <c r="E1040" s="42"/>
      <c r="F1040" s="43" t="s">
        <v>4756</v>
      </c>
    </row>
    <row r="1041" spans="1:6">
      <c r="A1041" s="42" t="s">
        <v>4757</v>
      </c>
      <c r="B1041" s="41" t="s">
        <v>3951</v>
      </c>
      <c r="C1041" s="42" t="s">
        <v>3952</v>
      </c>
      <c r="D1041" s="42" t="s">
        <v>4758</v>
      </c>
      <c r="E1041" s="42"/>
      <c r="F1041" s="43" t="s">
        <v>4759</v>
      </c>
    </row>
    <row r="1042" spans="1:6">
      <c r="A1042" s="42" t="s">
        <v>4760</v>
      </c>
      <c r="B1042" s="41" t="s">
        <v>3951</v>
      </c>
      <c r="C1042" s="42" t="s">
        <v>3952</v>
      </c>
      <c r="D1042" s="42" t="s">
        <v>4761</v>
      </c>
      <c r="E1042" s="42"/>
      <c r="F1042" s="43" t="s">
        <v>4762</v>
      </c>
    </row>
    <row r="1043" spans="1:6">
      <c r="A1043" s="42" t="s">
        <v>4763</v>
      </c>
      <c r="B1043" s="41" t="s">
        <v>3951</v>
      </c>
      <c r="C1043" s="42" t="s">
        <v>3952</v>
      </c>
      <c r="D1043" s="42" t="s">
        <v>4764</v>
      </c>
      <c r="E1043" s="42"/>
      <c r="F1043" s="43" t="s">
        <v>4765</v>
      </c>
    </row>
    <row r="1044" spans="1:6">
      <c r="A1044" s="42" t="s">
        <v>4766</v>
      </c>
      <c r="B1044" s="41" t="s">
        <v>3951</v>
      </c>
      <c r="C1044" s="42" t="s">
        <v>3952</v>
      </c>
      <c r="D1044" s="42" t="s">
        <v>4767</v>
      </c>
      <c r="E1044" s="42"/>
      <c r="F1044" s="43" t="s">
        <v>4768</v>
      </c>
    </row>
    <row r="1045" spans="1:6">
      <c r="A1045" s="42" t="s">
        <v>4769</v>
      </c>
      <c r="B1045" s="41" t="s">
        <v>3951</v>
      </c>
      <c r="C1045" s="42" t="s">
        <v>3952</v>
      </c>
      <c r="D1045" s="42" t="s">
        <v>4770</v>
      </c>
      <c r="E1045" s="42"/>
      <c r="F1045" s="43" t="s">
        <v>4771</v>
      </c>
    </row>
    <row r="1046" spans="1:6">
      <c r="A1046" s="42" t="s">
        <v>4772</v>
      </c>
      <c r="B1046" s="41" t="s">
        <v>3951</v>
      </c>
      <c r="C1046" s="42" t="s">
        <v>3952</v>
      </c>
      <c r="D1046" s="42" t="s">
        <v>4773</v>
      </c>
      <c r="E1046" s="42"/>
      <c r="F1046" s="43" t="s">
        <v>4774</v>
      </c>
    </row>
    <row r="1047" spans="1:6">
      <c r="A1047" s="42" t="s">
        <v>4775</v>
      </c>
      <c r="B1047" s="41" t="s">
        <v>3951</v>
      </c>
      <c r="C1047" s="42" t="s">
        <v>3952</v>
      </c>
      <c r="D1047" s="42" t="s">
        <v>4776</v>
      </c>
      <c r="E1047" s="42"/>
      <c r="F1047" s="43" t="s">
        <v>4777</v>
      </c>
    </row>
    <row r="1048" spans="1:6">
      <c r="A1048" s="42" t="s">
        <v>4778</v>
      </c>
      <c r="B1048" s="41" t="s">
        <v>3951</v>
      </c>
      <c r="C1048" s="42" t="s">
        <v>3952</v>
      </c>
      <c r="D1048" s="42" t="s">
        <v>4779</v>
      </c>
      <c r="E1048" s="42"/>
      <c r="F1048" s="43" t="s">
        <v>4780</v>
      </c>
    </row>
    <row r="1049" spans="1:6">
      <c r="A1049" s="42" t="s">
        <v>4781</v>
      </c>
      <c r="B1049" s="41" t="s">
        <v>3951</v>
      </c>
      <c r="C1049" s="42" t="s">
        <v>3952</v>
      </c>
      <c r="D1049" s="42" t="s">
        <v>4782</v>
      </c>
      <c r="E1049" s="42"/>
      <c r="F1049" s="43" t="s">
        <v>4783</v>
      </c>
    </row>
    <row r="1050" spans="1:6">
      <c r="A1050" s="42" t="s">
        <v>4784</v>
      </c>
      <c r="B1050" s="41" t="s">
        <v>3951</v>
      </c>
      <c r="C1050" s="42" t="s">
        <v>3952</v>
      </c>
      <c r="D1050" s="42" t="s">
        <v>4785</v>
      </c>
      <c r="E1050" s="42"/>
      <c r="F1050" s="43" t="s">
        <v>4786</v>
      </c>
    </row>
    <row r="1051" spans="1:6">
      <c r="A1051" s="42" t="s">
        <v>4787</v>
      </c>
      <c r="B1051" s="41" t="s">
        <v>3951</v>
      </c>
      <c r="C1051" s="42" t="s">
        <v>3952</v>
      </c>
      <c r="D1051" s="42" t="s">
        <v>4788</v>
      </c>
      <c r="E1051" s="42"/>
      <c r="F1051" s="43" t="s">
        <v>4789</v>
      </c>
    </row>
    <row r="1052" spans="1:6">
      <c r="A1052" s="42" t="s">
        <v>4790</v>
      </c>
      <c r="B1052" s="41" t="s">
        <v>3951</v>
      </c>
      <c r="C1052" s="42" t="s">
        <v>3952</v>
      </c>
      <c r="D1052" s="42" t="s">
        <v>4791</v>
      </c>
      <c r="E1052" s="42"/>
      <c r="F1052" s="43" t="s">
        <v>4792</v>
      </c>
    </row>
    <row r="1053" spans="1:6">
      <c r="A1053" s="42" t="s">
        <v>4793</v>
      </c>
      <c r="B1053" s="41" t="s">
        <v>3951</v>
      </c>
      <c r="C1053" s="42" t="s">
        <v>3952</v>
      </c>
      <c r="D1053" s="42" t="s">
        <v>4794</v>
      </c>
      <c r="E1053" s="42"/>
      <c r="F1053" s="43" t="s">
        <v>4795</v>
      </c>
    </row>
    <row r="1054" spans="1:6">
      <c r="A1054" s="42" t="s">
        <v>4796</v>
      </c>
      <c r="B1054" s="41" t="s">
        <v>3951</v>
      </c>
      <c r="C1054" s="42" t="s">
        <v>3952</v>
      </c>
      <c r="D1054" s="42" t="s">
        <v>4797</v>
      </c>
      <c r="E1054" s="42"/>
      <c r="F1054" s="43" t="s">
        <v>4798</v>
      </c>
    </row>
    <row r="1055" spans="1:6">
      <c r="A1055" s="42" t="s">
        <v>4799</v>
      </c>
      <c r="B1055" s="41" t="s">
        <v>3951</v>
      </c>
      <c r="C1055" s="42" t="s">
        <v>3952</v>
      </c>
      <c r="D1055" s="42" t="s">
        <v>4800</v>
      </c>
      <c r="E1055" s="42"/>
      <c r="F1055" s="43" t="s">
        <v>4801</v>
      </c>
    </row>
    <row r="1056" spans="1:6">
      <c r="A1056" s="42" t="s">
        <v>4802</v>
      </c>
      <c r="B1056" s="41" t="s">
        <v>3951</v>
      </c>
      <c r="C1056" s="42" t="s">
        <v>3952</v>
      </c>
      <c r="D1056" s="42" t="s">
        <v>4803</v>
      </c>
      <c r="E1056" s="42"/>
      <c r="F1056" s="43" t="s">
        <v>4804</v>
      </c>
    </row>
    <row r="1057" spans="1:6">
      <c r="A1057" s="42" t="s">
        <v>4805</v>
      </c>
      <c r="B1057" s="41" t="s">
        <v>3951</v>
      </c>
      <c r="C1057" s="42" t="s">
        <v>3952</v>
      </c>
      <c r="D1057" s="42" t="s">
        <v>4806</v>
      </c>
      <c r="E1057" s="42"/>
      <c r="F1057" s="43" t="s">
        <v>4807</v>
      </c>
    </row>
    <row r="1058" spans="1:6">
      <c r="A1058" s="42" t="s">
        <v>4808</v>
      </c>
      <c r="B1058" s="41" t="s">
        <v>3951</v>
      </c>
      <c r="C1058" s="42" t="s">
        <v>3952</v>
      </c>
      <c r="D1058" s="42" t="s">
        <v>4809</v>
      </c>
      <c r="E1058" s="42"/>
      <c r="F1058" s="43" t="s">
        <v>4810</v>
      </c>
    </row>
    <row r="1059" spans="1:6">
      <c r="A1059" s="42" t="s">
        <v>4811</v>
      </c>
      <c r="B1059" s="41" t="s">
        <v>3951</v>
      </c>
      <c r="C1059" s="42" t="s">
        <v>3952</v>
      </c>
      <c r="D1059" s="42" t="s">
        <v>4812</v>
      </c>
      <c r="E1059" s="42"/>
      <c r="F1059" s="43" t="s">
        <v>4813</v>
      </c>
    </row>
    <row r="1060" spans="1:6">
      <c r="A1060" s="42" t="s">
        <v>4814</v>
      </c>
      <c r="B1060" s="41" t="s">
        <v>3951</v>
      </c>
      <c r="C1060" s="42" t="s">
        <v>3952</v>
      </c>
      <c r="D1060" s="42" t="s">
        <v>4815</v>
      </c>
      <c r="E1060" s="42"/>
      <c r="F1060" s="43" t="s">
        <v>4816</v>
      </c>
    </row>
    <row r="1061" spans="1:6">
      <c r="A1061" s="42" t="s">
        <v>4817</v>
      </c>
      <c r="B1061" s="41" t="s">
        <v>3951</v>
      </c>
      <c r="C1061" s="42" t="s">
        <v>3952</v>
      </c>
      <c r="D1061" s="42" t="s">
        <v>4818</v>
      </c>
      <c r="E1061" s="42"/>
      <c r="F1061" s="43" t="s">
        <v>4819</v>
      </c>
    </row>
    <row r="1062" spans="1:6">
      <c r="A1062" s="42" t="s">
        <v>4820</v>
      </c>
      <c r="B1062" s="41" t="s">
        <v>3951</v>
      </c>
      <c r="C1062" s="42" t="s">
        <v>3952</v>
      </c>
      <c r="D1062" s="42" t="s">
        <v>4821</v>
      </c>
      <c r="E1062" s="42"/>
      <c r="F1062" s="43" t="s">
        <v>4822</v>
      </c>
    </row>
    <row r="1063" spans="1:6">
      <c r="A1063" s="42" t="s">
        <v>4823</v>
      </c>
      <c r="B1063" s="41" t="s">
        <v>3951</v>
      </c>
      <c r="C1063" s="42" t="s">
        <v>3952</v>
      </c>
      <c r="D1063" s="42" t="s">
        <v>4824</v>
      </c>
      <c r="E1063" s="42"/>
      <c r="F1063" s="43" t="s">
        <v>4825</v>
      </c>
    </row>
    <row r="1064" spans="1:6">
      <c r="A1064" s="42" t="s">
        <v>4826</v>
      </c>
      <c r="B1064" s="41" t="s">
        <v>3951</v>
      </c>
      <c r="C1064" s="42" t="s">
        <v>3952</v>
      </c>
      <c r="D1064" s="42" t="s">
        <v>4827</v>
      </c>
      <c r="E1064" s="42"/>
      <c r="F1064" s="43" t="s">
        <v>4828</v>
      </c>
    </row>
    <row r="1065" spans="1:6">
      <c r="A1065" s="42" t="s">
        <v>4829</v>
      </c>
      <c r="B1065" s="41" t="s">
        <v>3951</v>
      </c>
      <c r="C1065" s="42" t="s">
        <v>3952</v>
      </c>
      <c r="D1065" s="42" t="s">
        <v>4830</v>
      </c>
      <c r="E1065" s="42"/>
      <c r="F1065" s="43" t="s">
        <v>4831</v>
      </c>
    </row>
    <row r="1066" spans="1:6">
      <c r="A1066" s="42" t="s">
        <v>4832</v>
      </c>
      <c r="B1066" s="41" t="s">
        <v>3951</v>
      </c>
      <c r="C1066" s="42" t="s">
        <v>3952</v>
      </c>
      <c r="D1066" s="42" t="s">
        <v>4833</v>
      </c>
      <c r="E1066" s="42"/>
      <c r="F1066" s="43" t="s">
        <v>4834</v>
      </c>
    </row>
    <row r="1067" spans="1:6">
      <c r="A1067" s="42" t="s">
        <v>4835</v>
      </c>
      <c r="B1067" s="41" t="s">
        <v>3951</v>
      </c>
      <c r="C1067" s="42" t="s">
        <v>3952</v>
      </c>
      <c r="D1067" s="42" t="s">
        <v>4836</v>
      </c>
      <c r="E1067" s="42"/>
      <c r="F1067" s="43" t="s">
        <v>4837</v>
      </c>
    </row>
    <row r="1068" spans="1:6">
      <c r="A1068" s="42" t="s">
        <v>4838</v>
      </c>
      <c r="B1068" s="41" t="s">
        <v>3951</v>
      </c>
      <c r="C1068" s="42" t="s">
        <v>3952</v>
      </c>
      <c r="D1068" s="42" t="s">
        <v>4839</v>
      </c>
      <c r="E1068" s="42"/>
      <c r="F1068" s="43" t="s">
        <v>4840</v>
      </c>
    </row>
    <row r="1069" spans="1:6">
      <c r="A1069" s="42" t="s">
        <v>4841</v>
      </c>
      <c r="B1069" s="41" t="s">
        <v>3951</v>
      </c>
      <c r="C1069" s="42" t="s">
        <v>3952</v>
      </c>
      <c r="D1069" s="42" t="s">
        <v>4842</v>
      </c>
      <c r="E1069" s="42"/>
      <c r="F1069" s="43" t="s">
        <v>4843</v>
      </c>
    </row>
    <row r="1070" spans="1:6">
      <c r="A1070" s="42" t="s">
        <v>4844</v>
      </c>
      <c r="B1070" s="41" t="s">
        <v>3951</v>
      </c>
      <c r="C1070" s="42" t="s">
        <v>3952</v>
      </c>
      <c r="D1070" s="42" t="s">
        <v>4845</v>
      </c>
      <c r="E1070" s="42"/>
      <c r="F1070" s="43" t="s">
        <v>4846</v>
      </c>
    </row>
    <row r="1071" spans="1:6">
      <c r="A1071" s="42" t="s">
        <v>4847</v>
      </c>
      <c r="B1071" s="41" t="s">
        <v>3951</v>
      </c>
      <c r="C1071" s="42" t="s">
        <v>3952</v>
      </c>
      <c r="D1071" s="42" t="s">
        <v>4848</v>
      </c>
      <c r="E1071" s="42"/>
      <c r="F1071" s="43" t="s">
        <v>4849</v>
      </c>
    </row>
    <row r="1072" spans="1:6">
      <c r="A1072" s="42" t="s">
        <v>4850</v>
      </c>
      <c r="B1072" s="41" t="s">
        <v>3951</v>
      </c>
      <c r="C1072" s="42" t="s">
        <v>3952</v>
      </c>
      <c r="D1072" s="42" t="s">
        <v>4851</v>
      </c>
      <c r="E1072" s="42"/>
      <c r="F1072" s="43" t="s">
        <v>4852</v>
      </c>
    </row>
    <row r="1073" spans="1:6">
      <c r="A1073" s="42" t="s">
        <v>4853</v>
      </c>
      <c r="B1073" s="41" t="s">
        <v>3951</v>
      </c>
      <c r="C1073" s="42" t="s">
        <v>3952</v>
      </c>
      <c r="D1073" s="42" t="s">
        <v>4854</v>
      </c>
      <c r="E1073" s="42"/>
      <c r="F1073" s="43" t="s">
        <v>4855</v>
      </c>
    </row>
    <row r="1074" spans="1:6">
      <c r="A1074" s="42" t="s">
        <v>4856</v>
      </c>
      <c r="B1074" s="41" t="s">
        <v>3951</v>
      </c>
      <c r="C1074" s="42" t="s">
        <v>3952</v>
      </c>
      <c r="D1074" s="42" t="s">
        <v>4857</v>
      </c>
      <c r="E1074" s="42"/>
      <c r="F1074" s="43" t="s">
        <v>4858</v>
      </c>
    </row>
    <row r="1075" spans="1:6">
      <c r="A1075" s="42" t="s">
        <v>4859</v>
      </c>
      <c r="B1075" s="41" t="s">
        <v>3951</v>
      </c>
      <c r="C1075" s="42" t="s">
        <v>3952</v>
      </c>
      <c r="D1075" s="42" t="s">
        <v>4860</v>
      </c>
      <c r="E1075" s="42"/>
      <c r="F1075" s="43" t="s">
        <v>4861</v>
      </c>
    </row>
    <row r="1076" spans="1:6">
      <c r="A1076" s="42" t="s">
        <v>4862</v>
      </c>
      <c r="B1076" s="41" t="s">
        <v>3951</v>
      </c>
      <c r="C1076" s="42" t="s">
        <v>3952</v>
      </c>
      <c r="D1076" s="42" t="s">
        <v>4863</v>
      </c>
      <c r="E1076" s="42"/>
      <c r="F1076" s="43" t="s">
        <v>4864</v>
      </c>
    </row>
    <row r="1077" spans="1:6">
      <c r="A1077" s="42" t="s">
        <v>4865</v>
      </c>
      <c r="B1077" s="41" t="s">
        <v>3951</v>
      </c>
      <c r="C1077" s="42" t="s">
        <v>3952</v>
      </c>
      <c r="D1077" s="42" t="s">
        <v>4866</v>
      </c>
      <c r="E1077" s="42"/>
      <c r="F1077" s="43" t="s">
        <v>4867</v>
      </c>
    </row>
    <row r="1078" spans="1:6">
      <c r="A1078" s="42" t="s">
        <v>4868</v>
      </c>
      <c r="B1078" s="41" t="s">
        <v>3951</v>
      </c>
      <c r="C1078" s="42" t="s">
        <v>3952</v>
      </c>
      <c r="D1078" s="42" t="s">
        <v>4869</v>
      </c>
      <c r="E1078" s="42"/>
      <c r="F1078" s="43" t="s">
        <v>4870</v>
      </c>
    </row>
    <row r="1079" spans="1:6">
      <c r="A1079" s="42" t="s">
        <v>4871</v>
      </c>
      <c r="B1079" s="41" t="s">
        <v>3951</v>
      </c>
      <c r="C1079" s="42" t="s">
        <v>3952</v>
      </c>
      <c r="D1079" s="42" t="s">
        <v>4872</v>
      </c>
      <c r="E1079" s="42"/>
      <c r="F1079" s="43" t="s">
        <v>4873</v>
      </c>
    </row>
    <row r="1080" spans="1:6">
      <c r="A1080" s="42" t="s">
        <v>4874</v>
      </c>
      <c r="B1080" s="41" t="s">
        <v>3951</v>
      </c>
      <c r="C1080" s="42" t="s">
        <v>3952</v>
      </c>
      <c r="D1080" s="42" t="s">
        <v>4875</v>
      </c>
      <c r="E1080" s="42"/>
      <c r="F1080" s="43" t="s">
        <v>4876</v>
      </c>
    </row>
    <row r="1081" spans="1:6">
      <c r="A1081" s="42" t="s">
        <v>4877</v>
      </c>
      <c r="B1081" s="41" t="s">
        <v>3951</v>
      </c>
      <c r="C1081" s="42" t="s">
        <v>3952</v>
      </c>
      <c r="D1081" s="42" t="s">
        <v>4878</v>
      </c>
      <c r="E1081" s="42"/>
      <c r="F1081" s="43" t="s">
        <v>4879</v>
      </c>
    </row>
    <row r="1082" spans="1:6">
      <c r="A1082" s="42" t="s">
        <v>4880</v>
      </c>
      <c r="B1082" s="41" t="s">
        <v>3951</v>
      </c>
      <c r="C1082" s="42" t="s">
        <v>3952</v>
      </c>
      <c r="D1082" s="42" t="s">
        <v>4881</v>
      </c>
      <c r="E1082" s="42"/>
      <c r="F1082" s="43" t="s">
        <v>4882</v>
      </c>
    </row>
    <row r="1083" spans="1:6">
      <c r="A1083" s="42" t="s">
        <v>4883</v>
      </c>
      <c r="B1083" s="41" t="s">
        <v>3951</v>
      </c>
      <c r="C1083" s="42" t="s">
        <v>3952</v>
      </c>
      <c r="D1083" s="42" t="s">
        <v>4884</v>
      </c>
      <c r="E1083" s="42"/>
      <c r="F1083" s="43" t="s">
        <v>4885</v>
      </c>
    </row>
    <row r="1084" spans="1:6">
      <c r="A1084" s="42" t="s">
        <v>4886</v>
      </c>
      <c r="B1084" s="41" t="s">
        <v>3951</v>
      </c>
      <c r="C1084" s="42" t="s">
        <v>3952</v>
      </c>
      <c r="D1084" s="42" t="s">
        <v>4887</v>
      </c>
      <c r="E1084" s="42"/>
      <c r="F1084" s="43" t="s">
        <v>4888</v>
      </c>
    </row>
    <row r="1085" spans="1:6">
      <c r="A1085" s="42" t="s">
        <v>4889</v>
      </c>
      <c r="B1085" s="41" t="s">
        <v>3951</v>
      </c>
      <c r="C1085" s="42" t="s">
        <v>3952</v>
      </c>
      <c r="D1085" s="42" t="s">
        <v>4890</v>
      </c>
      <c r="E1085" s="42"/>
      <c r="F1085" s="43" t="s">
        <v>4891</v>
      </c>
    </row>
    <row r="1086" spans="1:6">
      <c r="A1086" s="42" t="s">
        <v>4892</v>
      </c>
      <c r="B1086" s="41" t="s">
        <v>3951</v>
      </c>
      <c r="C1086" s="42" t="s">
        <v>3952</v>
      </c>
      <c r="D1086" s="42" t="s">
        <v>4893</v>
      </c>
      <c r="E1086" s="42"/>
      <c r="F1086" s="43" t="s">
        <v>4894</v>
      </c>
    </row>
    <row r="1087" spans="1:6">
      <c r="A1087" s="42" t="s">
        <v>4895</v>
      </c>
      <c r="B1087" s="41" t="s">
        <v>3951</v>
      </c>
      <c r="C1087" s="42" t="s">
        <v>3952</v>
      </c>
      <c r="D1087" s="42" t="s">
        <v>4896</v>
      </c>
      <c r="E1087" s="42"/>
      <c r="F1087" s="43" t="s">
        <v>4897</v>
      </c>
    </row>
    <row r="1088" spans="1:6">
      <c r="A1088" s="42" t="s">
        <v>4898</v>
      </c>
      <c r="B1088" s="41" t="s">
        <v>3951</v>
      </c>
      <c r="C1088" s="42" t="s">
        <v>3952</v>
      </c>
      <c r="D1088" s="42" t="s">
        <v>4899</v>
      </c>
      <c r="E1088" s="42"/>
      <c r="F1088" s="43" t="s">
        <v>4900</v>
      </c>
    </row>
    <row r="1089" spans="1:6">
      <c r="A1089" s="42" t="s">
        <v>4901</v>
      </c>
      <c r="B1089" s="41" t="s">
        <v>3951</v>
      </c>
      <c r="C1089" s="42" t="s">
        <v>3952</v>
      </c>
      <c r="D1089" s="42" t="s">
        <v>4902</v>
      </c>
      <c r="E1089" s="42"/>
      <c r="F1089" s="43" t="s">
        <v>4903</v>
      </c>
    </row>
    <row r="1090" spans="1:6">
      <c r="A1090" s="42" t="s">
        <v>4904</v>
      </c>
      <c r="B1090" s="41" t="s">
        <v>3951</v>
      </c>
      <c r="C1090" s="42" t="s">
        <v>3952</v>
      </c>
      <c r="D1090" s="42" t="s">
        <v>4905</v>
      </c>
      <c r="E1090" s="42"/>
      <c r="F1090" s="43" t="s">
        <v>4906</v>
      </c>
    </row>
    <row r="1091" spans="1:6">
      <c r="A1091" s="42" t="s">
        <v>4907</v>
      </c>
      <c r="B1091" s="41" t="s">
        <v>3951</v>
      </c>
      <c r="C1091" s="42" t="s">
        <v>3952</v>
      </c>
      <c r="D1091" s="42" t="s">
        <v>4908</v>
      </c>
      <c r="E1091" s="42"/>
      <c r="F1091" s="43" t="s">
        <v>4909</v>
      </c>
    </row>
    <row r="1092" spans="1:6">
      <c r="A1092" s="42" t="s">
        <v>4910</v>
      </c>
      <c r="B1092" s="41" t="s">
        <v>3951</v>
      </c>
      <c r="C1092" s="42" t="s">
        <v>3952</v>
      </c>
      <c r="D1092" s="42" t="s">
        <v>4911</v>
      </c>
      <c r="E1092" s="42"/>
      <c r="F1092" s="43" t="s">
        <v>4912</v>
      </c>
    </row>
    <row r="1093" spans="1:6">
      <c r="A1093" s="42" t="s">
        <v>4913</v>
      </c>
      <c r="B1093" s="41" t="s">
        <v>3951</v>
      </c>
      <c r="C1093" s="42" t="s">
        <v>3952</v>
      </c>
      <c r="D1093" s="42" t="s">
        <v>4914</v>
      </c>
      <c r="E1093" s="42"/>
      <c r="F1093" s="43" t="s">
        <v>4915</v>
      </c>
    </row>
    <row r="1094" spans="1:6">
      <c r="A1094" s="42" t="s">
        <v>4916</v>
      </c>
      <c r="B1094" s="41" t="s">
        <v>3951</v>
      </c>
      <c r="C1094" s="42" t="s">
        <v>3952</v>
      </c>
      <c r="D1094" s="42" t="s">
        <v>4917</v>
      </c>
      <c r="E1094" s="42"/>
      <c r="F1094" s="43" t="s">
        <v>4918</v>
      </c>
    </row>
    <row r="1095" spans="1:6">
      <c r="A1095" s="42" t="s">
        <v>4919</v>
      </c>
      <c r="B1095" s="41" t="s">
        <v>3951</v>
      </c>
      <c r="C1095" s="42" t="s">
        <v>3952</v>
      </c>
      <c r="D1095" s="42" t="s">
        <v>4920</v>
      </c>
      <c r="E1095" s="42"/>
      <c r="F1095" s="43" t="s">
        <v>4921</v>
      </c>
    </row>
    <row r="1096" spans="1:6">
      <c r="A1096" s="42" t="s">
        <v>4922</v>
      </c>
      <c r="B1096" s="41" t="s">
        <v>3951</v>
      </c>
      <c r="C1096" s="42" t="s">
        <v>3952</v>
      </c>
      <c r="D1096" s="42" t="s">
        <v>4923</v>
      </c>
      <c r="E1096" s="42"/>
      <c r="F1096" s="43" t="s">
        <v>4924</v>
      </c>
    </row>
    <row r="1097" spans="1:6">
      <c r="A1097" s="42" t="s">
        <v>4925</v>
      </c>
      <c r="B1097" s="41" t="s">
        <v>3951</v>
      </c>
      <c r="C1097" s="42" t="s">
        <v>3952</v>
      </c>
      <c r="D1097" s="42" t="s">
        <v>4926</v>
      </c>
      <c r="E1097" s="42"/>
      <c r="F1097" s="43" t="s">
        <v>4927</v>
      </c>
    </row>
    <row r="1098" spans="1:6">
      <c r="A1098" s="42" t="s">
        <v>4928</v>
      </c>
      <c r="B1098" s="41" t="s">
        <v>3951</v>
      </c>
      <c r="C1098" s="42" t="s">
        <v>3952</v>
      </c>
      <c r="D1098" s="42" t="s">
        <v>4929</v>
      </c>
      <c r="E1098" s="42"/>
      <c r="F1098" s="43" t="s">
        <v>4930</v>
      </c>
    </row>
    <row r="1099" spans="1:6">
      <c r="A1099" s="42" t="s">
        <v>4931</v>
      </c>
      <c r="B1099" s="41" t="s">
        <v>3951</v>
      </c>
      <c r="C1099" s="42" t="s">
        <v>3952</v>
      </c>
      <c r="D1099" s="42" t="s">
        <v>4932</v>
      </c>
      <c r="E1099" s="42"/>
      <c r="F1099" s="43" t="s">
        <v>4933</v>
      </c>
    </row>
    <row r="1100" spans="1:6">
      <c r="A1100" s="42" t="s">
        <v>4934</v>
      </c>
      <c r="B1100" s="41" t="s">
        <v>3951</v>
      </c>
      <c r="C1100" s="42" t="s">
        <v>3952</v>
      </c>
      <c r="D1100" s="42" t="s">
        <v>4935</v>
      </c>
      <c r="E1100" s="42"/>
      <c r="F1100" s="43" t="s">
        <v>4936</v>
      </c>
    </row>
    <row r="1101" spans="1:6">
      <c r="A1101" s="42" t="s">
        <v>4937</v>
      </c>
      <c r="B1101" s="41" t="s">
        <v>3951</v>
      </c>
      <c r="C1101" s="42" t="s">
        <v>3952</v>
      </c>
      <c r="D1101" s="42" t="s">
        <v>4938</v>
      </c>
      <c r="E1101" s="42"/>
      <c r="F1101" s="43" t="s">
        <v>4939</v>
      </c>
    </row>
    <row r="1102" spans="1:6">
      <c r="A1102" s="42" t="s">
        <v>4940</v>
      </c>
      <c r="B1102" s="41" t="s">
        <v>3951</v>
      </c>
      <c r="C1102" s="42" t="s">
        <v>3952</v>
      </c>
      <c r="D1102" s="42" t="s">
        <v>4941</v>
      </c>
      <c r="E1102" s="42"/>
      <c r="F1102" s="43" t="s">
        <v>4942</v>
      </c>
    </row>
    <row r="1103" spans="1:6">
      <c r="A1103" s="42" t="s">
        <v>4943</v>
      </c>
      <c r="B1103" s="41" t="s">
        <v>3951</v>
      </c>
      <c r="C1103" s="42" t="s">
        <v>3952</v>
      </c>
      <c r="D1103" s="42" t="s">
        <v>4944</v>
      </c>
      <c r="E1103" s="42"/>
      <c r="F1103" s="43" t="s">
        <v>4945</v>
      </c>
    </row>
    <row r="1104" spans="1:6">
      <c r="A1104" s="42" t="s">
        <v>4946</v>
      </c>
      <c r="B1104" s="41" t="s">
        <v>3951</v>
      </c>
      <c r="C1104" s="42" t="s">
        <v>3952</v>
      </c>
      <c r="D1104" s="42" t="s">
        <v>4947</v>
      </c>
      <c r="E1104" s="42"/>
      <c r="F1104" s="43" t="s">
        <v>4948</v>
      </c>
    </row>
    <row r="1105" spans="1:6">
      <c r="A1105" s="42" t="s">
        <v>4949</v>
      </c>
      <c r="B1105" s="41" t="s">
        <v>3951</v>
      </c>
      <c r="C1105" s="42" t="s">
        <v>3952</v>
      </c>
      <c r="D1105" s="42" t="s">
        <v>4950</v>
      </c>
      <c r="E1105" s="42"/>
      <c r="F1105" s="43" t="s">
        <v>4951</v>
      </c>
    </row>
    <row r="1106" spans="1:6">
      <c r="A1106" s="42" t="s">
        <v>4952</v>
      </c>
      <c r="B1106" s="41" t="s">
        <v>3951</v>
      </c>
      <c r="C1106" s="42" t="s">
        <v>3952</v>
      </c>
      <c r="D1106" s="42" t="s">
        <v>4953</v>
      </c>
      <c r="E1106" s="42"/>
      <c r="F1106" s="43" t="s">
        <v>4954</v>
      </c>
    </row>
    <row r="1107" spans="1:6">
      <c r="A1107" s="42" t="s">
        <v>4955</v>
      </c>
      <c r="B1107" s="41" t="s">
        <v>3951</v>
      </c>
      <c r="C1107" s="42" t="s">
        <v>3952</v>
      </c>
      <c r="D1107" s="42" t="s">
        <v>4956</v>
      </c>
      <c r="E1107" s="42"/>
      <c r="F1107" s="43" t="s">
        <v>4957</v>
      </c>
    </row>
    <row r="1108" spans="1:6">
      <c r="A1108" s="42" t="s">
        <v>4958</v>
      </c>
      <c r="B1108" s="41" t="s">
        <v>3951</v>
      </c>
      <c r="C1108" s="42" t="s">
        <v>3952</v>
      </c>
      <c r="D1108" s="42" t="s">
        <v>4959</v>
      </c>
      <c r="E1108" s="42"/>
      <c r="F1108" s="43" t="s">
        <v>4960</v>
      </c>
    </row>
    <row r="1109" spans="1:6">
      <c r="A1109" s="42" t="s">
        <v>4961</v>
      </c>
      <c r="B1109" s="41" t="s">
        <v>3951</v>
      </c>
      <c r="C1109" s="42" t="s">
        <v>3952</v>
      </c>
      <c r="D1109" s="42" t="s">
        <v>4962</v>
      </c>
      <c r="E1109" s="42"/>
      <c r="F1109" s="43" t="s">
        <v>4963</v>
      </c>
    </row>
    <row r="1110" spans="1:6">
      <c r="A1110" s="42" t="s">
        <v>4964</v>
      </c>
      <c r="B1110" s="41" t="s">
        <v>3951</v>
      </c>
      <c r="C1110" s="42" t="s">
        <v>3952</v>
      </c>
      <c r="D1110" s="42" t="s">
        <v>4965</v>
      </c>
      <c r="E1110" s="42"/>
      <c r="F1110" s="43" t="s">
        <v>4966</v>
      </c>
    </row>
    <row r="1111" spans="1:6">
      <c r="A1111" s="42" t="s">
        <v>4967</v>
      </c>
      <c r="B1111" s="41" t="s">
        <v>3951</v>
      </c>
      <c r="C1111" s="42" t="s">
        <v>3952</v>
      </c>
      <c r="D1111" s="42" t="s">
        <v>4968</v>
      </c>
      <c r="E1111" s="42"/>
      <c r="F1111" s="43" t="s">
        <v>4969</v>
      </c>
    </row>
    <row r="1112" spans="1:6">
      <c r="A1112" s="42" t="s">
        <v>4970</v>
      </c>
      <c r="B1112" s="41" t="s">
        <v>3951</v>
      </c>
      <c r="C1112" s="42" t="s">
        <v>3952</v>
      </c>
      <c r="D1112" s="42" t="s">
        <v>4971</v>
      </c>
      <c r="E1112" s="42"/>
      <c r="F1112" s="43" t="s">
        <v>4972</v>
      </c>
    </row>
    <row r="1113" spans="1:6">
      <c r="A1113" s="42" t="s">
        <v>4973</v>
      </c>
      <c r="B1113" s="41" t="s">
        <v>3951</v>
      </c>
      <c r="C1113" s="42" t="s">
        <v>3952</v>
      </c>
      <c r="D1113" s="42" t="s">
        <v>4974</v>
      </c>
      <c r="E1113" s="42"/>
      <c r="F1113" s="43" t="s">
        <v>4975</v>
      </c>
    </row>
    <row r="1114" spans="1:6">
      <c r="A1114" s="42" t="s">
        <v>4976</v>
      </c>
      <c r="B1114" s="41" t="s">
        <v>3951</v>
      </c>
      <c r="C1114" s="42" t="s">
        <v>3952</v>
      </c>
      <c r="D1114" s="42" t="s">
        <v>4977</v>
      </c>
      <c r="E1114" s="42"/>
      <c r="F1114" s="43" t="s">
        <v>4978</v>
      </c>
    </row>
    <row r="1115" spans="1:6">
      <c r="A1115" s="42" t="s">
        <v>4979</v>
      </c>
      <c r="B1115" s="41" t="s">
        <v>3951</v>
      </c>
      <c r="C1115" s="42" t="s">
        <v>3952</v>
      </c>
      <c r="D1115" s="42" t="s">
        <v>4980</v>
      </c>
      <c r="E1115" s="42"/>
      <c r="F1115" s="43" t="s">
        <v>4981</v>
      </c>
    </row>
    <row r="1116" spans="1:6">
      <c r="A1116" s="42" t="s">
        <v>4982</v>
      </c>
      <c r="B1116" s="41" t="s">
        <v>3951</v>
      </c>
      <c r="C1116" s="42" t="s">
        <v>3952</v>
      </c>
      <c r="D1116" s="42" t="s">
        <v>4983</v>
      </c>
      <c r="E1116" s="42"/>
      <c r="F1116" s="43" t="s">
        <v>4984</v>
      </c>
    </row>
    <row r="1117" spans="1:6">
      <c r="A1117" s="42" t="s">
        <v>4985</v>
      </c>
      <c r="B1117" s="41" t="s">
        <v>3951</v>
      </c>
      <c r="C1117" s="42" t="s">
        <v>3952</v>
      </c>
      <c r="D1117" s="42" t="s">
        <v>4986</v>
      </c>
      <c r="E1117" s="42"/>
      <c r="F1117" s="43" t="s">
        <v>4987</v>
      </c>
    </row>
    <row r="1118" spans="1:6">
      <c r="A1118" s="42" t="s">
        <v>4988</v>
      </c>
      <c r="B1118" s="41" t="s">
        <v>3951</v>
      </c>
      <c r="C1118" s="42" t="s">
        <v>3952</v>
      </c>
      <c r="D1118" s="42" t="s">
        <v>4989</v>
      </c>
      <c r="E1118" s="42"/>
      <c r="F1118" s="43" t="s">
        <v>4990</v>
      </c>
    </row>
    <row r="1119" spans="1:6">
      <c r="A1119" s="42" t="s">
        <v>4991</v>
      </c>
      <c r="B1119" s="41" t="s">
        <v>3951</v>
      </c>
      <c r="C1119" s="42" t="s">
        <v>3952</v>
      </c>
      <c r="D1119" s="42" t="s">
        <v>4992</v>
      </c>
      <c r="E1119" s="42"/>
      <c r="F1119" s="43" t="s">
        <v>4993</v>
      </c>
    </row>
    <row r="1120" spans="1:6">
      <c r="A1120" s="42" t="s">
        <v>4994</v>
      </c>
      <c r="B1120" s="41" t="s">
        <v>3951</v>
      </c>
      <c r="C1120" s="42" t="s">
        <v>3952</v>
      </c>
      <c r="D1120" s="42" t="s">
        <v>4995</v>
      </c>
      <c r="E1120" s="42"/>
      <c r="F1120" s="43" t="s">
        <v>4996</v>
      </c>
    </row>
    <row r="1121" spans="1:6">
      <c r="A1121" s="42" t="s">
        <v>4997</v>
      </c>
      <c r="B1121" s="41" t="s">
        <v>3951</v>
      </c>
      <c r="C1121" s="42" t="s">
        <v>3952</v>
      </c>
      <c r="D1121" s="42" t="s">
        <v>4998</v>
      </c>
      <c r="E1121" s="42"/>
      <c r="F1121" s="43" t="s">
        <v>4999</v>
      </c>
    </row>
    <row r="1122" spans="1:6">
      <c r="A1122" s="42" t="s">
        <v>5000</v>
      </c>
      <c r="B1122" s="41" t="s">
        <v>3951</v>
      </c>
      <c r="C1122" s="42" t="s">
        <v>3952</v>
      </c>
      <c r="D1122" s="42" t="s">
        <v>5001</v>
      </c>
      <c r="E1122" s="42"/>
      <c r="F1122" s="43" t="s">
        <v>5002</v>
      </c>
    </row>
    <row r="1123" spans="1:6">
      <c r="A1123" s="42" t="s">
        <v>5003</v>
      </c>
      <c r="B1123" s="41" t="s">
        <v>3951</v>
      </c>
      <c r="C1123" s="42" t="s">
        <v>3952</v>
      </c>
      <c r="D1123" s="42" t="s">
        <v>5004</v>
      </c>
      <c r="E1123" s="42"/>
      <c r="F1123" s="43" t="s">
        <v>5005</v>
      </c>
    </row>
    <row r="1124" spans="1:6">
      <c r="A1124" s="42" t="s">
        <v>5006</v>
      </c>
      <c r="B1124" s="41" t="s">
        <v>3951</v>
      </c>
      <c r="C1124" s="42" t="s">
        <v>3952</v>
      </c>
      <c r="D1124" s="42" t="s">
        <v>5007</v>
      </c>
      <c r="E1124" s="42"/>
      <c r="F1124" s="43" t="s">
        <v>5008</v>
      </c>
    </row>
    <row r="1125" spans="1:6">
      <c r="A1125" s="42" t="s">
        <v>5009</v>
      </c>
      <c r="B1125" s="41" t="s">
        <v>3951</v>
      </c>
      <c r="C1125" s="42" t="s">
        <v>3952</v>
      </c>
      <c r="D1125" s="42" t="s">
        <v>5010</v>
      </c>
      <c r="E1125" s="42"/>
      <c r="F1125" s="43" t="s">
        <v>5011</v>
      </c>
    </row>
    <row r="1126" spans="1:6">
      <c r="A1126" s="42" t="s">
        <v>5012</v>
      </c>
      <c r="B1126" s="41" t="s">
        <v>3951</v>
      </c>
      <c r="C1126" s="42" t="s">
        <v>3952</v>
      </c>
      <c r="D1126" s="42" t="s">
        <v>5013</v>
      </c>
      <c r="E1126" s="42"/>
      <c r="F1126" s="43" t="s">
        <v>5014</v>
      </c>
    </row>
    <row r="1127" spans="1:6">
      <c r="A1127" s="42" t="s">
        <v>5015</v>
      </c>
      <c r="B1127" s="41" t="s">
        <v>3951</v>
      </c>
      <c r="C1127" s="42" t="s">
        <v>3952</v>
      </c>
      <c r="D1127" s="42" t="s">
        <v>5016</v>
      </c>
      <c r="E1127" s="42"/>
      <c r="F1127" s="43" t="s">
        <v>5017</v>
      </c>
    </row>
    <row r="1128" spans="1:6">
      <c r="A1128" s="42" t="s">
        <v>5018</v>
      </c>
      <c r="B1128" s="41" t="s">
        <v>3951</v>
      </c>
      <c r="C1128" s="42" t="s">
        <v>3952</v>
      </c>
      <c r="D1128" s="42" t="s">
        <v>5019</v>
      </c>
      <c r="E1128" s="42"/>
      <c r="F1128" s="43" t="s">
        <v>5020</v>
      </c>
    </row>
    <row r="1129" spans="1:6">
      <c r="A1129" s="42" t="s">
        <v>5021</v>
      </c>
      <c r="B1129" s="41" t="s">
        <v>3951</v>
      </c>
      <c r="C1129" s="42" t="s">
        <v>3952</v>
      </c>
      <c r="D1129" s="42" t="s">
        <v>5022</v>
      </c>
      <c r="E1129" s="42"/>
      <c r="F1129" s="43" t="s">
        <v>5023</v>
      </c>
    </row>
    <row r="1130" spans="1:6">
      <c r="A1130" s="42" t="s">
        <v>5024</v>
      </c>
      <c r="B1130" s="41" t="s">
        <v>3951</v>
      </c>
      <c r="C1130" s="42" t="s">
        <v>3952</v>
      </c>
      <c r="D1130" s="42" t="s">
        <v>5025</v>
      </c>
      <c r="E1130" s="42"/>
      <c r="F1130" s="43" t="s">
        <v>5026</v>
      </c>
    </row>
    <row r="1131" spans="1:6">
      <c r="A1131" s="42" t="s">
        <v>5027</v>
      </c>
      <c r="B1131" s="41" t="s">
        <v>3951</v>
      </c>
      <c r="C1131" s="42" t="s">
        <v>3952</v>
      </c>
      <c r="D1131" s="42" t="s">
        <v>5028</v>
      </c>
      <c r="E1131" s="42"/>
      <c r="F1131" s="43" t="s">
        <v>5029</v>
      </c>
    </row>
    <row r="1132" spans="1:6">
      <c r="A1132" s="42" t="s">
        <v>5030</v>
      </c>
      <c r="B1132" s="41" t="s">
        <v>3951</v>
      </c>
      <c r="C1132" s="42" t="s">
        <v>3952</v>
      </c>
      <c r="D1132" s="42" t="s">
        <v>5031</v>
      </c>
      <c r="E1132" s="42"/>
      <c r="F1132" s="43" t="s">
        <v>5032</v>
      </c>
    </row>
    <row r="1133" spans="1:6">
      <c r="A1133" s="42" t="s">
        <v>5033</v>
      </c>
      <c r="B1133" s="41" t="s">
        <v>3951</v>
      </c>
      <c r="C1133" s="42" t="s">
        <v>3952</v>
      </c>
      <c r="D1133" s="42" t="s">
        <v>5034</v>
      </c>
      <c r="E1133" s="42"/>
      <c r="F1133" s="43" t="s">
        <v>5035</v>
      </c>
    </row>
    <row r="1134" spans="1:6">
      <c r="A1134" s="42" t="s">
        <v>5036</v>
      </c>
      <c r="B1134" s="41" t="s">
        <v>3951</v>
      </c>
      <c r="C1134" s="42" t="s">
        <v>3952</v>
      </c>
      <c r="D1134" s="42" t="s">
        <v>5037</v>
      </c>
      <c r="E1134" s="42"/>
      <c r="F1134" s="43" t="s">
        <v>5038</v>
      </c>
    </row>
    <row r="1135" spans="1:6">
      <c r="A1135" s="42" t="s">
        <v>5039</v>
      </c>
      <c r="B1135" s="41" t="s">
        <v>3951</v>
      </c>
      <c r="C1135" s="42" t="s">
        <v>3952</v>
      </c>
      <c r="D1135" s="42" t="s">
        <v>5040</v>
      </c>
      <c r="E1135" s="42"/>
      <c r="F1135" s="43" t="s">
        <v>5041</v>
      </c>
    </row>
    <row r="1136" spans="1:6">
      <c r="A1136" s="42" t="s">
        <v>5042</v>
      </c>
      <c r="B1136" s="41" t="s">
        <v>3951</v>
      </c>
      <c r="C1136" s="42" t="s">
        <v>3952</v>
      </c>
      <c r="D1136" s="42" t="s">
        <v>5043</v>
      </c>
      <c r="E1136" s="42"/>
      <c r="F1136" s="43" t="s">
        <v>5044</v>
      </c>
    </row>
    <row r="1137" spans="1:6">
      <c r="A1137" s="42" t="s">
        <v>5045</v>
      </c>
      <c r="B1137" s="41" t="s">
        <v>3951</v>
      </c>
      <c r="C1137" s="42" t="s">
        <v>3952</v>
      </c>
      <c r="D1137" s="42" t="s">
        <v>5046</v>
      </c>
      <c r="E1137" s="42"/>
      <c r="F1137" s="43" t="s">
        <v>5047</v>
      </c>
    </row>
    <row r="1138" spans="1:6">
      <c r="A1138" s="42" t="s">
        <v>5048</v>
      </c>
      <c r="B1138" s="41" t="s">
        <v>3951</v>
      </c>
      <c r="C1138" s="42" t="s">
        <v>3952</v>
      </c>
      <c r="D1138" s="42" t="s">
        <v>5049</v>
      </c>
      <c r="E1138" s="42"/>
      <c r="F1138" s="43" t="s">
        <v>5050</v>
      </c>
    </row>
    <row r="1139" spans="1:6">
      <c r="A1139" s="42" t="s">
        <v>5051</v>
      </c>
      <c r="B1139" s="41" t="s">
        <v>3951</v>
      </c>
      <c r="C1139" s="42" t="s">
        <v>3952</v>
      </c>
      <c r="D1139" s="42" t="s">
        <v>5052</v>
      </c>
      <c r="E1139" s="42"/>
      <c r="F1139" s="43" t="s">
        <v>5053</v>
      </c>
    </row>
    <row r="1140" spans="1:6">
      <c r="A1140" s="42" t="s">
        <v>5054</v>
      </c>
      <c r="B1140" s="41" t="s">
        <v>3951</v>
      </c>
      <c r="C1140" s="42" t="s">
        <v>3952</v>
      </c>
      <c r="D1140" s="42" t="s">
        <v>5055</v>
      </c>
      <c r="E1140" s="42"/>
      <c r="F1140" s="43" t="s">
        <v>5056</v>
      </c>
    </row>
    <row r="1141" spans="1:6">
      <c r="A1141" s="42" t="s">
        <v>5057</v>
      </c>
      <c r="B1141" s="41" t="s">
        <v>3951</v>
      </c>
      <c r="C1141" s="42" t="s">
        <v>3952</v>
      </c>
      <c r="D1141" s="42" t="s">
        <v>5058</v>
      </c>
      <c r="E1141" s="42"/>
      <c r="F1141" s="43" t="s">
        <v>5059</v>
      </c>
    </row>
    <row r="1142" spans="1:6">
      <c r="A1142" s="42" t="s">
        <v>5060</v>
      </c>
      <c r="B1142" s="41" t="s">
        <v>3951</v>
      </c>
      <c r="C1142" s="42" t="s">
        <v>3952</v>
      </c>
      <c r="D1142" s="42" t="s">
        <v>5061</v>
      </c>
      <c r="E1142" s="42"/>
      <c r="F1142" s="43" t="s">
        <v>5062</v>
      </c>
    </row>
    <row r="1143" spans="1:6">
      <c r="A1143" s="42" t="s">
        <v>5063</v>
      </c>
      <c r="B1143" s="41" t="s">
        <v>3951</v>
      </c>
      <c r="C1143" s="42" t="s">
        <v>3952</v>
      </c>
      <c r="D1143" s="42" t="s">
        <v>5064</v>
      </c>
      <c r="E1143" s="42"/>
      <c r="F1143" s="43" t="s">
        <v>5065</v>
      </c>
    </row>
    <row r="1144" spans="1:6">
      <c r="A1144" s="42" t="s">
        <v>5066</v>
      </c>
      <c r="B1144" s="41" t="s">
        <v>3951</v>
      </c>
      <c r="C1144" s="42" t="s">
        <v>3952</v>
      </c>
      <c r="D1144" s="42" t="s">
        <v>5067</v>
      </c>
      <c r="E1144" s="42"/>
      <c r="F1144" s="43" t="s">
        <v>5068</v>
      </c>
    </row>
    <row r="1145" spans="1:6">
      <c r="A1145" s="42" t="s">
        <v>5069</v>
      </c>
      <c r="B1145" s="41" t="s">
        <v>3951</v>
      </c>
      <c r="C1145" s="42" t="s">
        <v>3952</v>
      </c>
      <c r="D1145" s="42" t="s">
        <v>5070</v>
      </c>
      <c r="E1145" s="42"/>
      <c r="F1145" s="43" t="s">
        <v>5071</v>
      </c>
    </row>
    <row r="1146" spans="1:6">
      <c r="A1146" s="42" t="s">
        <v>5072</v>
      </c>
      <c r="B1146" s="41" t="s">
        <v>3951</v>
      </c>
      <c r="C1146" s="42" t="s">
        <v>3952</v>
      </c>
      <c r="D1146" s="42" t="s">
        <v>5073</v>
      </c>
      <c r="E1146" s="42"/>
      <c r="F1146" s="43" t="s">
        <v>5074</v>
      </c>
    </row>
    <row r="1147" spans="1:6">
      <c r="A1147" s="42" t="s">
        <v>5075</v>
      </c>
      <c r="B1147" s="41" t="s">
        <v>3951</v>
      </c>
      <c r="C1147" s="42" t="s">
        <v>3952</v>
      </c>
      <c r="D1147" s="42" t="s">
        <v>5076</v>
      </c>
      <c r="E1147" s="42"/>
      <c r="F1147" s="43" t="s">
        <v>5077</v>
      </c>
    </row>
    <row r="1148" spans="1:6">
      <c r="A1148" s="42" t="s">
        <v>5078</v>
      </c>
      <c r="B1148" s="41" t="s">
        <v>3951</v>
      </c>
      <c r="C1148" s="42" t="s">
        <v>3952</v>
      </c>
      <c r="D1148" s="42" t="s">
        <v>5079</v>
      </c>
      <c r="E1148" s="42"/>
      <c r="F1148" s="43" t="s">
        <v>5080</v>
      </c>
    </row>
    <row r="1149" spans="1:6">
      <c r="A1149" s="42" t="s">
        <v>5081</v>
      </c>
      <c r="B1149" s="41" t="s">
        <v>3951</v>
      </c>
      <c r="C1149" s="42" t="s">
        <v>3952</v>
      </c>
      <c r="D1149" s="42" t="s">
        <v>5082</v>
      </c>
      <c r="E1149" s="42"/>
      <c r="F1149" s="43" t="s">
        <v>5083</v>
      </c>
    </row>
    <row r="1150" spans="1:6">
      <c r="A1150" s="42" t="s">
        <v>5084</v>
      </c>
      <c r="B1150" s="41" t="s">
        <v>3951</v>
      </c>
      <c r="C1150" s="42" t="s">
        <v>3952</v>
      </c>
      <c r="D1150" s="42" t="s">
        <v>5085</v>
      </c>
      <c r="E1150" s="42"/>
      <c r="F1150" s="43" t="s">
        <v>5086</v>
      </c>
    </row>
    <row r="1151" spans="1:6">
      <c r="A1151" s="42" t="s">
        <v>5087</v>
      </c>
      <c r="B1151" s="41" t="s">
        <v>3951</v>
      </c>
      <c r="C1151" s="42" t="s">
        <v>3952</v>
      </c>
      <c r="D1151" s="42" t="s">
        <v>5088</v>
      </c>
      <c r="E1151" s="42"/>
      <c r="F1151" s="43" t="s">
        <v>5089</v>
      </c>
    </row>
    <row r="1152" spans="1:6">
      <c r="A1152" s="42" t="s">
        <v>5090</v>
      </c>
      <c r="B1152" s="41" t="s">
        <v>3951</v>
      </c>
      <c r="C1152" s="42" t="s">
        <v>3952</v>
      </c>
      <c r="D1152" s="42" t="s">
        <v>5091</v>
      </c>
      <c r="E1152" s="42"/>
      <c r="F1152" s="43" t="s">
        <v>5092</v>
      </c>
    </row>
    <row r="1153" spans="1:6">
      <c r="A1153" s="42" t="s">
        <v>5093</v>
      </c>
      <c r="B1153" s="41" t="s">
        <v>3951</v>
      </c>
      <c r="C1153" s="42" t="s">
        <v>3952</v>
      </c>
      <c r="D1153" s="42" t="s">
        <v>5094</v>
      </c>
      <c r="E1153" s="42"/>
      <c r="F1153" s="43" t="s">
        <v>5095</v>
      </c>
    </row>
    <row r="1154" spans="1:6">
      <c r="A1154" s="42" t="s">
        <v>5096</v>
      </c>
      <c r="B1154" s="41" t="s">
        <v>3951</v>
      </c>
      <c r="C1154" s="42" t="s">
        <v>3952</v>
      </c>
      <c r="D1154" s="42" t="s">
        <v>5097</v>
      </c>
      <c r="E1154" s="42"/>
      <c r="F1154" s="43" t="s">
        <v>5098</v>
      </c>
    </row>
    <row r="1155" spans="1:6">
      <c r="A1155" s="42" t="s">
        <v>5099</v>
      </c>
      <c r="B1155" s="41" t="s">
        <v>3951</v>
      </c>
      <c r="C1155" s="42" t="s">
        <v>3952</v>
      </c>
      <c r="D1155" s="42" t="s">
        <v>5100</v>
      </c>
      <c r="E1155" s="42"/>
      <c r="F1155" s="43" t="s">
        <v>5101</v>
      </c>
    </row>
    <row r="1156" spans="1:6">
      <c r="A1156" s="42" t="s">
        <v>5102</v>
      </c>
      <c r="B1156" s="41" t="s">
        <v>3951</v>
      </c>
      <c r="C1156" s="42" t="s">
        <v>3952</v>
      </c>
      <c r="D1156" s="42" t="s">
        <v>5103</v>
      </c>
      <c r="E1156" s="42"/>
      <c r="F1156" s="43" t="s">
        <v>5104</v>
      </c>
    </row>
    <row r="1157" spans="1:6">
      <c r="A1157" s="42" t="s">
        <v>5105</v>
      </c>
      <c r="B1157" s="41" t="s">
        <v>3951</v>
      </c>
      <c r="C1157" s="42" t="s">
        <v>3952</v>
      </c>
      <c r="D1157" s="42" t="s">
        <v>5106</v>
      </c>
      <c r="E1157" s="42"/>
      <c r="F1157" s="43" t="s">
        <v>5107</v>
      </c>
    </row>
    <row r="1158" spans="1:6">
      <c r="A1158" s="42" t="s">
        <v>5108</v>
      </c>
      <c r="B1158" s="41" t="s">
        <v>3951</v>
      </c>
      <c r="C1158" s="42" t="s">
        <v>3952</v>
      </c>
      <c r="D1158" s="42" t="s">
        <v>5109</v>
      </c>
      <c r="E1158" s="42"/>
      <c r="F1158" s="43" t="s">
        <v>5110</v>
      </c>
    </row>
    <row r="1159" spans="1:6">
      <c r="A1159" s="42" t="s">
        <v>5111</v>
      </c>
      <c r="B1159" s="41" t="s">
        <v>3951</v>
      </c>
      <c r="C1159" s="42" t="s">
        <v>3952</v>
      </c>
      <c r="D1159" s="42" t="s">
        <v>5112</v>
      </c>
      <c r="E1159" s="42"/>
      <c r="F1159" s="43" t="s">
        <v>5113</v>
      </c>
    </row>
    <row r="1160" spans="1:6">
      <c r="A1160" s="42" t="s">
        <v>5114</v>
      </c>
      <c r="B1160" s="41" t="s">
        <v>3951</v>
      </c>
      <c r="C1160" s="42" t="s">
        <v>3952</v>
      </c>
      <c r="D1160" s="42" t="s">
        <v>5115</v>
      </c>
      <c r="E1160" s="42"/>
      <c r="F1160" s="43" t="s">
        <v>5116</v>
      </c>
    </row>
    <row r="1161" spans="1:6">
      <c r="A1161" s="42" t="s">
        <v>5117</v>
      </c>
      <c r="B1161" s="41" t="s">
        <v>3951</v>
      </c>
      <c r="C1161" s="42" t="s">
        <v>3952</v>
      </c>
      <c r="D1161" s="42" t="s">
        <v>5118</v>
      </c>
      <c r="E1161" s="42"/>
      <c r="F1161" s="43" t="s">
        <v>5119</v>
      </c>
    </row>
    <row r="1162" spans="1:6">
      <c r="A1162" s="42" t="s">
        <v>5120</v>
      </c>
      <c r="B1162" s="41" t="s">
        <v>3951</v>
      </c>
      <c r="C1162" s="42" t="s">
        <v>3952</v>
      </c>
      <c r="D1162" s="42" t="s">
        <v>5121</v>
      </c>
      <c r="E1162" s="42"/>
      <c r="F1162" s="43" t="s">
        <v>5122</v>
      </c>
    </row>
    <row r="1163" spans="1:6">
      <c r="A1163" s="42" t="s">
        <v>5123</v>
      </c>
      <c r="B1163" s="41" t="s">
        <v>3951</v>
      </c>
      <c r="C1163" s="42" t="s">
        <v>3952</v>
      </c>
      <c r="D1163" s="42" t="s">
        <v>5124</v>
      </c>
      <c r="E1163" s="42"/>
      <c r="F1163" s="43" t="s">
        <v>5125</v>
      </c>
    </row>
    <row r="1164" spans="1:6">
      <c r="A1164" s="42" t="s">
        <v>5126</v>
      </c>
      <c r="B1164" s="41" t="s">
        <v>3951</v>
      </c>
      <c r="C1164" s="42" t="s">
        <v>3952</v>
      </c>
      <c r="D1164" s="42" t="s">
        <v>5127</v>
      </c>
      <c r="E1164" s="42"/>
      <c r="F1164" s="43" t="s">
        <v>5128</v>
      </c>
    </row>
    <row r="1165" spans="1:6">
      <c r="A1165" s="42" t="s">
        <v>5129</v>
      </c>
      <c r="B1165" s="41" t="s">
        <v>3951</v>
      </c>
      <c r="C1165" s="42" t="s">
        <v>3952</v>
      </c>
      <c r="D1165" s="42" t="s">
        <v>5130</v>
      </c>
      <c r="E1165" s="42"/>
      <c r="F1165" s="43" t="s">
        <v>5131</v>
      </c>
    </row>
    <row r="1166" spans="1:6">
      <c r="A1166" s="42" t="s">
        <v>5132</v>
      </c>
      <c r="B1166" s="41" t="s">
        <v>3951</v>
      </c>
      <c r="C1166" s="42" t="s">
        <v>3952</v>
      </c>
      <c r="D1166" s="42" t="s">
        <v>5133</v>
      </c>
      <c r="E1166" s="42"/>
      <c r="F1166" s="43" t="s">
        <v>5134</v>
      </c>
    </row>
    <row r="1167" spans="1:6">
      <c r="A1167" s="42" t="s">
        <v>5135</v>
      </c>
      <c r="B1167" s="41" t="s">
        <v>3951</v>
      </c>
      <c r="C1167" s="42" t="s">
        <v>3952</v>
      </c>
      <c r="D1167" s="42" t="s">
        <v>5136</v>
      </c>
      <c r="E1167" s="42"/>
      <c r="F1167" s="43" t="s">
        <v>5137</v>
      </c>
    </row>
    <row r="1168" spans="1:6">
      <c r="A1168" s="42" t="s">
        <v>5138</v>
      </c>
      <c r="B1168" s="41" t="s">
        <v>3951</v>
      </c>
      <c r="C1168" s="42" t="s">
        <v>3952</v>
      </c>
      <c r="D1168" s="42" t="s">
        <v>5139</v>
      </c>
      <c r="E1168" s="42"/>
      <c r="F1168" s="43" t="s">
        <v>5140</v>
      </c>
    </row>
    <row r="1169" spans="1:6">
      <c r="A1169" s="42" t="s">
        <v>5141</v>
      </c>
      <c r="B1169" s="41" t="s">
        <v>3951</v>
      </c>
      <c r="C1169" s="42" t="s">
        <v>3952</v>
      </c>
      <c r="D1169" s="42" t="s">
        <v>5142</v>
      </c>
      <c r="E1169" s="42"/>
      <c r="F1169" s="43" t="s">
        <v>5143</v>
      </c>
    </row>
    <row r="1170" spans="1:6">
      <c r="A1170" s="42" t="s">
        <v>5144</v>
      </c>
      <c r="B1170" s="41" t="s">
        <v>3951</v>
      </c>
      <c r="C1170" s="42" t="s">
        <v>3952</v>
      </c>
      <c r="D1170" s="42" t="s">
        <v>5145</v>
      </c>
      <c r="E1170" s="42"/>
      <c r="F1170" s="43" t="s">
        <v>5146</v>
      </c>
    </row>
    <row r="1171" spans="1:6">
      <c r="A1171" s="42" t="s">
        <v>5147</v>
      </c>
      <c r="B1171" s="41" t="s">
        <v>3951</v>
      </c>
      <c r="C1171" s="42" t="s">
        <v>3952</v>
      </c>
      <c r="D1171" s="42" t="s">
        <v>5148</v>
      </c>
      <c r="E1171" s="42"/>
      <c r="F1171" s="43" t="s">
        <v>5149</v>
      </c>
    </row>
    <row r="1172" spans="1:6">
      <c r="A1172" s="42" t="s">
        <v>5150</v>
      </c>
      <c r="B1172" s="41" t="s">
        <v>3951</v>
      </c>
      <c r="C1172" s="42" t="s">
        <v>3952</v>
      </c>
      <c r="D1172" s="42" t="s">
        <v>5151</v>
      </c>
      <c r="E1172" s="42"/>
      <c r="F1172" s="43" t="s">
        <v>5152</v>
      </c>
    </row>
    <row r="1173" spans="1:6">
      <c r="A1173" s="42" t="s">
        <v>5153</v>
      </c>
      <c r="B1173" s="41" t="s">
        <v>3951</v>
      </c>
      <c r="C1173" s="42" t="s">
        <v>3952</v>
      </c>
      <c r="D1173" s="42" t="s">
        <v>5154</v>
      </c>
      <c r="E1173" s="42"/>
      <c r="F1173" s="43" t="s">
        <v>5155</v>
      </c>
    </row>
    <row r="1174" spans="1:6">
      <c r="A1174" s="42" t="s">
        <v>5156</v>
      </c>
      <c r="B1174" s="41" t="s">
        <v>3951</v>
      </c>
      <c r="C1174" s="42" t="s">
        <v>3952</v>
      </c>
      <c r="D1174" s="42" t="s">
        <v>5157</v>
      </c>
      <c r="E1174" s="42"/>
      <c r="F1174" s="43" t="s">
        <v>5158</v>
      </c>
    </row>
    <row r="1175" spans="1:6">
      <c r="A1175" s="42" t="s">
        <v>5159</v>
      </c>
      <c r="B1175" s="41" t="s">
        <v>3951</v>
      </c>
      <c r="C1175" s="42" t="s">
        <v>3952</v>
      </c>
      <c r="D1175" s="42" t="s">
        <v>5160</v>
      </c>
      <c r="E1175" s="42"/>
      <c r="F1175" s="43" t="s">
        <v>5161</v>
      </c>
    </row>
    <row r="1176" spans="1:6">
      <c r="A1176" s="42" t="s">
        <v>5162</v>
      </c>
      <c r="B1176" s="41" t="s">
        <v>3951</v>
      </c>
      <c r="C1176" s="42" t="s">
        <v>3952</v>
      </c>
      <c r="D1176" s="42" t="s">
        <v>5163</v>
      </c>
      <c r="E1176" s="42"/>
      <c r="F1176" s="43" t="s">
        <v>5164</v>
      </c>
    </row>
    <row r="1177" spans="1:6">
      <c r="A1177" s="42" t="s">
        <v>5165</v>
      </c>
      <c r="B1177" s="41" t="s">
        <v>3951</v>
      </c>
      <c r="C1177" s="42" t="s">
        <v>3952</v>
      </c>
      <c r="D1177" s="42" t="s">
        <v>5166</v>
      </c>
      <c r="E1177" s="42"/>
      <c r="F1177" s="43" t="s">
        <v>5167</v>
      </c>
    </row>
    <row r="1178" spans="1:6">
      <c r="A1178" s="42" t="s">
        <v>5168</v>
      </c>
      <c r="B1178" s="41" t="s">
        <v>3951</v>
      </c>
      <c r="C1178" s="42" t="s">
        <v>3952</v>
      </c>
      <c r="D1178" s="42" t="s">
        <v>5169</v>
      </c>
      <c r="E1178" s="42"/>
      <c r="F1178" s="43" t="s">
        <v>5170</v>
      </c>
    </row>
    <row r="1179" spans="1:6">
      <c r="A1179" s="42" t="s">
        <v>5171</v>
      </c>
      <c r="B1179" s="41" t="s">
        <v>3951</v>
      </c>
      <c r="C1179" s="42" t="s">
        <v>3952</v>
      </c>
      <c r="D1179" s="42" t="s">
        <v>5172</v>
      </c>
      <c r="E1179" s="42"/>
      <c r="F1179" s="43" t="s">
        <v>5173</v>
      </c>
    </row>
    <row r="1180" spans="1:6">
      <c r="A1180" s="42" t="s">
        <v>5174</v>
      </c>
      <c r="B1180" s="41" t="s">
        <v>3951</v>
      </c>
      <c r="C1180" s="42" t="s">
        <v>3952</v>
      </c>
      <c r="D1180" s="42" t="s">
        <v>5175</v>
      </c>
      <c r="E1180" s="42"/>
      <c r="F1180" s="43" t="s">
        <v>5176</v>
      </c>
    </row>
    <row r="1181" spans="1:6">
      <c r="A1181" s="42" t="s">
        <v>5177</v>
      </c>
      <c r="B1181" s="41" t="s">
        <v>3951</v>
      </c>
      <c r="C1181" s="42" t="s">
        <v>3952</v>
      </c>
      <c r="D1181" s="42" t="s">
        <v>5178</v>
      </c>
      <c r="E1181" s="42"/>
      <c r="F1181" s="43" t="s">
        <v>5179</v>
      </c>
    </row>
    <row r="1182" spans="1:6">
      <c r="A1182" s="42" t="s">
        <v>5180</v>
      </c>
      <c r="B1182" s="41" t="s">
        <v>3951</v>
      </c>
      <c r="C1182" s="42" t="s">
        <v>3952</v>
      </c>
      <c r="D1182" s="42" t="s">
        <v>5181</v>
      </c>
      <c r="E1182" s="42"/>
      <c r="F1182" s="43" t="s">
        <v>5182</v>
      </c>
    </row>
    <row r="1183" spans="1:6">
      <c r="A1183" s="42" t="s">
        <v>5183</v>
      </c>
      <c r="B1183" s="41" t="s">
        <v>3951</v>
      </c>
      <c r="C1183" s="42" t="s">
        <v>3952</v>
      </c>
      <c r="D1183" s="42" t="s">
        <v>5184</v>
      </c>
      <c r="E1183" s="42"/>
      <c r="F1183" s="43" t="s">
        <v>5185</v>
      </c>
    </row>
    <row r="1184" spans="1:6">
      <c r="A1184" s="42" t="s">
        <v>5186</v>
      </c>
      <c r="B1184" s="41" t="s">
        <v>3951</v>
      </c>
      <c r="C1184" s="42" t="s">
        <v>3952</v>
      </c>
      <c r="D1184" s="42" t="s">
        <v>5187</v>
      </c>
      <c r="E1184" s="42"/>
      <c r="F1184" s="43" t="s">
        <v>5188</v>
      </c>
    </row>
    <row r="1185" spans="1:7">
      <c r="A1185" s="42" t="s">
        <v>5189</v>
      </c>
      <c r="B1185" s="41" t="s">
        <v>3951</v>
      </c>
      <c r="C1185" s="42" t="s">
        <v>3952</v>
      </c>
      <c r="D1185" s="42" t="s">
        <v>5190</v>
      </c>
      <c r="E1185" s="42"/>
      <c r="F1185" s="43" t="s">
        <v>5191</v>
      </c>
    </row>
    <row r="1186" spans="1:7">
      <c r="A1186" s="42" t="s">
        <v>5192</v>
      </c>
      <c r="B1186" s="41" t="s">
        <v>3951</v>
      </c>
      <c r="C1186" s="42" t="s">
        <v>3952</v>
      </c>
      <c r="D1186" s="42" t="s">
        <v>5193</v>
      </c>
      <c r="E1186" s="42"/>
      <c r="F1186" s="43" t="s">
        <v>5194</v>
      </c>
    </row>
    <row r="1187" spans="1:7">
      <c r="A1187" s="42" t="s">
        <v>5195</v>
      </c>
      <c r="B1187" s="41" t="s">
        <v>3951</v>
      </c>
      <c r="C1187" s="42" t="s">
        <v>3952</v>
      </c>
      <c r="D1187" s="42" t="s">
        <v>5196</v>
      </c>
      <c r="E1187" s="42"/>
      <c r="F1187" s="43" t="s">
        <v>5197</v>
      </c>
    </row>
    <row r="1188" spans="1:7">
      <c r="A1188" s="42" t="s">
        <v>5198</v>
      </c>
      <c r="B1188" s="41" t="s">
        <v>3951</v>
      </c>
      <c r="C1188" s="42" t="s">
        <v>3952</v>
      </c>
      <c r="D1188" s="42" t="s">
        <v>5199</v>
      </c>
      <c r="E1188" s="42"/>
      <c r="F1188" s="43" t="s">
        <v>5200</v>
      </c>
    </row>
    <row r="1189" spans="1:7">
      <c r="A1189" t="s">
        <v>5201</v>
      </c>
      <c r="B1189" t="s">
        <v>5202</v>
      </c>
      <c r="C1189" t="s">
        <v>5203</v>
      </c>
      <c r="D1189" t="s">
        <v>5201</v>
      </c>
      <c r="F1189" t="s">
        <v>5204</v>
      </c>
    </row>
    <row r="1190" spans="1:7">
      <c r="A1190" t="s">
        <v>5205</v>
      </c>
      <c r="B1190" t="s">
        <v>5202</v>
      </c>
      <c r="C1190" t="s">
        <v>5203</v>
      </c>
      <c r="D1190" t="s">
        <v>5205</v>
      </c>
      <c r="F1190" t="s">
        <v>5206</v>
      </c>
    </row>
    <row r="1191" spans="1:7">
      <c r="A1191" t="s">
        <v>5207</v>
      </c>
      <c r="B1191" t="s">
        <v>5202</v>
      </c>
      <c r="C1191" t="s">
        <v>5203</v>
      </c>
      <c r="D1191" t="s">
        <v>5207</v>
      </c>
      <c r="F1191" t="s">
        <v>5208</v>
      </c>
    </row>
    <row r="1192" spans="1:7">
      <c r="A1192" t="s">
        <v>5209</v>
      </c>
      <c r="B1192" t="s">
        <v>5202</v>
      </c>
      <c r="C1192" t="s">
        <v>5203</v>
      </c>
      <c r="D1192" t="s">
        <v>5209</v>
      </c>
      <c r="F1192" t="s">
        <v>5210</v>
      </c>
    </row>
    <row r="1193" spans="1:7">
      <c r="A1193" t="s">
        <v>5211</v>
      </c>
      <c r="B1193" t="s">
        <v>5202</v>
      </c>
      <c r="C1193" t="s">
        <v>5203</v>
      </c>
      <c r="D1193" t="s">
        <v>5211</v>
      </c>
      <c r="F1193" t="s">
        <v>5212</v>
      </c>
    </row>
    <row r="1194" spans="1:7">
      <c r="A1194" t="s">
        <v>5213</v>
      </c>
      <c r="B1194" t="s">
        <v>5202</v>
      </c>
      <c r="C1194" t="s">
        <v>5203</v>
      </c>
      <c r="D1194" t="s">
        <v>5213</v>
      </c>
      <c r="F1194" t="s">
        <v>5214</v>
      </c>
    </row>
    <row r="1195" spans="1:7">
      <c r="A1195" t="s">
        <v>5215</v>
      </c>
      <c r="B1195" t="s">
        <v>5202</v>
      </c>
      <c r="C1195" t="s">
        <v>5203</v>
      </c>
      <c r="D1195" t="s">
        <v>5215</v>
      </c>
      <c r="F1195" t="s">
        <v>5216</v>
      </c>
    </row>
    <row r="1196" spans="1:7">
      <c r="A1196" t="s">
        <v>5217</v>
      </c>
      <c r="B1196" t="s">
        <v>5202</v>
      </c>
      <c r="C1196" t="s">
        <v>5203</v>
      </c>
      <c r="D1196" t="s">
        <v>5217</v>
      </c>
      <c r="F1196" t="s">
        <v>5218</v>
      </c>
    </row>
    <row r="1197" spans="1:7">
      <c r="A1197" t="s">
        <v>5219</v>
      </c>
      <c r="B1197" t="s">
        <v>5202</v>
      </c>
      <c r="C1197" t="s">
        <v>5203</v>
      </c>
      <c r="D1197" t="s">
        <v>5219</v>
      </c>
      <c r="F1197" t="s">
        <v>5220</v>
      </c>
    </row>
    <row r="1198" spans="1:7">
      <c r="A1198" t="s">
        <v>5221</v>
      </c>
      <c r="B1198" t="s">
        <v>5202</v>
      </c>
      <c r="C1198" t="s">
        <v>5203</v>
      </c>
      <c r="D1198" t="s">
        <v>5221</v>
      </c>
      <c r="F1198" t="s">
        <v>5222</v>
      </c>
    </row>
    <row r="1199" spans="1:7">
      <c r="A1199" t="s">
        <v>5223</v>
      </c>
      <c r="B1199" t="s">
        <v>5202</v>
      </c>
      <c r="C1199" t="s">
        <v>5203</v>
      </c>
      <c r="D1199" t="s">
        <v>5223</v>
      </c>
      <c r="F1199" t="s">
        <v>5224</v>
      </c>
    </row>
    <row r="1200" spans="1:7">
      <c r="A1200" s="38" t="s">
        <v>5225</v>
      </c>
      <c r="B1200" s="38" t="s">
        <v>5226</v>
      </c>
      <c r="C1200" s="38" t="s">
        <v>5227</v>
      </c>
      <c r="D1200" s="38" t="s">
        <v>5228</v>
      </c>
      <c r="E1200" s="38"/>
      <c r="F1200" s="38" t="s">
        <v>5229</v>
      </c>
      <c r="G1200" s="38"/>
    </row>
    <row r="1201" spans="1:7">
      <c r="A1201" s="41" t="s">
        <v>5230</v>
      </c>
      <c r="B1201" s="41" t="s">
        <v>5226</v>
      </c>
      <c r="C1201" s="41" t="s">
        <v>5227</v>
      </c>
      <c r="D1201" s="41" t="s">
        <v>5231</v>
      </c>
      <c r="E1201" s="41"/>
      <c r="F1201" s="41" t="s">
        <v>5232</v>
      </c>
      <c r="G1201" s="41"/>
    </row>
    <row r="1202" spans="1:7">
      <c r="A1202" s="38" t="s">
        <v>5233</v>
      </c>
      <c r="B1202" s="38" t="s">
        <v>5226</v>
      </c>
      <c r="C1202" s="38" t="s">
        <v>5227</v>
      </c>
      <c r="D1202" s="38" t="s">
        <v>5233</v>
      </c>
      <c r="E1202" s="38"/>
      <c r="F1202" s="38" t="s">
        <v>5234</v>
      </c>
      <c r="G1202" s="38"/>
    </row>
    <row r="1203" spans="1:7">
      <c r="A1203" s="41" t="s">
        <v>16</v>
      </c>
      <c r="B1203" s="41" t="s">
        <v>5226</v>
      </c>
      <c r="C1203" s="41" t="s">
        <v>5227</v>
      </c>
      <c r="D1203" s="41" t="s">
        <v>16</v>
      </c>
      <c r="E1203" s="41"/>
      <c r="F1203" s="41" t="s">
        <v>5235</v>
      </c>
      <c r="G1203" s="41"/>
    </row>
    <row r="1204" spans="1:7">
      <c r="A1204" s="38" t="s">
        <v>5236</v>
      </c>
      <c r="B1204" s="38" t="s">
        <v>5226</v>
      </c>
      <c r="C1204" s="38" t="s">
        <v>5227</v>
      </c>
      <c r="D1204" s="38" t="s">
        <v>5236</v>
      </c>
      <c r="E1204" s="38"/>
      <c r="F1204" s="38" t="s">
        <v>5237</v>
      </c>
      <c r="G1204" s="38"/>
    </row>
    <row r="1205" spans="1:7">
      <c r="A1205" s="41" t="s">
        <v>5238</v>
      </c>
      <c r="B1205" s="41" t="s">
        <v>5226</v>
      </c>
      <c r="C1205" s="41" t="s">
        <v>5227</v>
      </c>
      <c r="D1205" s="41" t="s">
        <v>5238</v>
      </c>
      <c r="E1205" s="41"/>
      <c r="F1205" s="41" t="s">
        <v>5239</v>
      </c>
      <c r="G1205" s="41"/>
    </row>
    <row r="1206" spans="1:7">
      <c r="A1206" s="38" t="s">
        <v>5240</v>
      </c>
      <c r="B1206" s="38" t="s">
        <v>5226</v>
      </c>
      <c r="C1206" s="38" t="s">
        <v>5227</v>
      </c>
      <c r="D1206" s="38" t="s">
        <v>5240</v>
      </c>
      <c r="E1206" s="38"/>
      <c r="F1206" s="38" t="s">
        <v>5241</v>
      </c>
      <c r="G1206" s="38"/>
    </row>
    <row r="1207" spans="1:7">
      <c r="A1207" s="41" t="s">
        <v>5242</v>
      </c>
      <c r="B1207" s="41" t="s">
        <v>5226</v>
      </c>
      <c r="C1207" s="41" t="s">
        <v>5227</v>
      </c>
      <c r="D1207" s="41" t="s">
        <v>5242</v>
      </c>
      <c r="E1207" s="41"/>
      <c r="F1207" s="41" t="s">
        <v>5243</v>
      </c>
      <c r="G1207" s="41"/>
    </row>
    <row r="1208" spans="1:7">
      <c r="A1208" s="38" t="s">
        <v>5244</v>
      </c>
      <c r="B1208" s="38" t="s">
        <v>5226</v>
      </c>
      <c r="C1208" s="38" t="s">
        <v>5227</v>
      </c>
      <c r="D1208" s="38" t="s">
        <v>5244</v>
      </c>
      <c r="E1208" s="38"/>
      <c r="F1208" s="38" t="s">
        <v>5245</v>
      </c>
      <c r="G1208" s="38"/>
    </row>
    <row r="1209" spans="1:7">
      <c r="A1209" s="41" t="s">
        <v>5246</v>
      </c>
      <c r="B1209" s="41" t="s">
        <v>5226</v>
      </c>
      <c r="C1209" s="41" t="s">
        <v>5227</v>
      </c>
      <c r="D1209" s="41" t="s">
        <v>5246</v>
      </c>
      <c r="E1209" s="41"/>
      <c r="F1209" s="41" t="s">
        <v>5247</v>
      </c>
      <c r="G1209" s="41"/>
    </row>
    <row r="1210" spans="1:7">
      <c r="A1210" s="38" t="s">
        <v>5248</v>
      </c>
      <c r="B1210" s="38" t="s">
        <v>5226</v>
      </c>
      <c r="C1210" s="38" t="s">
        <v>5227</v>
      </c>
      <c r="D1210" s="38" t="s">
        <v>5248</v>
      </c>
      <c r="E1210" s="38"/>
      <c r="F1210" s="38" t="s">
        <v>5249</v>
      </c>
      <c r="G1210" s="38"/>
    </row>
    <row r="1211" spans="1:7">
      <c r="A1211" s="41" t="s">
        <v>5250</v>
      </c>
      <c r="B1211" s="41" t="s">
        <v>5226</v>
      </c>
      <c r="C1211" s="41" t="s">
        <v>5227</v>
      </c>
      <c r="D1211" s="41" t="s">
        <v>5250</v>
      </c>
      <c r="E1211" s="41"/>
      <c r="F1211" s="41" t="s">
        <v>5251</v>
      </c>
      <c r="G1211" s="41"/>
    </row>
    <row r="1212" spans="1:7">
      <c r="A1212" t="s">
        <v>5252</v>
      </c>
      <c r="B1212" t="s">
        <v>5253</v>
      </c>
      <c r="C1212" t="s">
        <v>5254</v>
      </c>
      <c r="D1212" t="s">
        <v>5255</v>
      </c>
      <c r="F1212" t="s">
        <v>5256</v>
      </c>
    </row>
    <row r="1213" spans="1:7">
      <c r="A1213" t="s">
        <v>5257</v>
      </c>
      <c r="B1213" t="s">
        <v>5253</v>
      </c>
      <c r="C1213" t="s">
        <v>5254</v>
      </c>
      <c r="D1213" t="s">
        <v>5258</v>
      </c>
      <c r="F1213" t="s">
        <v>5259</v>
      </c>
    </row>
    <row r="1214" spans="1:7">
      <c r="A1214" t="s">
        <v>5260</v>
      </c>
      <c r="B1214" t="s">
        <v>5253</v>
      </c>
      <c r="C1214" t="s">
        <v>5254</v>
      </c>
      <c r="D1214" t="s">
        <v>5261</v>
      </c>
      <c r="F1214" t="s">
        <v>5262</v>
      </c>
    </row>
    <row r="1215" spans="1:7">
      <c r="A1215" t="s">
        <v>5263</v>
      </c>
      <c r="B1215" t="s">
        <v>5253</v>
      </c>
      <c r="C1215" t="s">
        <v>5254</v>
      </c>
      <c r="D1215" t="s">
        <v>5264</v>
      </c>
      <c r="F1215" t="s">
        <v>5265</v>
      </c>
    </row>
    <row r="1216" spans="1:7">
      <c r="A1216" s="41" t="s">
        <v>5266</v>
      </c>
      <c r="B1216" s="41" t="s">
        <v>5267</v>
      </c>
      <c r="C1216" s="41" t="s">
        <v>5268</v>
      </c>
      <c r="D1216" s="41" t="s">
        <v>5269</v>
      </c>
      <c r="E1216" s="41"/>
      <c r="F1216" s="41" t="s">
        <v>5270</v>
      </c>
      <c r="G1216" s="41"/>
    </row>
    <row r="1217" spans="1:7">
      <c r="A1217" s="41" t="s">
        <v>5271</v>
      </c>
      <c r="B1217" s="41" t="s">
        <v>5267</v>
      </c>
      <c r="C1217" s="41" t="s">
        <v>5268</v>
      </c>
      <c r="D1217" s="41" t="s">
        <v>5272</v>
      </c>
      <c r="E1217" s="41"/>
      <c r="F1217" s="41" t="s">
        <v>5273</v>
      </c>
      <c r="G1217" s="41"/>
    </row>
    <row r="1218" spans="1:7">
      <c r="A1218" s="40" t="s">
        <v>5274</v>
      </c>
      <c r="B1218" s="38" t="s">
        <v>5275</v>
      </c>
      <c r="C1218" s="38" t="s">
        <v>5276</v>
      </c>
      <c r="D1218" s="40" t="s">
        <v>5274</v>
      </c>
      <c r="E1218" s="40" t="s">
        <v>5277</v>
      </c>
      <c r="F1218" s="40" t="s">
        <v>5278</v>
      </c>
    </row>
    <row r="1219" spans="1:7">
      <c r="A1219" s="42" t="s">
        <v>5279</v>
      </c>
      <c r="B1219" s="41" t="s">
        <v>5275</v>
      </c>
      <c r="C1219" s="41" t="s">
        <v>5276</v>
      </c>
      <c r="D1219" s="42" t="s">
        <v>5280</v>
      </c>
      <c r="E1219" s="42" t="s">
        <v>5281</v>
      </c>
      <c r="F1219" s="42" t="s">
        <v>5282</v>
      </c>
    </row>
    <row r="1220" spans="1:7">
      <c r="A1220" s="40" t="s">
        <v>5283</v>
      </c>
      <c r="B1220" s="38" t="s">
        <v>5275</v>
      </c>
      <c r="C1220" s="38" t="s">
        <v>5276</v>
      </c>
      <c r="D1220" s="40" t="s">
        <v>5283</v>
      </c>
      <c r="E1220" s="40" t="s">
        <v>5284</v>
      </c>
      <c r="F1220" s="40" t="s">
        <v>5285</v>
      </c>
    </row>
    <row r="1221" spans="1:7">
      <c r="A1221" s="42" t="s">
        <v>5286</v>
      </c>
      <c r="B1221" s="41" t="s">
        <v>5275</v>
      </c>
      <c r="C1221" s="41" t="s">
        <v>5276</v>
      </c>
      <c r="D1221" s="42" t="s">
        <v>5287</v>
      </c>
      <c r="E1221" s="42" t="s">
        <v>5288</v>
      </c>
      <c r="F1221" s="42" t="s">
        <v>5289</v>
      </c>
    </row>
    <row r="1222" spans="1:7">
      <c r="A1222" t="s">
        <v>5290</v>
      </c>
      <c r="B1222" t="s">
        <v>5291</v>
      </c>
      <c r="C1222" t="s">
        <v>5292</v>
      </c>
      <c r="D1222" t="s">
        <v>5290</v>
      </c>
      <c r="E1222" t="s">
        <v>5290</v>
      </c>
      <c r="F1222" t="s">
        <v>5293</v>
      </c>
    </row>
    <row r="1223" spans="1:7">
      <c r="A1223" t="s">
        <v>5294</v>
      </c>
      <c r="B1223" t="s">
        <v>5291</v>
      </c>
      <c r="C1223" t="s">
        <v>5292</v>
      </c>
      <c r="D1223" t="s">
        <v>5294</v>
      </c>
      <c r="E1223" t="s">
        <v>5294</v>
      </c>
      <c r="F1223" t="s">
        <v>5295</v>
      </c>
    </row>
    <row r="1224" spans="1:7">
      <c r="A1224" t="s">
        <v>5296</v>
      </c>
      <c r="B1224" t="s">
        <v>5291</v>
      </c>
      <c r="C1224" t="s">
        <v>5292</v>
      </c>
      <c r="D1224" t="s">
        <v>5297</v>
      </c>
      <c r="E1224" t="s">
        <v>5298</v>
      </c>
      <c r="F1224" t="s">
        <v>5299</v>
      </c>
    </row>
    <row r="1225" spans="1:7">
      <c r="A1225" s="42" t="s">
        <v>5300</v>
      </c>
      <c r="B1225" s="41" t="s">
        <v>5301</v>
      </c>
      <c r="C1225" s="42" t="s">
        <v>5302</v>
      </c>
      <c r="D1225" s="42" t="s">
        <v>5300</v>
      </c>
      <c r="E1225" s="42" t="s">
        <v>5300</v>
      </c>
      <c r="F1225" s="43" t="s">
        <v>5303</v>
      </c>
      <c r="G1225" t="s">
        <v>5304</v>
      </c>
    </row>
    <row r="1226" spans="1:7">
      <c r="A1226" s="29" t="s">
        <v>5305</v>
      </c>
      <c r="B1226" s="33" t="s">
        <v>5301</v>
      </c>
      <c r="C1226" s="29" t="s">
        <v>5302</v>
      </c>
      <c r="D1226" s="29" t="s">
        <v>5305</v>
      </c>
      <c r="E1226" s="29" t="s">
        <v>5305</v>
      </c>
      <c r="F1226" s="34" t="s">
        <v>5306</v>
      </c>
      <c r="G1226" t="s">
        <v>5307</v>
      </c>
    </row>
    <row r="1227" spans="1:7">
      <c r="B1227" t="s">
        <v>5308</v>
      </c>
      <c r="C1227" s="3" t="s">
        <v>5309</v>
      </c>
      <c r="D1227" t="s">
        <v>5310</v>
      </c>
      <c r="E1227" t="s">
        <v>5310</v>
      </c>
      <c r="F1227" s="3" t="s">
        <v>5311</v>
      </c>
    </row>
    <row r="1228" spans="1:7">
      <c r="B1228" t="s">
        <v>5308</v>
      </c>
      <c r="C1228" t="s">
        <v>5309</v>
      </c>
      <c r="D1228" t="s">
        <v>5312</v>
      </c>
      <c r="E1228" t="s">
        <v>5312</v>
      </c>
      <c r="F1228" s="3" t="s">
        <v>5313</v>
      </c>
    </row>
    <row r="1229" spans="1:7">
      <c r="B1229" t="s">
        <v>5308</v>
      </c>
      <c r="C1229" t="s">
        <v>5309</v>
      </c>
      <c r="D1229" t="s">
        <v>5314</v>
      </c>
      <c r="E1229" t="s">
        <v>5315</v>
      </c>
      <c r="F1229" s="3" t="s">
        <v>5316</v>
      </c>
    </row>
    <row r="1230" spans="1:7">
      <c r="B1230" t="s">
        <v>5308</v>
      </c>
      <c r="C1230" t="s">
        <v>5309</v>
      </c>
      <c r="D1230" t="s">
        <v>5317</v>
      </c>
      <c r="E1230" t="s">
        <v>5318</v>
      </c>
      <c r="F1230" s="3" t="s">
        <v>5319</v>
      </c>
    </row>
    <row r="1231" spans="1:7">
      <c r="A1231" s="180" t="s">
        <v>5320</v>
      </c>
      <c r="B1231" t="s">
        <v>5321</v>
      </c>
      <c r="C1231" s="180" t="s">
        <v>5322</v>
      </c>
      <c r="D1231" s="180" t="s">
        <v>5320</v>
      </c>
      <c r="F1231" s="180" t="s">
        <v>5323</v>
      </c>
    </row>
    <row r="1232" spans="1:7">
      <c r="A1232" s="180" t="s">
        <v>5324</v>
      </c>
      <c r="B1232" t="s">
        <v>5321</v>
      </c>
      <c r="C1232" s="180" t="s">
        <v>5322</v>
      </c>
      <c r="D1232" s="180" t="s">
        <v>5324</v>
      </c>
      <c r="F1232" s="180" t="s">
        <v>5325</v>
      </c>
    </row>
    <row r="1233" spans="1:6">
      <c r="A1233" s="180" t="s">
        <v>5326</v>
      </c>
      <c r="B1233" t="s">
        <v>5321</v>
      </c>
      <c r="C1233" s="180" t="s">
        <v>5322</v>
      </c>
      <c r="D1233" s="180" t="s">
        <v>5326</v>
      </c>
      <c r="F1233" s="180" t="s">
        <v>5327</v>
      </c>
    </row>
    <row r="1234" spans="1:6">
      <c r="A1234" s="180" t="s">
        <v>5328</v>
      </c>
      <c r="B1234" t="s">
        <v>5321</v>
      </c>
      <c r="C1234" s="180" t="s">
        <v>5322</v>
      </c>
      <c r="D1234" s="180" t="s">
        <v>5328</v>
      </c>
      <c r="F1234" s="180" t="s">
        <v>5329</v>
      </c>
    </row>
    <row r="1235" spans="1:6">
      <c r="A1235" s="180" t="s">
        <v>5330</v>
      </c>
      <c r="B1235" t="s">
        <v>5321</v>
      </c>
      <c r="C1235" s="180" t="s">
        <v>5322</v>
      </c>
      <c r="D1235" s="180" t="s">
        <v>5330</v>
      </c>
      <c r="F1235" s="180" t="s">
        <v>5331</v>
      </c>
    </row>
    <row r="1236" spans="1:6">
      <c r="A1236" s="180" t="s">
        <v>5332</v>
      </c>
      <c r="B1236" t="s">
        <v>5321</v>
      </c>
      <c r="C1236" s="180" t="s">
        <v>5322</v>
      </c>
      <c r="D1236" s="180" t="s">
        <v>5332</v>
      </c>
      <c r="F1236" s="180" t="s">
        <v>5333</v>
      </c>
    </row>
    <row r="1237" spans="1:6">
      <c r="A1237" s="180" t="s">
        <v>5334</v>
      </c>
      <c r="B1237" t="s">
        <v>5321</v>
      </c>
      <c r="C1237" s="180" t="s">
        <v>5322</v>
      </c>
      <c r="D1237" s="180" t="s">
        <v>5334</v>
      </c>
      <c r="F1237" s="180" t="s">
        <v>5335</v>
      </c>
    </row>
    <row r="1238" spans="1:6">
      <c r="A1238" s="180" t="s">
        <v>5336</v>
      </c>
      <c r="B1238" t="s">
        <v>5321</v>
      </c>
      <c r="C1238" s="180" t="s">
        <v>5322</v>
      </c>
      <c r="D1238" s="180" t="s">
        <v>5336</v>
      </c>
      <c r="F1238" s="180" t="s">
        <v>5337</v>
      </c>
    </row>
    <row r="1239" spans="1:6">
      <c r="A1239" s="180" t="s">
        <v>5338</v>
      </c>
      <c r="B1239" t="s">
        <v>5321</v>
      </c>
      <c r="C1239" s="180" t="s">
        <v>5322</v>
      </c>
      <c r="D1239" s="180" t="s">
        <v>5338</v>
      </c>
      <c r="F1239" s="180" t="s">
        <v>5339</v>
      </c>
    </row>
    <row r="1240" spans="1:6">
      <c r="A1240" s="180" t="s">
        <v>5340</v>
      </c>
      <c r="B1240" t="s">
        <v>5321</v>
      </c>
      <c r="C1240" s="180" t="s">
        <v>5322</v>
      </c>
      <c r="D1240" s="180" t="s">
        <v>5340</v>
      </c>
      <c r="F1240" s="180" t="s">
        <v>5341</v>
      </c>
    </row>
    <row r="1241" spans="1:6">
      <c r="A1241" s="180" t="s">
        <v>5342</v>
      </c>
      <c r="B1241" t="s">
        <v>5321</v>
      </c>
      <c r="C1241" s="180" t="s">
        <v>5322</v>
      </c>
      <c r="D1241" s="180" t="s">
        <v>5342</v>
      </c>
      <c r="F1241" s="180" t="s">
        <v>5343</v>
      </c>
    </row>
    <row r="1242" spans="1:6">
      <c r="A1242" s="180" t="s">
        <v>5344</v>
      </c>
      <c r="B1242" t="s">
        <v>5321</v>
      </c>
      <c r="C1242" s="180" t="s">
        <v>5322</v>
      </c>
      <c r="D1242" s="180" t="s">
        <v>5344</v>
      </c>
      <c r="F1242" s="181" t="s">
        <v>5345</v>
      </c>
    </row>
    <row r="1243" spans="1:6">
      <c r="A1243" s="180" t="s">
        <v>5346</v>
      </c>
      <c r="B1243" t="s">
        <v>5321</v>
      </c>
      <c r="C1243" s="180" t="s">
        <v>5322</v>
      </c>
      <c r="D1243" s="180" t="s">
        <v>5346</v>
      </c>
      <c r="F1243" s="181" t="s">
        <v>5347</v>
      </c>
    </row>
    <row r="1244" spans="1:6">
      <c r="A1244" s="180" t="s">
        <v>5348</v>
      </c>
      <c r="B1244" t="s">
        <v>5321</v>
      </c>
      <c r="C1244" s="180" t="s">
        <v>5322</v>
      </c>
      <c r="D1244" s="180" t="s">
        <v>5348</v>
      </c>
      <c r="F1244" s="181" t="s">
        <v>5349</v>
      </c>
    </row>
  </sheetData>
  <sheetProtection formatColumns="0"/>
  <phoneticPr fontId="12" type="noConversion"/>
  <hyperlinks>
    <hyperlink ref="F14" r:id="rId1"/>
    <hyperlink ref="F30" r:id="rId2"/>
    <hyperlink ref="F35" r:id="rId3"/>
    <hyperlink ref="F31" r:id="rId4"/>
    <hyperlink ref="F32" r:id="rId5"/>
    <hyperlink ref="F18" r:id="rId6"/>
    <hyperlink ref="F19" r:id="rId7"/>
    <hyperlink ref="F13" r:id="rId8"/>
    <hyperlink ref="F739" r:id="rId9"/>
    <hyperlink ref="F740" r:id="rId10"/>
    <hyperlink ref="F741" r:id="rId11"/>
    <hyperlink ref="F742" r:id="rId12"/>
    <hyperlink ref="F743" r:id="rId13"/>
    <hyperlink ref="F744" r:id="rId14"/>
    <hyperlink ref="F745" r:id="rId15"/>
    <hyperlink ref="F746" r:id="rId16"/>
    <hyperlink ref="F747" r:id="rId17"/>
    <hyperlink ref="F748" r:id="rId18"/>
    <hyperlink ref="F749" r:id="rId19"/>
    <hyperlink ref="F750" r:id="rId20"/>
    <hyperlink ref="F751:F756" r:id="rId21" display="http://data.europa.eu/europass/targetGroup/requireretraining"/>
    <hyperlink ref="F751" r:id="rId22"/>
    <hyperlink ref="F752" r:id="rId23"/>
    <hyperlink ref="F753" r:id="rId24"/>
    <hyperlink ref="F754" r:id="rId25"/>
    <hyperlink ref="F755" r:id="rId26"/>
    <hyperlink ref="F756" r:id="rId27"/>
    <hyperlink ref="F326" r:id="rId28" display="http://data.europa.eu/esco/isced-f/00"/>
    <hyperlink ref="F44" r:id="rId29"/>
    <hyperlink ref="F545" r:id="rId30"/>
    <hyperlink ref="F765" r:id="rId31" display="http://data.europa.eu/esco/qdr/QF/AT"/>
    <hyperlink ref="C1201:C1211" r:id="rId32" display="http://data.europa.eu/europass/learningOpportunityTypes"/>
    <hyperlink ref="C1219" r:id="rId33" display="http://data.europa.eu/europass/methodOfSupervisionAndVerification"/>
    <hyperlink ref="C1220" r:id="rId34" display="http://data.europa.eu/europass/methodOfSupervisionAndVerification"/>
    <hyperlink ref="C1221" r:id="rId35" display="http://data.europa.eu/europass/methodOfSupervisionAndVerification"/>
    <hyperlink ref="C1225:C1226" r:id="rId36" display="http://data.europa.eu/europass/codeList/entitlementStatuses"/>
    <hyperlink ref="C1227" r:id="rId37"/>
    <hyperlink ref="C1230" r:id="rId38"/>
    <hyperlink ref="F1227" r:id="rId39"/>
    <hyperlink ref="F1230" r:id="rId40"/>
    <hyperlink ref="F1233" r:id="rId41" display="http://data.europa.eu/europass/assessmentType/markedAssignment"/>
    <hyperlink ref="F1242" r:id="rId42" display="http://data.europa.eu/europass/assessmentType/quiz"/>
    <hyperlink ref="F1243" r:id="rId43" display="http://data.europa.eu/europass/assessmentType/peerReview"/>
    <hyperlink ref="F1244" r:id="rId44" display="http://data.europa.eu/europass/assessmentType/problemBased"/>
    <hyperlink ref="F1228" r:id="rId45"/>
    <hyperlink ref="F1229" r:id="rId46"/>
    <hyperlink ref="F729" r:id="rId47" display="http://data.europa.eu/europass/modeOfLearningAndAssessment/online"/>
    <hyperlink ref="F732" r:id="rId48" display="http://data.europa.eu/europass/modeOfLearningAndAssessment/workbased"/>
    <hyperlink ref="F734" r:id="rId49" display="http://data.europa.eu/europass/modeOfLearningAndAssessment/workbased"/>
    <hyperlink ref="C739" r:id="rId50"/>
    <hyperlink ref="F737" r:id="rId51"/>
    <hyperlink ref="F738" r:id="rId52"/>
    <hyperlink ref="F757" r:id="rId53"/>
    <hyperlink ref="F758" r:id="rId54"/>
    <hyperlink ref="F759" r:id="rId55"/>
    <hyperlink ref="F760" r:id="rId56"/>
    <hyperlink ref="F761" r:id="rId57"/>
    <hyperlink ref="F762" r:id="rId58"/>
    <hyperlink ref="F763" r:id="rId59"/>
    <hyperlink ref="F764" r:id="rId60"/>
    <hyperlink ref="F1189" r:id="rId61" display="http://data.europa.eu/europass/learningActivityType/educationalProgramme"/>
    <hyperlink ref="F1194" r:id="rId62" display="http://data.europa.eu/europass/learningActivityType/volunteering"/>
    <hyperlink ref="F1195" r:id="rId63" display="http://data.europa.eu/europass/learningActivityType/jobexperience"/>
    <hyperlink ref="F1196" r:id="rId64" display="http://data.europa.eu/europass/learningActivityType/classroom"/>
    <hyperlink ref="F1197" r:id="rId65" display="http://data.europa.eu/europass/learningActivityType/lab"/>
    <hyperlink ref="F1198" r:id="rId66" display="http://data.europa.eu/europass/learningActivityType/elearning"/>
    <hyperlink ref="F1199" r:id="rId67" display="http://data.europa.eu/europass/learningActivityType/research"/>
    <hyperlink ref="C1210:C1211" r:id="rId68" display="http://data.europa.eu/europass/learningOpportunityTypes"/>
    <hyperlink ref="C1217" r:id="rId69" display="http://data.europa.eu/esco/skill-type/"/>
    <hyperlink ref="F1216" r:id="rId70" display="http://data.europa.eu/esco/skill-type/knowledge"/>
    <hyperlink ref="F1217" r:id="rId71" display="http://data.europa.eu/esco/skill-type/skill"/>
    <hyperlink ref="F1212" r:id="rId72" display="http://data.europa.eu/esco/skill-reuse-level/occupation-specific"/>
    <hyperlink ref="F1213" r:id="rId73" display="http://data.europa.eu/esco/skill-reuse-level/sector-specific"/>
    <hyperlink ref="F1215" r:id="rId74" display="http://data.europa.eu/esco/skill-reuse-level/transversal"/>
    <hyperlink ref="F1218" r:id="rId75" display="http://data.europa.eu/europass/methodOfSupervisionAndVerification/nosupid"/>
    <hyperlink ref="F1219" r:id="rId76" display="http://data.europa.eu/europass/methodOfSupervisionAndVerification/nosupnoid"/>
    <hyperlink ref="F1220" r:id="rId77" display="http://data.europa.eu/europass/methodOfSupervisionAndVerification/supid"/>
    <hyperlink ref="F1221" r:id="rId78" display="http://data.europa.eu/europass/methodOfSupervisionAndVerification/nosupid"/>
    <hyperlink ref="F766" r:id="rId79"/>
    <hyperlink ref="C1216" r:id="rId80" display="http://data.europa.eu/esco/skill-type/"/>
    <hyperlink ref="C1200" r:id="rId81" display="http://data.europa.eu/europass/learningOpportunityTypes"/>
    <hyperlink ref="C1218" r:id="rId82" display="http://data.europa.eu/europass/methodOfSupervisionAndVerification"/>
    <hyperlink ref="F39" r:id="rId83"/>
    <hyperlink ref="F40" r:id="rId84"/>
    <hyperlink ref="F42" r:id="rId85"/>
    <hyperlink ref="F43" r:id="rId86"/>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16"/>
  <sheetViews>
    <sheetView workbookViewId="0">
      <selection activeCell="A2" sqref="A2:Y2"/>
    </sheetView>
  </sheetViews>
  <sheetFormatPr baseColWidth="10" defaultColWidth="9.140625" defaultRowHeight="15"/>
  <sheetData>
    <row r="1" spans="1:25">
      <c r="A1" s="1" t="s">
        <v>43</v>
      </c>
      <c r="B1" s="1" t="s">
        <v>44</v>
      </c>
      <c r="C1" s="1" t="s">
        <v>45</v>
      </c>
      <c r="D1" s="1" t="s">
        <v>46</v>
      </c>
      <c r="E1" s="1" t="s">
        <v>47</v>
      </c>
      <c r="F1" s="1" t="s">
        <v>48</v>
      </c>
      <c r="G1" s="1" t="s">
        <v>49</v>
      </c>
      <c r="H1" s="1" t="s">
        <v>50</v>
      </c>
      <c r="I1" s="1" t="s">
        <v>51</v>
      </c>
      <c r="J1" s="1" t="s">
        <v>52</v>
      </c>
      <c r="K1" s="1" t="s">
        <v>53</v>
      </c>
      <c r="L1" s="1" t="s">
        <v>54</v>
      </c>
      <c r="M1" s="1" t="s">
        <v>55</v>
      </c>
      <c r="N1" s="1" t="s">
        <v>56</v>
      </c>
      <c r="O1" s="1" t="s">
        <v>57</v>
      </c>
      <c r="P1" s="1" t="s">
        <v>58</v>
      </c>
      <c r="Q1" s="1" t="s">
        <v>59</v>
      </c>
      <c r="R1" s="1" t="s">
        <v>60</v>
      </c>
      <c r="S1" s="1" t="s">
        <v>61</v>
      </c>
      <c r="T1" s="1" t="s">
        <v>62</v>
      </c>
      <c r="U1" s="1" t="s">
        <v>63</v>
      </c>
      <c r="V1" s="1" t="s">
        <v>64</v>
      </c>
      <c r="W1" s="1" t="s">
        <v>65</v>
      </c>
      <c r="X1" s="1" t="s">
        <v>66</v>
      </c>
      <c r="Y1" s="1" t="s">
        <v>67</v>
      </c>
    </row>
    <row r="2" spans="1:25" ht="23.25" thickBot="1">
      <c r="A2" s="9" t="s">
        <v>84</v>
      </c>
      <c r="B2" s="9" t="s">
        <v>85</v>
      </c>
      <c r="C2" s="9" t="s">
        <v>86</v>
      </c>
      <c r="D2" s="9" t="s">
        <v>87</v>
      </c>
      <c r="E2" s="9" t="s">
        <v>88</v>
      </c>
      <c r="F2" s="9" t="s">
        <v>89</v>
      </c>
      <c r="G2" s="9" t="s">
        <v>90</v>
      </c>
      <c r="H2" s="9" t="s">
        <v>91</v>
      </c>
      <c r="I2" s="9" t="s">
        <v>92</v>
      </c>
      <c r="J2" s="9" t="s">
        <v>93</v>
      </c>
      <c r="K2" s="9" t="s">
        <v>94</v>
      </c>
      <c r="L2" s="9" t="s">
        <v>95</v>
      </c>
      <c r="M2" s="9" t="s">
        <v>96</v>
      </c>
      <c r="N2" s="9" t="s">
        <v>97</v>
      </c>
      <c r="O2" s="9" t="s">
        <v>98</v>
      </c>
      <c r="P2" s="9" t="s">
        <v>99</v>
      </c>
      <c r="Q2" s="9" t="s">
        <v>100</v>
      </c>
      <c r="R2" s="9" t="s">
        <v>14</v>
      </c>
      <c r="S2" s="9" t="s">
        <v>101</v>
      </c>
      <c r="T2" s="9" t="s">
        <v>102</v>
      </c>
      <c r="U2" s="9" t="s">
        <v>103</v>
      </c>
      <c r="V2" s="9" t="s">
        <v>104</v>
      </c>
      <c r="W2" s="9" t="s">
        <v>105</v>
      </c>
      <c r="X2" s="9" t="s">
        <v>106</v>
      </c>
      <c r="Y2" s="9" t="s">
        <v>107</v>
      </c>
    </row>
    <row r="16" spans="1:25">
      <c r="A16" t="s">
        <v>5350</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6"/>
  <sheetViews>
    <sheetView workbookViewId="0">
      <selection activeCell="A7" sqref="A7"/>
    </sheetView>
  </sheetViews>
  <sheetFormatPr baseColWidth="10" defaultColWidth="9.140625" defaultRowHeight="15"/>
  <cols>
    <col min="2" max="2" width="54.5703125" customWidth="1"/>
  </cols>
  <sheetData>
    <row r="1" spans="1:2">
      <c r="A1" t="s">
        <v>5351</v>
      </c>
      <c r="B1" t="s">
        <v>5352</v>
      </c>
    </row>
    <row r="2" spans="1:2">
      <c r="A2" t="s">
        <v>5353</v>
      </c>
      <c r="B2" t="s">
        <v>5354</v>
      </c>
    </row>
    <row r="3" spans="1:2">
      <c r="A3" t="s">
        <v>5355</v>
      </c>
      <c r="B3" t="s">
        <v>5356</v>
      </c>
    </row>
    <row r="4" spans="1:2">
      <c r="A4" t="s">
        <v>5357</v>
      </c>
      <c r="B4" t="s">
        <v>5358</v>
      </c>
    </row>
    <row r="5" spans="1:2">
      <c r="A5" t="s">
        <v>5359</v>
      </c>
      <c r="B5" t="s">
        <v>5360</v>
      </c>
    </row>
    <row r="6" spans="1:2">
      <c r="A6" t="s">
        <v>5361</v>
      </c>
      <c r="B6" t="s">
        <v>5362</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E2E7721-84D0-4894-9BDB-C79EFB98AC96}">
  <ds:schemaRefs>
    <ds:schemaRef ds:uri="http://schemas.microsoft.com/office/2006/documentManagement/types"/>
    <ds:schemaRef ds:uri="http://www.w3.org/XML/1998/namespace"/>
    <ds:schemaRef ds:uri="http://schemas.microsoft.com/office/infopath/2007/PartnerControls"/>
    <ds:schemaRef ds:uri="http://purl.org/dc/elements/1.1/"/>
    <ds:schemaRef ds:uri="0c869d80-d99c-4dac-b26b-cbbc56b0e91c"/>
    <ds:schemaRef ds:uri="http://schemas.microsoft.com/office/2006/metadata/properties"/>
    <ds:schemaRef ds:uri="http://purl.org/dc/terms/"/>
    <ds:schemaRef ds:uri="http://schemas.openxmlformats.org/package/2006/metadata/core-properties"/>
    <ds:schemaRef ds:uri="4a230dd3-5426-44e9-972e-c86e457e3d31"/>
    <ds:schemaRef ds:uri="http://purl.org/dc/dcmitype/"/>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28C3DF5D-BB06-4B09-9F83-8F43B895FF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dcterms:created xsi:type="dcterms:W3CDTF">2020-03-07T20:03:46Z</dcterms:created>
  <dcterms:modified xsi:type="dcterms:W3CDTF">2020-07-16T12:53:24Z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