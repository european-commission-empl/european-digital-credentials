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esayosll\everis\Europass2 - 1 - Tasks\03 - Europass data model\v0.5.0-1.0.0\mini-sprints\EDCI-383 Credentials Metadata (testing)\"/>
    </mc:Choice>
  </mc:AlternateContent>
  <bookViews>
    <workbookView xWindow="-105" yWindow="-105" windowWidth="19425" windowHeight="10425" tabRatio="723" activeTab="3"/>
  </bookViews>
  <sheets>
    <sheet name="Instructions" sheetId="12" r:id="rId1"/>
    <sheet name="Language Choice" sheetId="9" r:id="rId2"/>
    <sheet name="Person" sheetId="5" r:id="rId3"/>
    <sheet name="Europass Credentials" sheetId="1" r:id="rId4"/>
    <sheet name="Organisation" sheetId="11" r:id="rId5"/>
    <sheet name="Achievements" sheetId="3" r:id="rId6"/>
    <sheet name="Credential Designer" sheetId="10" r:id="rId7"/>
    <sheet name="References" sheetId="8" r:id="rId8"/>
    <sheet name="MultiAssociation Sheet" sheetId="15" r:id="rId9"/>
    <sheet name="ToDo" sheetId="16" r:id="rId10"/>
  </sheets>
  <definedNames>
    <definedName name="AchievementNames">Achievements[Column1]</definedName>
    <definedName name="EQF_Levels">EQF[Column1]</definedName>
    <definedName name="LanguageNamesFull">MDR_Languages_Full[Column1]</definedName>
    <definedName name="LearningSettingNames">LearningSettings[Column1]</definedName>
    <definedName name="ModeOfLearningNames">ModesOfLearning[Column1]</definedName>
    <definedName name="OrganizationNames">Organisations[EuropassCredential.title.Property.Text.content.1.en]</definedName>
    <definedName name="QFNames">QualificationFrameworks[Column1]</definedName>
    <definedName name="TargetGroupNames">TargetGroups[Column1]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F13" i="1" l="1"/>
  <c r="BG13" i="1" s="1"/>
  <c r="BE11" i="1"/>
  <c r="BD13" i="1"/>
  <c r="CB15" i="15" l="1"/>
  <c r="CC15" i="15"/>
  <c r="CD15" i="15"/>
  <c r="CE15" i="15"/>
  <c r="CF15" i="15"/>
  <c r="CG15" i="15"/>
  <c r="CH15" i="15"/>
  <c r="CI15" i="15"/>
  <c r="CJ15" i="15"/>
  <c r="CK15" i="15"/>
  <c r="CL15" i="15"/>
  <c r="CM15" i="15"/>
  <c r="CN15" i="15"/>
  <c r="CO15" i="15"/>
  <c r="CP15" i="15"/>
  <c r="CQ15" i="15"/>
  <c r="CR15" i="15"/>
  <c r="CS15" i="15"/>
  <c r="CT15" i="15"/>
  <c r="CU15" i="15"/>
  <c r="CV15" i="15"/>
  <c r="CW15" i="15"/>
  <c r="CX15" i="15"/>
  <c r="CY15" i="15"/>
  <c r="CB16" i="15"/>
  <c r="CC16" i="15"/>
  <c r="CD16" i="15"/>
  <c r="CE16" i="15"/>
  <c r="CF16" i="15"/>
  <c r="CG16" i="15"/>
  <c r="CH16" i="15"/>
  <c r="CI16" i="15"/>
  <c r="CJ16" i="15"/>
  <c r="CK16" i="15"/>
  <c r="CL16" i="15"/>
  <c r="CM16" i="15"/>
  <c r="CN16" i="15"/>
  <c r="CO16" i="15"/>
  <c r="CP16" i="15"/>
  <c r="CQ16" i="15"/>
  <c r="CR16" i="15"/>
  <c r="CS16" i="15"/>
  <c r="CT16" i="15"/>
  <c r="CU16" i="15"/>
  <c r="CV16" i="15"/>
  <c r="CW16" i="15"/>
  <c r="CX16" i="15"/>
  <c r="CY16" i="15"/>
  <c r="CB17" i="15"/>
  <c r="CC17" i="15"/>
  <c r="CD17" i="15"/>
  <c r="CE17" i="15"/>
  <c r="CF17" i="15"/>
  <c r="CG17" i="15"/>
  <c r="CH17" i="15"/>
  <c r="CI17" i="15"/>
  <c r="CJ17" i="15"/>
  <c r="CK17" i="15"/>
  <c r="CL17" i="15"/>
  <c r="CM17" i="15"/>
  <c r="CN17" i="15"/>
  <c r="CO17" i="15"/>
  <c r="CP17" i="15"/>
  <c r="CQ17" i="15"/>
  <c r="CR17" i="15"/>
  <c r="CS17" i="15"/>
  <c r="CT17" i="15"/>
  <c r="CU17" i="15"/>
  <c r="CV17" i="15"/>
  <c r="CW17" i="15"/>
  <c r="CX17" i="15"/>
  <c r="CY17" i="15"/>
  <c r="CB18" i="15"/>
  <c r="CC18" i="15"/>
  <c r="CD18" i="15"/>
  <c r="CE18" i="15"/>
  <c r="CF18" i="15"/>
  <c r="CG18" i="15"/>
  <c r="CH18" i="15"/>
  <c r="CI18" i="15"/>
  <c r="CJ18" i="15"/>
  <c r="CK18" i="15"/>
  <c r="CL18" i="15"/>
  <c r="CM18" i="15"/>
  <c r="CN18" i="15"/>
  <c r="CO18" i="15"/>
  <c r="CP18" i="15"/>
  <c r="CQ18" i="15"/>
  <c r="CR18" i="15"/>
  <c r="CS18" i="15"/>
  <c r="CT18" i="15"/>
  <c r="CU18" i="15"/>
  <c r="CV18" i="15"/>
  <c r="CW18" i="15"/>
  <c r="CX18" i="15"/>
  <c r="CY18" i="15"/>
  <c r="CB19" i="15"/>
  <c r="CC19" i="15"/>
  <c r="CD19" i="15"/>
  <c r="CE19" i="15"/>
  <c r="CF19" i="15"/>
  <c r="CG19" i="15"/>
  <c r="CH19" i="15"/>
  <c r="CI19" i="15"/>
  <c r="CJ19" i="15"/>
  <c r="CK19" i="15"/>
  <c r="CL19" i="15"/>
  <c r="CM19" i="15"/>
  <c r="CN19" i="15"/>
  <c r="CO19" i="15"/>
  <c r="CP19" i="15"/>
  <c r="CQ19" i="15"/>
  <c r="CR19" i="15"/>
  <c r="CS19" i="15"/>
  <c r="CT19" i="15"/>
  <c r="CU19" i="15"/>
  <c r="CV19" i="15"/>
  <c r="CW19" i="15"/>
  <c r="CX19" i="15"/>
  <c r="CY19" i="15"/>
  <c r="CB20" i="15"/>
  <c r="CC20" i="15"/>
  <c r="CD20" i="15"/>
  <c r="CE20" i="15"/>
  <c r="CF20" i="15"/>
  <c r="CG20" i="15"/>
  <c r="CH20" i="15"/>
  <c r="CI20" i="15"/>
  <c r="CJ20" i="15"/>
  <c r="CK20" i="15"/>
  <c r="CL20" i="15"/>
  <c r="CM20" i="15"/>
  <c r="CN20" i="15"/>
  <c r="CO20" i="15"/>
  <c r="CP20" i="15"/>
  <c r="CQ20" i="15"/>
  <c r="CR20" i="15"/>
  <c r="CS20" i="15"/>
  <c r="CT20" i="15"/>
  <c r="CU20" i="15"/>
  <c r="CV20" i="15"/>
  <c r="CW20" i="15"/>
  <c r="CX20" i="15"/>
  <c r="CY20" i="15"/>
  <c r="CB21" i="15"/>
  <c r="CC21" i="15"/>
  <c r="CD21" i="15"/>
  <c r="CE21" i="15"/>
  <c r="CF21" i="15"/>
  <c r="CG21" i="15"/>
  <c r="CH21" i="15"/>
  <c r="CI21" i="15"/>
  <c r="CJ21" i="15"/>
  <c r="CK21" i="15"/>
  <c r="CL21" i="15"/>
  <c r="CM21" i="15"/>
  <c r="CN21" i="15"/>
  <c r="CO21" i="15"/>
  <c r="CP21" i="15"/>
  <c r="CQ21" i="15"/>
  <c r="CR21" i="15"/>
  <c r="CS21" i="15"/>
  <c r="CT21" i="15"/>
  <c r="CU21" i="15"/>
  <c r="CV21" i="15"/>
  <c r="CW21" i="15"/>
  <c r="CX21" i="15"/>
  <c r="CY21" i="15"/>
  <c r="CB22" i="15"/>
  <c r="CC22" i="15"/>
  <c r="CD22" i="15"/>
  <c r="CE22" i="15"/>
  <c r="CF22" i="15"/>
  <c r="CG22" i="15"/>
  <c r="CH22" i="15"/>
  <c r="CI22" i="15"/>
  <c r="CJ22" i="15"/>
  <c r="CK22" i="15"/>
  <c r="CL22" i="15"/>
  <c r="CM22" i="15"/>
  <c r="CN22" i="15"/>
  <c r="CO22" i="15"/>
  <c r="CP22" i="15"/>
  <c r="CQ22" i="15"/>
  <c r="CR22" i="15"/>
  <c r="CS22" i="15"/>
  <c r="CT22" i="15"/>
  <c r="CU22" i="15"/>
  <c r="CV22" i="15"/>
  <c r="CW22" i="15"/>
  <c r="CX22" i="15"/>
  <c r="CY22" i="15"/>
  <c r="CB23" i="15"/>
  <c r="CC23" i="15"/>
  <c r="CD23" i="15"/>
  <c r="CE23" i="15"/>
  <c r="CF23" i="15"/>
  <c r="CG23" i="15"/>
  <c r="CH23" i="15"/>
  <c r="CI23" i="15"/>
  <c r="CJ23" i="15"/>
  <c r="CK23" i="15"/>
  <c r="CL23" i="15"/>
  <c r="CM23" i="15"/>
  <c r="CN23" i="15"/>
  <c r="CO23" i="15"/>
  <c r="CP23" i="15"/>
  <c r="CQ23" i="15"/>
  <c r="CR23" i="15"/>
  <c r="CS23" i="15"/>
  <c r="CT23" i="15"/>
  <c r="CU23" i="15"/>
  <c r="CV23" i="15"/>
  <c r="CW23" i="15"/>
  <c r="CX23" i="15"/>
  <c r="CY23" i="15"/>
  <c r="CB24" i="15"/>
  <c r="CC24" i="15"/>
  <c r="CD24" i="15"/>
  <c r="CE24" i="15"/>
  <c r="CF24" i="15"/>
  <c r="CG24" i="15"/>
  <c r="CH24" i="15"/>
  <c r="CI24" i="15"/>
  <c r="CJ24" i="15"/>
  <c r="CK24" i="15"/>
  <c r="CL24" i="15"/>
  <c r="CM24" i="15"/>
  <c r="CN24" i="15"/>
  <c r="CO24" i="15"/>
  <c r="CP24" i="15"/>
  <c r="CQ24" i="15"/>
  <c r="CR24" i="15"/>
  <c r="CS24" i="15"/>
  <c r="CT24" i="15"/>
  <c r="CU24" i="15"/>
  <c r="CV24" i="15"/>
  <c r="CW24" i="15"/>
  <c r="CX24" i="15"/>
  <c r="CY24" i="15"/>
  <c r="CB25" i="15"/>
  <c r="CC25" i="15"/>
  <c r="CD25" i="15"/>
  <c r="CE25" i="15"/>
  <c r="CF25" i="15"/>
  <c r="CG25" i="15"/>
  <c r="CH25" i="15"/>
  <c r="CI25" i="15"/>
  <c r="CJ25" i="15"/>
  <c r="CK25" i="15"/>
  <c r="CL25" i="15"/>
  <c r="CM25" i="15"/>
  <c r="CN25" i="15"/>
  <c r="CO25" i="15"/>
  <c r="CP25" i="15"/>
  <c r="CQ25" i="15"/>
  <c r="CR25" i="15"/>
  <c r="CS25" i="15"/>
  <c r="CT25" i="15"/>
  <c r="CU25" i="15"/>
  <c r="CV25" i="15"/>
  <c r="CW25" i="15"/>
  <c r="CX25" i="15"/>
  <c r="CY25" i="15"/>
  <c r="CB26" i="15"/>
  <c r="CC26" i="15"/>
  <c r="CD26" i="15"/>
  <c r="CE26" i="15"/>
  <c r="CF26" i="15"/>
  <c r="CG26" i="15"/>
  <c r="CH26" i="15"/>
  <c r="CI26" i="15"/>
  <c r="CJ26" i="15"/>
  <c r="CK26" i="15"/>
  <c r="CL26" i="15"/>
  <c r="CM26" i="15"/>
  <c r="CN26" i="15"/>
  <c r="CO26" i="15"/>
  <c r="CP26" i="15"/>
  <c r="CQ26" i="15"/>
  <c r="CR26" i="15"/>
  <c r="CS26" i="15"/>
  <c r="CT26" i="15"/>
  <c r="CU26" i="15"/>
  <c r="CV26" i="15"/>
  <c r="CW26" i="15"/>
  <c r="CX26" i="15"/>
  <c r="CY26" i="15"/>
  <c r="CB27" i="15"/>
  <c r="CC27" i="15"/>
  <c r="CD27" i="15"/>
  <c r="CE27" i="15"/>
  <c r="CF27" i="15"/>
  <c r="CG27" i="15"/>
  <c r="CH27" i="15"/>
  <c r="CI27" i="15"/>
  <c r="CJ27" i="15"/>
  <c r="CK27" i="15"/>
  <c r="CL27" i="15"/>
  <c r="CM27" i="15"/>
  <c r="CN27" i="15"/>
  <c r="CO27" i="15"/>
  <c r="CP27" i="15"/>
  <c r="CQ27" i="15"/>
  <c r="CR27" i="15"/>
  <c r="CS27" i="15"/>
  <c r="CT27" i="15"/>
  <c r="CU27" i="15"/>
  <c r="CV27" i="15"/>
  <c r="CW27" i="15"/>
  <c r="CX27" i="15"/>
  <c r="CY27" i="15"/>
  <c r="CB28" i="15"/>
  <c r="CC28" i="15"/>
  <c r="CD28" i="15"/>
  <c r="CE28" i="15"/>
  <c r="CF28" i="15"/>
  <c r="CG28" i="15"/>
  <c r="CH28" i="15"/>
  <c r="CI28" i="15"/>
  <c r="CJ28" i="15"/>
  <c r="CK28" i="15"/>
  <c r="CL28" i="15"/>
  <c r="CM28" i="15"/>
  <c r="CN28" i="15"/>
  <c r="CO28" i="15"/>
  <c r="CP28" i="15"/>
  <c r="CQ28" i="15"/>
  <c r="CR28" i="15"/>
  <c r="CS28" i="15"/>
  <c r="CT28" i="15"/>
  <c r="CU28" i="15"/>
  <c r="CV28" i="15"/>
  <c r="CW28" i="15"/>
  <c r="CX28" i="15"/>
  <c r="CY28" i="15"/>
  <c r="CB29" i="15"/>
  <c r="CC29" i="15"/>
  <c r="CD29" i="15"/>
  <c r="CE29" i="15"/>
  <c r="CF29" i="15"/>
  <c r="CG29" i="15"/>
  <c r="CH29" i="15"/>
  <c r="CI29" i="15"/>
  <c r="CJ29" i="15"/>
  <c r="CK29" i="15"/>
  <c r="CL29" i="15"/>
  <c r="CM29" i="15"/>
  <c r="CN29" i="15"/>
  <c r="CO29" i="15"/>
  <c r="CP29" i="15"/>
  <c r="CQ29" i="15"/>
  <c r="CR29" i="15"/>
  <c r="CS29" i="15"/>
  <c r="CT29" i="15"/>
  <c r="CU29" i="15"/>
  <c r="CV29" i="15"/>
  <c r="CW29" i="15"/>
  <c r="CX29" i="15"/>
  <c r="CY29" i="15"/>
  <c r="CB30" i="15"/>
  <c r="CC30" i="15"/>
  <c r="CD30" i="15"/>
  <c r="CE30" i="15"/>
  <c r="CF30" i="15"/>
  <c r="CG30" i="15"/>
  <c r="CH30" i="15"/>
  <c r="CI30" i="15"/>
  <c r="CJ30" i="15"/>
  <c r="CK30" i="15"/>
  <c r="CL30" i="15"/>
  <c r="CM30" i="15"/>
  <c r="CN30" i="15"/>
  <c r="CO30" i="15"/>
  <c r="CP30" i="15"/>
  <c r="CQ30" i="15"/>
  <c r="CR30" i="15"/>
  <c r="CS30" i="15"/>
  <c r="CT30" i="15"/>
  <c r="CU30" i="15"/>
  <c r="CV30" i="15"/>
  <c r="CW30" i="15"/>
  <c r="CX30" i="15"/>
  <c r="CY30" i="15"/>
  <c r="CB31" i="15"/>
  <c r="CC31" i="15"/>
  <c r="CD31" i="15"/>
  <c r="CE31" i="15"/>
  <c r="CF31" i="15"/>
  <c r="CG31" i="15"/>
  <c r="CH31" i="15"/>
  <c r="CI31" i="15"/>
  <c r="CJ31" i="15"/>
  <c r="CK31" i="15"/>
  <c r="CL31" i="15"/>
  <c r="CM31" i="15"/>
  <c r="CN31" i="15"/>
  <c r="CO31" i="15"/>
  <c r="CP31" i="15"/>
  <c r="CQ31" i="15"/>
  <c r="CR31" i="15"/>
  <c r="CS31" i="15"/>
  <c r="CT31" i="15"/>
  <c r="CU31" i="15"/>
  <c r="CV31" i="15"/>
  <c r="CW31" i="15"/>
  <c r="CX31" i="15"/>
  <c r="CY31" i="15"/>
  <c r="CB32" i="15"/>
  <c r="CC32" i="15"/>
  <c r="CD32" i="15"/>
  <c r="CE32" i="15"/>
  <c r="CF32" i="15"/>
  <c r="CG32" i="15"/>
  <c r="CH32" i="15"/>
  <c r="CI32" i="15"/>
  <c r="CJ32" i="15"/>
  <c r="CK32" i="15"/>
  <c r="CL32" i="15"/>
  <c r="CM32" i="15"/>
  <c r="CN32" i="15"/>
  <c r="CO32" i="15"/>
  <c r="CP32" i="15"/>
  <c r="CQ32" i="15"/>
  <c r="CR32" i="15"/>
  <c r="CS32" i="15"/>
  <c r="CT32" i="15"/>
  <c r="CU32" i="15"/>
  <c r="CV32" i="15"/>
  <c r="CW32" i="15"/>
  <c r="CX32" i="15"/>
  <c r="CY32" i="15"/>
  <c r="CB33" i="15"/>
  <c r="CC33" i="15"/>
  <c r="CD33" i="15"/>
  <c r="CE33" i="15"/>
  <c r="CF33" i="15"/>
  <c r="CG33" i="15"/>
  <c r="CH33" i="15"/>
  <c r="CI33" i="15"/>
  <c r="CJ33" i="15"/>
  <c r="CK33" i="15"/>
  <c r="CL33" i="15"/>
  <c r="CM33" i="15"/>
  <c r="CN33" i="15"/>
  <c r="CO33" i="15"/>
  <c r="CP33" i="15"/>
  <c r="CQ33" i="15"/>
  <c r="CR33" i="15"/>
  <c r="CS33" i="15"/>
  <c r="CT33" i="15"/>
  <c r="CU33" i="15"/>
  <c r="CV33" i="15"/>
  <c r="CW33" i="15"/>
  <c r="CX33" i="15"/>
  <c r="CY33" i="15"/>
  <c r="CB34" i="15"/>
  <c r="CC34" i="15"/>
  <c r="CD34" i="15"/>
  <c r="CE34" i="15"/>
  <c r="CF34" i="15"/>
  <c r="CG34" i="15"/>
  <c r="CH34" i="15"/>
  <c r="CI34" i="15"/>
  <c r="CJ34" i="15"/>
  <c r="CK34" i="15"/>
  <c r="CL34" i="15"/>
  <c r="CM34" i="15"/>
  <c r="CN34" i="15"/>
  <c r="CO34" i="15"/>
  <c r="CP34" i="15"/>
  <c r="CQ34" i="15"/>
  <c r="CR34" i="15"/>
  <c r="CS34" i="15"/>
  <c r="CT34" i="15"/>
  <c r="CU34" i="15"/>
  <c r="CV34" i="15"/>
  <c r="CW34" i="15"/>
  <c r="CX34" i="15"/>
  <c r="CY34" i="15"/>
  <c r="CB35" i="15"/>
  <c r="CC35" i="15"/>
  <c r="CD35" i="15"/>
  <c r="CE35" i="15"/>
  <c r="CF35" i="15"/>
  <c r="CG35" i="15"/>
  <c r="CH35" i="15"/>
  <c r="CI35" i="15"/>
  <c r="CJ35" i="15"/>
  <c r="CK35" i="15"/>
  <c r="CL35" i="15"/>
  <c r="CM35" i="15"/>
  <c r="CN35" i="15"/>
  <c r="CO35" i="15"/>
  <c r="CP35" i="15"/>
  <c r="CQ35" i="15"/>
  <c r="CR35" i="15"/>
  <c r="CS35" i="15"/>
  <c r="CT35" i="15"/>
  <c r="CU35" i="15"/>
  <c r="CV35" i="15"/>
  <c r="CW35" i="15"/>
  <c r="CX35" i="15"/>
  <c r="CY35" i="15"/>
  <c r="CB36" i="15"/>
  <c r="CC36" i="15"/>
  <c r="CD36" i="15"/>
  <c r="CE36" i="15"/>
  <c r="CF36" i="15"/>
  <c r="CG36" i="15"/>
  <c r="CH36" i="15"/>
  <c r="CI36" i="15"/>
  <c r="CJ36" i="15"/>
  <c r="CK36" i="15"/>
  <c r="CL36" i="15"/>
  <c r="CM36" i="15"/>
  <c r="CN36" i="15"/>
  <c r="CO36" i="15"/>
  <c r="CP36" i="15"/>
  <c r="CQ36" i="15"/>
  <c r="CR36" i="15"/>
  <c r="CS36" i="15"/>
  <c r="CT36" i="15"/>
  <c r="CU36" i="15"/>
  <c r="CV36" i="15"/>
  <c r="CW36" i="15"/>
  <c r="CX36" i="15"/>
  <c r="CY36" i="15"/>
  <c r="CB37" i="15"/>
  <c r="CC37" i="15"/>
  <c r="CD37" i="15"/>
  <c r="CE37" i="15"/>
  <c r="CF37" i="15"/>
  <c r="CG37" i="15"/>
  <c r="CH37" i="15"/>
  <c r="CI37" i="15"/>
  <c r="CJ37" i="15"/>
  <c r="CK37" i="15"/>
  <c r="CL37" i="15"/>
  <c r="CM37" i="15"/>
  <c r="CN37" i="15"/>
  <c r="CO37" i="15"/>
  <c r="CP37" i="15"/>
  <c r="CQ37" i="15"/>
  <c r="CR37" i="15"/>
  <c r="CS37" i="15"/>
  <c r="CT37" i="15"/>
  <c r="CU37" i="15"/>
  <c r="CV37" i="15"/>
  <c r="CW37" i="15"/>
  <c r="CX37" i="15"/>
  <c r="CY37" i="15"/>
  <c r="CB38" i="15"/>
  <c r="CC38" i="15"/>
  <c r="CD38" i="15"/>
  <c r="CE38" i="15"/>
  <c r="CF38" i="15"/>
  <c r="CG38" i="15"/>
  <c r="CH38" i="15"/>
  <c r="CI38" i="15"/>
  <c r="CJ38" i="15"/>
  <c r="CK38" i="15"/>
  <c r="CL38" i="15"/>
  <c r="CM38" i="15"/>
  <c r="CN38" i="15"/>
  <c r="CO38" i="15"/>
  <c r="CP38" i="15"/>
  <c r="CQ38" i="15"/>
  <c r="CR38" i="15"/>
  <c r="CS38" i="15"/>
  <c r="CT38" i="15"/>
  <c r="CU38" i="15"/>
  <c r="CV38" i="15"/>
  <c r="CW38" i="15"/>
  <c r="CX38" i="15"/>
  <c r="CY38" i="15"/>
  <c r="CB39" i="15"/>
  <c r="CC39" i="15"/>
  <c r="CD39" i="15"/>
  <c r="CE39" i="15"/>
  <c r="CF39" i="15"/>
  <c r="CG39" i="15"/>
  <c r="CH39" i="15"/>
  <c r="CI39" i="15"/>
  <c r="CJ39" i="15"/>
  <c r="CK39" i="15"/>
  <c r="CL39" i="15"/>
  <c r="CM39" i="15"/>
  <c r="CN39" i="15"/>
  <c r="CO39" i="15"/>
  <c r="CP39" i="15"/>
  <c r="CQ39" i="15"/>
  <c r="CR39" i="15"/>
  <c r="CS39" i="15"/>
  <c r="CT39" i="15"/>
  <c r="CU39" i="15"/>
  <c r="CV39" i="15"/>
  <c r="CW39" i="15"/>
  <c r="CX39" i="15"/>
  <c r="CY39" i="15"/>
  <c r="CB40" i="15"/>
  <c r="CC40" i="15"/>
  <c r="CD40" i="15"/>
  <c r="CE40" i="15"/>
  <c r="CF40" i="15"/>
  <c r="CG40" i="15"/>
  <c r="CH40" i="15"/>
  <c r="CI40" i="15"/>
  <c r="CJ40" i="15"/>
  <c r="CK40" i="15"/>
  <c r="CL40" i="15"/>
  <c r="CM40" i="15"/>
  <c r="CN40" i="15"/>
  <c r="CO40" i="15"/>
  <c r="CP40" i="15"/>
  <c r="CQ40" i="15"/>
  <c r="CR40" i="15"/>
  <c r="CS40" i="15"/>
  <c r="CT40" i="15"/>
  <c r="CU40" i="15"/>
  <c r="CV40" i="15"/>
  <c r="CW40" i="15"/>
  <c r="CX40" i="15"/>
  <c r="CY40" i="15"/>
  <c r="CB41" i="15"/>
  <c r="CC41" i="15"/>
  <c r="CD41" i="15"/>
  <c r="CE41" i="15"/>
  <c r="CF41" i="15"/>
  <c r="CG41" i="15"/>
  <c r="CH41" i="15"/>
  <c r="CI41" i="15"/>
  <c r="CJ41" i="15"/>
  <c r="CK41" i="15"/>
  <c r="CL41" i="15"/>
  <c r="CM41" i="15"/>
  <c r="CN41" i="15"/>
  <c r="CO41" i="15"/>
  <c r="CP41" i="15"/>
  <c r="CQ41" i="15"/>
  <c r="CR41" i="15"/>
  <c r="CS41" i="15"/>
  <c r="CT41" i="15"/>
  <c r="CU41" i="15"/>
  <c r="CV41" i="15"/>
  <c r="CW41" i="15"/>
  <c r="CX41" i="15"/>
  <c r="CY41" i="15"/>
  <c r="CB42" i="15"/>
  <c r="CC42" i="15"/>
  <c r="CD42" i="15"/>
  <c r="CE42" i="15"/>
  <c r="CF42" i="15"/>
  <c r="CG42" i="15"/>
  <c r="CH42" i="15"/>
  <c r="CI42" i="15"/>
  <c r="CJ42" i="15"/>
  <c r="CK42" i="15"/>
  <c r="CL42" i="15"/>
  <c r="CM42" i="15"/>
  <c r="CN42" i="15"/>
  <c r="CO42" i="15"/>
  <c r="CP42" i="15"/>
  <c r="CQ42" i="15"/>
  <c r="CR42" i="15"/>
  <c r="CS42" i="15"/>
  <c r="CT42" i="15"/>
  <c r="CU42" i="15"/>
  <c r="CV42" i="15"/>
  <c r="CW42" i="15"/>
  <c r="CX42" i="15"/>
  <c r="CY42" i="15"/>
  <c r="CB43" i="15"/>
  <c r="CC43" i="15"/>
  <c r="CD43" i="15"/>
  <c r="CE43" i="15"/>
  <c r="CF43" i="15"/>
  <c r="CG43" i="15"/>
  <c r="CH43" i="15"/>
  <c r="CI43" i="15"/>
  <c r="CJ43" i="15"/>
  <c r="CK43" i="15"/>
  <c r="CL43" i="15"/>
  <c r="CM43" i="15"/>
  <c r="CN43" i="15"/>
  <c r="CO43" i="15"/>
  <c r="CP43" i="15"/>
  <c r="CQ43" i="15"/>
  <c r="CR43" i="15"/>
  <c r="CS43" i="15"/>
  <c r="CT43" i="15"/>
  <c r="CU43" i="15"/>
  <c r="CV43" i="15"/>
  <c r="CW43" i="15"/>
  <c r="CX43" i="15"/>
  <c r="CY43" i="15"/>
  <c r="CB44" i="15"/>
  <c r="CC44" i="15"/>
  <c r="CD44" i="15"/>
  <c r="CE44" i="15"/>
  <c r="CF44" i="15"/>
  <c r="CG44" i="15"/>
  <c r="CH44" i="15"/>
  <c r="CI44" i="15"/>
  <c r="CJ44" i="15"/>
  <c r="CK44" i="15"/>
  <c r="CL44" i="15"/>
  <c r="CM44" i="15"/>
  <c r="CN44" i="15"/>
  <c r="CO44" i="15"/>
  <c r="CP44" i="15"/>
  <c r="CQ44" i="15"/>
  <c r="CR44" i="15"/>
  <c r="CS44" i="15"/>
  <c r="CT44" i="15"/>
  <c r="CU44" i="15"/>
  <c r="CV44" i="15"/>
  <c r="CW44" i="15"/>
  <c r="CX44" i="15"/>
  <c r="CY44" i="15"/>
  <c r="CB45" i="15"/>
  <c r="CC45" i="15"/>
  <c r="CD45" i="15"/>
  <c r="CE45" i="15"/>
  <c r="CF45" i="15"/>
  <c r="CG45" i="15"/>
  <c r="CH45" i="15"/>
  <c r="CI45" i="15"/>
  <c r="CJ45" i="15"/>
  <c r="CK45" i="15"/>
  <c r="CL45" i="15"/>
  <c r="CM45" i="15"/>
  <c r="CN45" i="15"/>
  <c r="CO45" i="15"/>
  <c r="CP45" i="15"/>
  <c r="CQ45" i="15"/>
  <c r="CR45" i="15"/>
  <c r="CS45" i="15"/>
  <c r="CT45" i="15"/>
  <c r="CU45" i="15"/>
  <c r="CV45" i="15"/>
  <c r="CW45" i="15"/>
  <c r="CX45" i="15"/>
  <c r="CY45" i="15"/>
  <c r="CB46" i="15"/>
  <c r="CC46" i="15"/>
  <c r="CD46" i="15"/>
  <c r="CE46" i="15"/>
  <c r="CF46" i="15"/>
  <c r="CG46" i="15"/>
  <c r="CH46" i="15"/>
  <c r="CI46" i="15"/>
  <c r="CJ46" i="15"/>
  <c r="CK46" i="15"/>
  <c r="CL46" i="15"/>
  <c r="CM46" i="15"/>
  <c r="CN46" i="15"/>
  <c r="CO46" i="15"/>
  <c r="CP46" i="15"/>
  <c r="CQ46" i="15"/>
  <c r="CR46" i="15"/>
  <c r="CS46" i="15"/>
  <c r="CT46" i="15"/>
  <c r="CU46" i="15"/>
  <c r="CV46" i="15"/>
  <c r="CW46" i="15"/>
  <c r="CX46" i="15"/>
  <c r="CY46" i="15"/>
  <c r="CB47" i="15"/>
  <c r="CC47" i="15"/>
  <c r="CD47" i="15"/>
  <c r="CE47" i="15"/>
  <c r="CF47" i="15"/>
  <c r="CG47" i="15"/>
  <c r="CH47" i="15"/>
  <c r="CI47" i="15"/>
  <c r="CJ47" i="15"/>
  <c r="CK47" i="15"/>
  <c r="CL47" i="15"/>
  <c r="CM47" i="15"/>
  <c r="CN47" i="15"/>
  <c r="CO47" i="15"/>
  <c r="CP47" i="15"/>
  <c r="CQ47" i="15"/>
  <c r="CR47" i="15"/>
  <c r="CS47" i="15"/>
  <c r="CT47" i="15"/>
  <c r="CU47" i="15"/>
  <c r="CV47" i="15"/>
  <c r="CW47" i="15"/>
  <c r="CX47" i="15"/>
  <c r="CY47" i="15"/>
  <c r="CB48" i="15"/>
  <c r="CC48" i="15"/>
  <c r="CD48" i="15"/>
  <c r="CE48" i="15"/>
  <c r="CF48" i="15"/>
  <c r="CG48" i="15"/>
  <c r="CH48" i="15"/>
  <c r="CI48" i="15"/>
  <c r="CJ48" i="15"/>
  <c r="CK48" i="15"/>
  <c r="CL48" i="15"/>
  <c r="CM48" i="15"/>
  <c r="CN48" i="15"/>
  <c r="CO48" i="15"/>
  <c r="CP48" i="15"/>
  <c r="CQ48" i="15"/>
  <c r="CR48" i="15"/>
  <c r="CS48" i="15"/>
  <c r="CT48" i="15"/>
  <c r="CU48" i="15"/>
  <c r="CV48" i="15"/>
  <c r="CW48" i="15"/>
  <c r="CX48" i="15"/>
  <c r="CY48" i="15"/>
  <c r="CB49" i="15"/>
  <c r="CC49" i="15"/>
  <c r="CD49" i="15"/>
  <c r="CE49" i="15"/>
  <c r="CF49" i="15"/>
  <c r="CG49" i="15"/>
  <c r="CH49" i="15"/>
  <c r="CI49" i="15"/>
  <c r="CJ49" i="15"/>
  <c r="CK49" i="15"/>
  <c r="CL49" i="15"/>
  <c r="CM49" i="15"/>
  <c r="CN49" i="15"/>
  <c r="CO49" i="15"/>
  <c r="CP49" i="15"/>
  <c r="CQ49" i="15"/>
  <c r="CR49" i="15"/>
  <c r="CS49" i="15"/>
  <c r="CT49" i="15"/>
  <c r="CU49" i="15"/>
  <c r="CV49" i="15"/>
  <c r="CW49" i="15"/>
  <c r="CX49" i="15"/>
  <c r="CY49" i="15"/>
  <c r="CB50" i="15"/>
  <c r="CC50" i="15"/>
  <c r="CD50" i="15"/>
  <c r="CE50" i="15"/>
  <c r="CF50" i="15"/>
  <c r="CG50" i="15"/>
  <c r="CH50" i="15"/>
  <c r="CI50" i="15"/>
  <c r="CJ50" i="15"/>
  <c r="CK50" i="15"/>
  <c r="CL50" i="15"/>
  <c r="CM50" i="15"/>
  <c r="CN50" i="15"/>
  <c r="CO50" i="15"/>
  <c r="CP50" i="15"/>
  <c r="CQ50" i="15"/>
  <c r="CR50" i="15"/>
  <c r="CS50" i="15"/>
  <c r="CT50" i="15"/>
  <c r="CU50" i="15"/>
  <c r="CV50" i="15"/>
  <c r="CW50" i="15"/>
  <c r="CX50" i="15"/>
  <c r="CY50" i="15"/>
  <c r="CB51" i="15"/>
  <c r="CC51" i="15"/>
  <c r="CD51" i="15"/>
  <c r="CE51" i="15"/>
  <c r="CF51" i="15"/>
  <c r="CG51" i="15"/>
  <c r="CH51" i="15"/>
  <c r="CI51" i="15"/>
  <c r="CJ51" i="15"/>
  <c r="CK51" i="15"/>
  <c r="CL51" i="15"/>
  <c r="CM51" i="15"/>
  <c r="CN51" i="15"/>
  <c r="CO51" i="15"/>
  <c r="CP51" i="15"/>
  <c r="CQ51" i="15"/>
  <c r="CR51" i="15"/>
  <c r="CS51" i="15"/>
  <c r="CT51" i="15"/>
  <c r="CU51" i="15"/>
  <c r="CV51" i="15"/>
  <c r="CW51" i="15"/>
  <c r="CX51" i="15"/>
  <c r="CY51" i="15"/>
  <c r="CB52" i="15"/>
  <c r="CC52" i="15"/>
  <c r="CD52" i="15"/>
  <c r="CE52" i="15"/>
  <c r="CF52" i="15"/>
  <c r="CG52" i="15"/>
  <c r="CH52" i="15"/>
  <c r="CI52" i="15"/>
  <c r="CJ52" i="15"/>
  <c r="CK52" i="15"/>
  <c r="CL52" i="15"/>
  <c r="CM52" i="15"/>
  <c r="CN52" i="15"/>
  <c r="CO52" i="15"/>
  <c r="CP52" i="15"/>
  <c r="CQ52" i="15"/>
  <c r="CR52" i="15"/>
  <c r="CS52" i="15"/>
  <c r="CT52" i="15"/>
  <c r="CU52" i="15"/>
  <c r="CV52" i="15"/>
  <c r="CW52" i="15"/>
  <c r="CX52" i="15"/>
  <c r="CY52" i="15"/>
  <c r="CB53" i="15"/>
  <c r="CC53" i="15"/>
  <c r="CD53" i="15"/>
  <c r="CE53" i="15"/>
  <c r="CF53" i="15"/>
  <c r="CG53" i="15"/>
  <c r="CH53" i="15"/>
  <c r="CI53" i="15"/>
  <c r="CJ53" i="15"/>
  <c r="CK53" i="15"/>
  <c r="CL53" i="15"/>
  <c r="CM53" i="15"/>
  <c r="CN53" i="15"/>
  <c r="CO53" i="15"/>
  <c r="CP53" i="15"/>
  <c r="CQ53" i="15"/>
  <c r="CR53" i="15"/>
  <c r="CS53" i="15"/>
  <c r="CT53" i="15"/>
  <c r="CU53" i="15"/>
  <c r="CV53" i="15"/>
  <c r="CW53" i="15"/>
  <c r="CX53" i="15"/>
  <c r="CY53" i="15"/>
  <c r="CB54" i="15"/>
  <c r="CC54" i="15"/>
  <c r="CD54" i="15"/>
  <c r="CE54" i="15"/>
  <c r="CF54" i="15"/>
  <c r="CG54" i="15"/>
  <c r="CH54" i="15"/>
  <c r="CI54" i="15"/>
  <c r="CJ54" i="15"/>
  <c r="CK54" i="15"/>
  <c r="CL54" i="15"/>
  <c r="CM54" i="15"/>
  <c r="CN54" i="15"/>
  <c r="CO54" i="15"/>
  <c r="CP54" i="15"/>
  <c r="CQ54" i="15"/>
  <c r="CR54" i="15"/>
  <c r="CS54" i="15"/>
  <c r="CT54" i="15"/>
  <c r="CU54" i="15"/>
  <c r="CV54" i="15"/>
  <c r="CW54" i="15"/>
  <c r="CX54" i="15"/>
  <c r="CY54" i="15"/>
  <c r="CB55" i="15"/>
  <c r="CC55" i="15"/>
  <c r="CD55" i="15"/>
  <c r="CE55" i="15"/>
  <c r="CF55" i="15"/>
  <c r="CG55" i="15"/>
  <c r="CH55" i="15"/>
  <c r="CI55" i="15"/>
  <c r="CJ55" i="15"/>
  <c r="CK55" i="15"/>
  <c r="CL55" i="15"/>
  <c r="CM55" i="15"/>
  <c r="CN55" i="15"/>
  <c r="CO55" i="15"/>
  <c r="CP55" i="15"/>
  <c r="CQ55" i="15"/>
  <c r="CR55" i="15"/>
  <c r="CS55" i="15"/>
  <c r="CT55" i="15"/>
  <c r="CU55" i="15"/>
  <c r="CV55" i="15"/>
  <c r="CW55" i="15"/>
  <c r="CX55" i="15"/>
  <c r="CY55" i="15"/>
  <c r="CB56" i="15"/>
  <c r="CC56" i="15"/>
  <c r="CD56" i="15"/>
  <c r="CE56" i="15"/>
  <c r="CF56" i="15"/>
  <c r="CG56" i="15"/>
  <c r="CH56" i="15"/>
  <c r="CI56" i="15"/>
  <c r="CJ56" i="15"/>
  <c r="CK56" i="15"/>
  <c r="CL56" i="15"/>
  <c r="CM56" i="15"/>
  <c r="CN56" i="15"/>
  <c r="CO56" i="15"/>
  <c r="CP56" i="15"/>
  <c r="CQ56" i="15"/>
  <c r="CR56" i="15"/>
  <c r="CS56" i="15"/>
  <c r="CT56" i="15"/>
  <c r="CU56" i="15"/>
  <c r="CV56" i="15"/>
  <c r="CW56" i="15"/>
  <c r="CX56" i="15"/>
  <c r="CY56" i="15"/>
  <c r="CB57" i="15"/>
  <c r="CC57" i="15"/>
  <c r="CD57" i="15"/>
  <c r="CE57" i="15"/>
  <c r="CF57" i="15"/>
  <c r="CG57" i="15"/>
  <c r="CH57" i="15"/>
  <c r="CI57" i="15"/>
  <c r="CJ57" i="15"/>
  <c r="CK57" i="15"/>
  <c r="CL57" i="15"/>
  <c r="CM57" i="15"/>
  <c r="CN57" i="15"/>
  <c r="CO57" i="15"/>
  <c r="CP57" i="15"/>
  <c r="CQ57" i="15"/>
  <c r="CR57" i="15"/>
  <c r="CS57" i="15"/>
  <c r="CT57" i="15"/>
  <c r="CU57" i="15"/>
  <c r="CV57" i="15"/>
  <c r="CW57" i="15"/>
  <c r="CX57" i="15"/>
  <c r="CY57" i="15"/>
  <c r="CB58" i="15"/>
  <c r="CC58" i="15"/>
  <c r="CD58" i="15"/>
  <c r="CE58" i="15"/>
  <c r="CF58" i="15"/>
  <c r="CG58" i="15"/>
  <c r="CH58" i="15"/>
  <c r="CI58" i="15"/>
  <c r="CJ58" i="15"/>
  <c r="CK58" i="15"/>
  <c r="CL58" i="15"/>
  <c r="CM58" i="15"/>
  <c r="CN58" i="15"/>
  <c r="CO58" i="15"/>
  <c r="CP58" i="15"/>
  <c r="CQ58" i="15"/>
  <c r="CR58" i="15"/>
  <c r="CS58" i="15"/>
  <c r="CT58" i="15"/>
  <c r="CU58" i="15"/>
  <c r="CV58" i="15"/>
  <c r="CW58" i="15"/>
  <c r="CX58" i="15"/>
  <c r="CY58" i="15"/>
  <c r="CB59" i="15"/>
  <c r="CC59" i="15"/>
  <c r="CD59" i="15"/>
  <c r="CE59" i="15"/>
  <c r="CF59" i="15"/>
  <c r="CG59" i="15"/>
  <c r="CH59" i="15"/>
  <c r="CI59" i="15"/>
  <c r="CJ59" i="15"/>
  <c r="CK59" i="15"/>
  <c r="CL59" i="15"/>
  <c r="CM59" i="15"/>
  <c r="CN59" i="15"/>
  <c r="CO59" i="15"/>
  <c r="CP59" i="15"/>
  <c r="CQ59" i="15"/>
  <c r="CR59" i="15"/>
  <c r="CS59" i="15"/>
  <c r="CT59" i="15"/>
  <c r="CU59" i="15"/>
  <c r="CV59" i="15"/>
  <c r="CW59" i="15"/>
  <c r="CX59" i="15"/>
  <c r="CY59" i="15"/>
  <c r="CB60" i="15"/>
  <c r="CC60" i="15"/>
  <c r="CD60" i="15"/>
  <c r="CE60" i="15"/>
  <c r="CF60" i="15"/>
  <c r="CG60" i="15"/>
  <c r="CH60" i="15"/>
  <c r="CI60" i="15"/>
  <c r="CJ60" i="15"/>
  <c r="CK60" i="15"/>
  <c r="CL60" i="15"/>
  <c r="CM60" i="15"/>
  <c r="CN60" i="15"/>
  <c r="CO60" i="15"/>
  <c r="CP60" i="15"/>
  <c r="CQ60" i="15"/>
  <c r="CR60" i="15"/>
  <c r="CS60" i="15"/>
  <c r="CT60" i="15"/>
  <c r="CU60" i="15"/>
  <c r="CV60" i="15"/>
  <c r="CW60" i="15"/>
  <c r="CX60" i="15"/>
  <c r="CY60" i="15"/>
  <c r="CB61" i="15"/>
  <c r="CC61" i="15"/>
  <c r="CD61" i="15"/>
  <c r="CE61" i="15"/>
  <c r="CF61" i="15"/>
  <c r="CG61" i="15"/>
  <c r="CH61" i="15"/>
  <c r="CI61" i="15"/>
  <c r="CJ61" i="15"/>
  <c r="CK61" i="15"/>
  <c r="CL61" i="15"/>
  <c r="CM61" i="15"/>
  <c r="CN61" i="15"/>
  <c r="CO61" i="15"/>
  <c r="CP61" i="15"/>
  <c r="CQ61" i="15"/>
  <c r="CR61" i="15"/>
  <c r="CS61" i="15"/>
  <c r="CT61" i="15"/>
  <c r="CU61" i="15"/>
  <c r="CV61" i="15"/>
  <c r="CW61" i="15"/>
  <c r="CX61" i="15"/>
  <c r="CY61" i="15"/>
  <c r="CB62" i="15"/>
  <c r="CC62" i="15"/>
  <c r="CD62" i="15"/>
  <c r="CE62" i="15"/>
  <c r="CF62" i="15"/>
  <c r="CG62" i="15"/>
  <c r="CH62" i="15"/>
  <c r="CI62" i="15"/>
  <c r="CJ62" i="15"/>
  <c r="CK62" i="15"/>
  <c r="CL62" i="15"/>
  <c r="CM62" i="15"/>
  <c r="CN62" i="15"/>
  <c r="CO62" i="15"/>
  <c r="CP62" i="15"/>
  <c r="CQ62" i="15"/>
  <c r="CR62" i="15"/>
  <c r="CS62" i="15"/>
  <c r="CT62" i="15"/>
  <c r="CU62" i="15"/>
  <c r="CV62" i="15"/>
  <c r="CW62" i="15"/>
  <c r="CX62" i="15"/>
  <c r="CY62" i="15"/>
  <c r="CB63" i="15"/>
  <c r="CC63" i="15"/>
  <c r="CD63" i="15"/>
  <c r="CE63" i="15"/>
  <c r="CF63" i="15"/>
  <c r="CG63" i="15"/>
  <c r="CH63" i="15"/>
  <c r="CI63" i="15"/>
  <c r="CJ63" i="15"/>
  <c r="CK63" i="15"/>
  <c r="CL63" i="15"/>
  <c r="CM63" i="15"/>
  <c r="CN63" i="15"/>
  <c r="CO63" i="15"/>
  <c r="CP63" i="15"/>
  <c r="CQ63" i="15"/>
  <c r="CR63" i="15"/>
  <c r="CS63" i="15"/>
  <c r="CT63" i="15"/>
  <c r="CU63" i="15"/>
  <c r="CV63" i="15"/>
  <c r="CW63" i="15"/>
  <c r="CX63" i="15"/>
  <c r="CY63" i="15"/>
  <c r="CB64" i="15"/>
  <c r="CC64" i="15"/>
  <c r="CD64" i="15"/>
  <c r="CE64" i="15"/>
  <c r="CF64" i="15"/>
  <c r="CG64" i="15"/>
  <c r="CH64" i="15"/>
  <c r="CI64" i="15"/>
  <c r="CJ64" i="15"/>
  <c r="CK64" i="15"/>
  <c r="CL64" i="15"/>
  <c r="CM64" i="15"/>
  <c r="CN64" i="15"/>
  <c r="CO64" i="15"/>
  <c r="CP64" i="15"/>
  <c r="CQ64" i="15"/>
  <c r="CR64" i="15"/>
  <c r="CS64" i="15"/>
  <c r="CT64" i="15"/>
  <c r="CU64" i="15"/>
  <c r="CV64" i="15"/>
  <c r="CW64" i="15"/>
  <c r="CX64" i="15"/>
  <c r="CY64" i="15"/>
  <c r="CB65" i="15"/>
  <c r="CC65" i="15"/>
  <c r="CD65" i="15"/>
  <c r="CE65" i="15"/>
  <c r="CF65" i="15"/>
  <c r="CG65" i="15"/>
  <c r="CH65" i="15"/>
  <c r="CI65" i="15"/>
  <c r="CJ65" i="15"/>
  <c r="CK65" i="15"/>
  <c r="CL65" i="15"/>
  <c r="CM65" i="15"/>
  <c r="CN65" i="15"/>
  <c r="CO65" i="15"/>
  <c r="CP65" i="15"/>
  <c r="CQ65" i="15"/>
  <c r="CR65" i="15"/>
  <c r="CS65" i="15"/>
  <c r="CT65" i="15"/>
  <c r="CU65" i="15"/>
  <c r="CV65" i="15"/>
  <c r="CW65" i="15"/>
  <c r="CX65" i="15"/>
  <c r="CY65" i="15"/>
  <c r="CB66" i="15"/>
  <c r="CC66" i="15"/>
  <c r="CD66" i="15"/>
  <c r="CE66" i="15"/>
  <c r="CF66" i="15"/>
  <c r="CG66" i="15"/>
  <c r="CH66" i="15"/>
  <c r="CI66" i="15"/>
  <c r="CJ66" i="15"/>
  <c r="CK66" i="15"/>
  <c r="CL66" i="15"/>
  <c r="CM66" i="15"/>
  <c r="CN66" i="15"/>
  <c r="CO66" i="15"/>
  <c r="CP66" i="15"/>
  <c r="CQ66" i="15"/>
  <c r="CR66" i="15"/>
  <c r="CS66" i="15"/>
  <c r="CT66" i="15"/>
  <c r="CU66" i="15"/>
  <c r="CV66" i="15"/>
  <c r="CW66" i="15"/>
  <c r="CX66" i="15"/>
  <c r="CY66" i="15"/>
  <c r="CB67" i="15"/>
  <c r="CC67" i="15"/>
  <c r="CD67" i="15"/>
  <c r="CE67" i="15"/>
  <c r="CF67" i="15"/>
  <c r="CG67" i="15"/>
  <c r="CH67" i="15"/>
  <c r="CI67" i="15"/>
  <c r="CJ67" i="15"/>
  <c r="CK67" i="15"/>
  <c r="CL67" i="15"/>
  <c r="CM67" i="15"/>
  <c r="CN67" i="15"/>
  <c r="CO67" i="15"/>
  <c r="CP67" i="15"/>
  <c r="CQ67" i="15"/>
  <c r="CR67" i="15"/>
  <c r="CS67" i="15"/>
  <c r="CT67" i="15"/>
  <c r="CU67" i="15"/>
  <c r="CV67" i="15"/>
  <c r="CW67" i="15"/>
  <c r="CX67" i="15"/>
  <c r="CY67" i="15"/>
  <c r="CB68" i="15"/>
  <c r="CC68" i="15"/>
  <c r="CD68" i="15"/>
  <c r="CE68" i="15"/>
  <c r="CF68" i="15"/>
  <c r="CG68" i="15"/>
  <c r="CH68" i="15"/>
  <c r="CI68" i="15"/>
  <c r="CJ68" i="15"/>
  <c r="CK68" i="15"/>
  <c r="CL68" i="15"/>
  <c r="CM68" i="15"/>
  <c r="CN68" i="15"/>
  <c r="CO68" i="15"/>
  <c r="CP68" i="15"/>
  <c r="CQ68" i="15"/>
  <c r="CR68" i="15"/>
  <c r="CS68" i="15"/>
  <c r="CT68" i="15"/>
  <c r="CU68" i="15"/>
  <c r="CV68" i="15"/>
  <c r="CW68" i="15"/>
  <c r="CX68" i="15"/>
  <c r="CY68" i="15"/>
  <c r="CB69" i="15"/>
  <c r="CC69" i="15"/>
  <c r="CD69" i="15"/>
  <c r="CE69" i="15"/>
  <c r="CF69" i="15"/>
  <c r="CG69" i="15"/>
  <c r="CH69" i="15"/>
  <c r="CI69" i="15"/>
  <c r="CJ69" i="15"/>
  <c r="CK69" i="15"/>
  <c r="CL69" i="15"/>
  <c r="CM69" i="15"/>
  <c r="CN69" i="15"/>
  <c r="CO69" i="15"/>
  <c r="CP69" i="15"/>
  <c r="CQ69" i="15"/>
  <c r="CR69" i="15"/>
  <c r="CS69" i="15"/>
  <c r="CT69" i="15"/>
  <c r="CU69" i="15"/>
  <c r="CV69" i="15"/>
  <c r="CW69" i="15"/>
  <c r="CX69" i="15"/>
  <c r="CY69" i="15"/>
  <c r="CB70" i="15"/>
  <c r="CC70" i="15"/>
  <c r="CD70" i="15"/>
  <c r="CE70" i="15"/>
  <c r="CF70" i="15"/>
  <c r="CG70" i="15"/>
  <c r="CH70" i="15"/>
  <c r="CI70" i="15"/>
  <c r="CJ70" i="15"/>
  <c r="CK70" i="15"/>
  <c r="CL70" i="15"/>
  <c r="CM70" i="15"/>
  <c r="CN70" i="15"/>
  <c r="CO70" i="15"/>
  <c r="CP70" i="15"/>
  <c r="CQ70" i="15"/>
  <c r="CR70" i="15"/>
  <c r="CS70" i="15"/>
  <c r="CT70" i="15"/>
  <c r="CU70" i="15"/>
  <c r="CV70" i="15"/>
  <c r="CW70" i="15"/>
  <c r="CX70" i="15"/>
  <c r="CY70" i="15"/>
  <c r="CB71" i="15"/>
  <c r="CC71" i="15"/>
  <c r="CD71" i="15"/>
  <c r="CE71" i="15"/>
  <c r="CF71" i="15"/>
  <c r="CG71" i="15"/>
  <c r="CH71" i="15"/>
  <c r="CI71" i="15"/>
  <c r="CJ71" i="15"/>
  <c r="CK71" i="15"/>
  <c r="CL71" i="15"/>
  <c r="CM71" i="15"/>
  <c r="CN71" i="15"/>
  <c r="CO71" i="15"/>
  <c r="CP71" i="15"/>
  <c r="CQ71" i="15"/>
  <c r="CR71" i="15"/>
  <c r="CS71" i="15"/>
  <c r="CT71" i="15"/>
  <c r="CU71" i="15"/>
  <c r="CV71" i="15"/>
  <c r="CW71" i="15"/>
  <c r="CX71" i="15"/>
  <c r="CY71" i="15"/>
  <c r="CB72" i="15"/>
  <c r="CC72" i="15"/>
  <c r="CD72" i="15"/>
  <c r="CE72" i="15"/>
  <c r="CF72" i="15"/>
  <c r="CG72" i="15"/>
  <c r="CH72" i="15"/>
  <c r="CI72" i="15"/>
  <c r="CJ72" i="15"/>
  <c r="CK72" i="15"/>
  <c r="CL72" i="15"/>
  <c r="CM72" i="15"/>
  <c r="CN72" i="15"/>
  <c r="CO72" i="15"/>
  <c r="CP72" i="15"/>
  <c r="CQ72" i="15"/>
  <c r="CR72" i="15"/>
  <c r="CS72" i="15"/>
  <c r="CT72" i="15"/>
  <c r="CU72" i="15"/>
  <c r="CV72" i="15"/>
  <c r="CW72" i="15"/>
  <c r="CX72" i="15"/>
  <c r="CY72" i="15"/>
  <c r="CB73" i="15"/>
  <c r="CC73" i="15"/>
  <c r="CD73" i="15"/>
  <c r="CE73" i="15"/>
  <c r="CF73" i="15"/>
  <c r="CG73" i="15"/>
  <c r="CH73" i="15"/>
  <c r="CI73" i="15"/>
  <c r="CJ73" i="15"/>
  <c r="CK73" i="15"/>
  <c r="CL73" i="15"/>
  <c r="CM73" i="15"/>
  <c r="CN73" i="15"/>
  <c r="CO73" i="15"/>
  <c r="CP73" i="15"/>
  <c r="CQ73" i="15"/>
  <c r="CR73" i="15"/>
  <c r="CS73" i="15"/>
  <c r="CT73" i="15"/>
  <c r="CU73" i="15"/>
  <c r="CV73" i="15"/>
  <c r="CW73" i="15"/>
  <c r="CX73" i="15"/>
  <c r="CY73" i="15"/>
  <c r="CB74" i="15"/>
  <c r="CC74" i="15"/>
  <c r="CD74" i="15"/>
  <c r="CE74" i="15"/>
  <c r="CF74" i="15"/>
  <c r="CG74" i="15"/>
  <c r="CH74" i="15"/>
  <c r="CI74" i="15"/>
  <c r="CJ74" i="15"/>
  <c r="CK74" i="15"/>
  <c r="CL74" i="15"/>
  <c r="CM74" i="15"/>
  <c r="CN74" i="15"/>
  <c r="CO74" i="15"/>
  <c r="CP74" i="15"/>
  <c r="CQ74" i="15"/>
  <c r="CR74" i="15"/>
  <c r="CS74" i="15"/>
  <c r="CT74" i="15"/>
  <c r="CU74" i="15"/>
  <c r="CV74" i="15"/>
  <c r="CW74" i="15"/>
  <c r="CX74" i="15"/>
  <c r="CY74" i="15"/>
  <c r="CB75" i="15"/>
  <c r="CC75" i="15"/>
  <c r="CD75" i="15"/>
  <c r="CE75" i="15"/>
  <c r="CF75" i="15"/>
  <c r="CG75" i="15"/>
  <c r="CH75" i="15"/>
  <c r="CI75" i="15"/>
  <c r="CJ75" i="15"/>
  <c r="CK75" i="15"/>
  <c r="CL75" i="15"/>
  <c r="CM75" i="15"/>
  <c r="CN75" i="15"/>
  <c r="CO75" i="15"/>
  <c r="CP75" i="15"/>
  <c r="CQ75" i="15"/>
  <c r="CR75" i="15"/>
  <c r="CS75" i="15"/>
  <c r="CT75" i="15"/>
  <c r="CU75" i="15"/>
  <c r="CV75" i="15"/>
  <c r="CW75" i="15"/>
  <c r="CX75" i="15"/>
  <c r="CY75" i="15"/>
  <c r="CB76" i="15"/>
  <c r="CC76" i="15"/>
  <c r="CD76" i="15"/>
  <c r="CE76" i="15"/>
  <c r="CF76" i="15"/>
  <c r="CG76" i="15"/>
  <c r="CH76" i="15"/>
  <c r="CI76" i="15"/>
  <c r="CJ76" i="15"/>
  <c r="CK76" i="15"/>
  <c r="CL76" i="15"/>
  <c r="CM76" i="15"/>
  <c r="CN76" i="15"/>
  <c r="CO76" i="15"/>
  <c r="CP76" i="15"/>
  <c r="CQ76" i="15"/>
  <c r="CR76" i="15"/>
  <c r="CS76" i="15"/>
  <c r="CT76" i="15"/>
  <c r="CU76" i="15"/>
  <c r="CV76" i="15"/>
  <c r="CW76" i="15"/>
  <c r="CX76" i="15"/>
  <c r="CY76" i="15"/>
  <c r="CB77" i="15"/>
  <c r="CC77" i="15"/>
  <c r="CD77" i="15"/>
  <c r="CE77" i="15"/>
  <c r="CF77" i="15"/>
  <c r="CG77" i="15"/>
  <c r="CH77" i="15"/>
  <c r="CI77" i="15"/>
  <c r="CJ77" i="15"/>
  <c r="CK77" i="15"/>
  <c r="CL77" i="15"/>
  <c r="CM77" i="15"/>
  <c r="CN77" i="15"/>
  <c r="CO77" i="15"/>
  <c r="CP77" i="15"/>
  <c r="CQ77" i="15"/>
  <c r="CR77" i="15"/>
  <c r="CS77" i="15"/>
  <c r="CT77" i="15"/>
  <c r="CU77" i="15"/>
  <c r="CV77" i="15"/>
  <c r="CW77" i="15"/>
  <c r="CX77" i="15"/>
  <c r="CY77" i="15"/>
  <c r="CB78" i="15"/>
  <c r="CC78" i="15"/>
  <c r="CD78" i="15"/>
  <c r="CE78" i="15"/>
  <c r="CF78" i="15"/>
  <c r="CG78" i="15"/>
  <c r="CH78" i="15"/>
  <c r="CI78" i="15"/>
  <c r="CJ78" i="15"/>
  <c r="CK78" i="15"/>
  <c r="CL78" i="15"/>
  <c r="CM78" i="15"/>
  <c r="CN78" i="15"/>
  <c r="CO78" i="15"/>
  <c r="CP78" i="15"/>
  <c r="CQ78" i="15"/>
  <c r="CR78" i="15"/>
  <c r="CS78" i="15"/>
  <c r="CT78" i="15"/>
  <c r="CU78" i="15"/>
  <c r="CV78" i="15"/>
  <c r="CW78" i="15"/>
  <c r="CX78" i="15"/>
  <c r="CY78" i="15"/>
  <c r="CB79" i="15"/>
  <c r="CC79" i="15"/>
  <c r="CD79" i="15"/>
  <c r="CE79" i="15"/>
  <c r="CF79" i="15"/>
  <c r="CG79" i="15"/>
  <c r="CH79" i="15"/>
  <c r="CI79" i="15"/>
  <c r="CJ79" i="15"/>
  <c r="CK79" i="15"/>
  <c r="CL79" i="15"/>
  <c r="CM79" i="15"/>
  <c r="CN79" i="15"/>
  <c r="CO79" i="15"/>
  <c r="CP79" i="15"/>
  <c r="CQ79" i="15"/>
  <c r="CR79" i="15"/>
  <c r="CS79" i="15"/>
  <c r="CT79" i="15"/>
  <c r="CU79" i="15"/>
  <c r="CV79" i="15"/>
  <c r="CW79" i="15"/>
  <c r="CX79" i="15"/>
  <c r="CY79" i="15"/>
  <c r="CB80" i="15"/>
  <c r="CC80" i="15"/>
  <c r="CD80" i="15"/>
  <c r="CE80" i="15"/>
  <c r="CF80" i="15"/>
  <c r="CG80" i="15"/>
  <c r="CH80" i="15"/>
  <c r="CI80" i="15"/>
  <c r="CJ80" i="15"/>
  <c r="CK80" i="15"/>
  <c r="CL80" i="15"/>
  <c r="CM80" i="15"/>
  <c r="CN80" i="15"/>
  <c r="CO80" i="15"/>
  <c r="CP80" i="15"/>
  <c r="CQ80" i="15"/>
  <c r="CR80" i="15"/>
  <c r="CS80" i="15"/>
  <c r="CT80" i="15"/>
  <c r="CU80" i="15"/>
  <c r="CV80" i="15"/>
  <c r="CW80" i="15"/>
  <c r="CX80" i="15"/>
  <c r="CY80" i="15"/>
  <c r="CB81" i="15"/>
  <c r="CC81" i="15"/>
  <c r="CD81" i="15"/>
  <c r="CE81" i="15"/>
  <c r="CF81" i="15"/>
  <c r="CG81" i="15"/>
  <c r="CH81" i="15"/>
  <c r="CI81" i="15"/>
  <c r="CJ81" i="15"/>
  <c r="CK81" i="15"/>
  <c r="CL81" i="15"/>
  <c r="CM81" i="15"/>
  <c r="CN81" i="15"/>
  <c r="CO81" i="15"/>
  <c r="CP81" i="15"/>
  <c r="CQ81" i="15"/>
  <c r="CR81" i="15"/>
  <c r="CS81" i="15"/>
  <c r="CT81" i="15"/>
  <c r="CU81" i="15"/>
  <c r="CV81" i="15"/>
  <c r="CW81" i="15"/>
  <c r="CX81" i="15"/>
  <c r="CY81" i="15"/>
  <c r="CB82" i="15"/>
  <c r="CC82" i="15"/>
  <c r="CD82" i="15"/>
  <c r="CE82" i="15"/>
  <c r="CF82" i="15"/>
  <c r="CG82" i="15"/>
  <c r="CH82" i="15"/>
  <c r="CI82" i="15"/>
  <c r="CJ82" i="15"/>
  <c r="CK82" i="15"/>
  <c r="CL82" i="15"/>
  <c r="CM82" i="15"/>
  <c r="CN82" i="15"/>
  <c r="CO82" i="15"/>
  <c r="CP82" i="15"/>
  <c r="CQ82" i="15"/>
  <c r="CR82" i="15"/>
  <c r="CS82" i="15"/>
  <c r="CT82" i="15"/>
  <c r="CU82" i="15"/>
  <c r="CV82" i="15"/>
  <c r="CW82" i="15"/>
  <c r="CX82" i="15"/>
  <c r="CY82" i="15"/>
  <c r="CB83" i="15"/>
  <c r="CC83" i="15"/>
  <c r="CD83" i="15"/>
  <c r="CE83" i="15"/>
  <c r="CF83" i="15"/>
  <c r="CG83" i="15"/>
  <c r="CH83" i="15"/>
  <c r="CI83" i="15"/>
  <c r="CJ83" i="15"/>
  <c r="CK83" i="15"/>
  <c r="CL83" i="15"/>
  <c r="CM83" i="15"/>
  <c r="CN83" i="15"/>
  <c r="CO83" i="15"/>
  <c r="CP83" i="15"/>
  <c r="CQ83" i="15"/>
  <c r="CR83" i="15"/>
  <c r="CS83" i="15"/>
  <c r="CT83" i="15"/>
  <c r="CU83" i="15"/>
  <c r="CV83" i="15"/>
  <c r="CW83" i="15"/>
  <c r="CX83" i="15"/>
  <c r="CY83" i="15"/>
  <c r="CB84" i="15"/>
  <c r="CC84" i="15"/>
  <c r="CD84" i="15"/>
  <c r="CE84" i="15"/>
  <c r="CF84" i="15"/>
  <c r="CG84" i="15"/>
  <c r="CH84" i="15"/>
  <c r="CI84" i="15"/>
  <c r="CJ84" i="15"/>
  <c r="CK84" i="15"/>
  <c r="CL84" i="15"/>
  <c r="CM84" i="15"/>
  <c r="CN84" i="15"/>
  <c r="CO84" i="15"/>
  <c r="CP84" i="15"/>
  <c r="CQ84" i="15"/>
  <c r="CR84" i="15"/>
  <c r="CS84" i="15"/>
  <c r="CT84" i="15"/>
  <c r="CU84" i="15"/>
  <c r="CV84" i="15"/>
  <c r="CW84" i="15"/>
  <c r="CX84" i="15"/>
  <c r="CY84" i="15"/>
  <c r="CB85" i="15"/>
  <c r="CC85" i="15"/>
  <c r="CD85" i="15"/>
  <c r="CE85" i="15"/>
  <c r="CF85" i="15"/>
  <c r="CG85" i="15"/>
  <c r="CH85" i="15"/>
  <c r="CI85" i="15"/>
  <c r="CJ85" i="15"/>
  <c r="CK85" i="15"/>
  <c r="CL85" i="15"/>
  <c r="CM85" i="15"/>
  <c r="CN85" i="15"/>
  <c r="CO85" i="15"/>
  <c r="CP85" i="15"/>
  <c r="CQ85" i="15"/>
  <c r="CR85" i="15"/>
  <c r="CS85" i="15"/>
  <c r="CT85" i="15"/>
  <c r="CU85" i="15"/>
  <c r="CV85" i="15"/>
  <c r="CW85" i="15"/>
  <c r="CX85" i="15"/>
  <c r="CY85" i="15"/>
  <c r="CB86" i="15"/>
  <c r="CC86" i="15"/>
  <c r="CD86" i="15"/>
  <c r="CE86" i="15"/>
  <c r="CF86" i="15"/>
  <c r="CG86" i="15"/>
  <c r="CH86" i="15"/>
  <c r="CI86" i="15"/>
  <c r="CJ86" i="15"/>
  <c r="CK86" i="15"/>
  <c r="CL86" i="15"/>
  <c r="CM86" i="15"/>
  <c r="CN86" i="15"/>
  <c r="CO86" i="15"/>
  <c r="CP86" i="15"/>
  <c r="CQ86" i="15"/>
  <c r="CR86" i="15"/>
  <c r="CS86" i="15"/>
  <c r="CT86" i="15"/>
  <c r="CU86" i="15"/>
  <c r="CV86" i="15"/>
  <c r="CW86" i="15"/>
  <c r="CX86" i="15"/>
  <c r="CY86" i="15"/>
  <c r="CB87" i="15"/>
  <c r="CC87" i="15"/>
  <c r="CD87" i="15"/>
  <c r="CE87" i="15"/>
  <c r="CF87" i="15"/>
  <c r="CG87" i="15"/>
  <c r="CH87" i="15"/>
  <c r="CI87" i="15"/>
  <c r="CJ87" i="15"/>
  <c r="CK87" i="15"/>
  <c r="CL87" i="15"/>
  <c r="CM87" i="15"/>
  <c r="CN87" i="15"/>
  <c r="CO87" i="15"/>
  <c r="CP87" i="15"/>
  <c r="CQ87" i="15"/>
  <c r="CR87" i="15"/>
  <c r="CS87" i="15"/>
  <c r="CT87" i="15"/>
  <c r="CU87" i="15"/>
  <c r="CV87" i="15"/>
  <c r="CW87" i="15"/>
  <c r="CX87" i="15"/>
  <c r="CY87" i="15"/>
  <c r="CB88" i="15"/>
  <c r="CC88" i="15"/>
  <c r="CD88" i="15"/>
  <c r="CE88" i="15"/>
  <c r="CF88" i="15"/>
  <c r="CG88" i="15"/>
  <c r="CH88" i="15"/>
  <c r="CI88" i="15"/>
  <c r="CJ88" i="15"/>
  <c r="CK88" i="15"/>
  <c r="CL88" i="15"/>
  <c r="CM88" i="15"/>
  <c r="CN88" i="15"/>
  <c r="CO88" i="15"/>
  <c r="CP88" i="15"/>
  <c r="CQ88" i="15"/>
  <c r="CR88" i="15"/>
  <c r="CS88" i="15"/>
  <c r="CT88" i="15"/>
  <c r="CU88" i="15"/>
  <c r="CV88" i="15"/>
  <c r="CW88" i="15"/>
  <c r="CX88" i="15"/>
  <c r="CY88" i="15"/>
  <c r="CB89" i="15"/>
  <c r="CC89" i="15"/>
  <c r="CD89" i="15"/>
  <c r="CE89" i="15"/>
  <c r="CF89" i="15"/>
  <c r="CG89" i="15"/>
  <c r="CH89" i="15"/>
  <c r="CI89" i="15"/>
  <c r="CJ89" i="15"/>
  <c r="CK89" i="15"/>
  <c r="CL89" i="15"/>
  <c r="CM89" i="15"/>
  <c r="CN89" i="15"/>
  <c r="CO89" i="15"/>
  <c r="CP89" i="15"/>
  <c r="CQ89" i="15"/>
  <c r="CR89" i="15"/>
  <c r="CS89" i="15"/>
  <c r="CT89" i="15"/>
  <c r="CU89" i="15"/>
  <c r="CV89" i="15"/>
  <c r="CW89" i="15"/>
  <c r="CX89" i="15"/>
  <c r="CY89" i="15"/>
  <c r="CB90" i="15"/>
  <c r="CC90" i="15"/>
  <c r="CD90" i="15"/>
  <c r="CE90" i="15"/>
  <c r="CF90" i="15"/>
  <c r="CG90" i="15"/>
  <c r="CH90" i="15"/>
  <c r="CI90" i="15"/>
  <c r="CJ90" i="15"/>
  <c r="CK90" i="15"/>
  <c r="CL90" i="15"/>
  <c r="CM90" i="15"/>
  <c r="CN90" i="15"/>
  <c r="CO90" i="15"/>
  <c r="CP90" i="15"/>
  <c r="CQ90" i="15"/>
  <c r="CR90" i="15"/>
  <c r="CS90" i="15"/>
  <c r="CT90" i="15"/>
  <c r="CU90" i="15"/>
  <c r="CV90" i="15"/>
  <c r="CW90" i="15"/>
  <c r="CX90" i="15"/>
  <c r="CY90" i="15"/>
  <c r="CB91" i="15"/>
  <c r="CC91" i="15"/>
  <c r="CD91" i="15"/>
  <c r="CE91" i="15"/>
  <c r="CF91" i="15"/>
  <c r="CG91" i="15"/>
  <c r="CH91" i="15"/>
  <c r="CI91" i="15"/>
  <c r="CJ91" i="15"/>
  <c r="CK91" i="15"/>
  <c r="CL91" i="15"/>
  <c r="CM91" i="15"/>
  <c r="CN91" i="15"/>
  <c r="CO91" i="15"/>
  <c r="CP91" i="15"/>
  <c r="CQ91" i="15"/>
  <c r="CR91" i="15"/>
  <c r="CS91" i="15"/>
  <c r="CT91" i="15"/>
  <c r="CU91" i="15"/>
  <c r="CV91" i="15"/>
  <c r="CW91" i="15"/>
  <c r="CX91" i="15"/>
  <c r="CY91" i="15"/>
  <c r="CB92" i="15"/>
  <c r="CC92" i="15"/>
  <c r="CD92" i="15"/>
  <c r="CE92" i="15"/>
  <c r="CF92" i="15"/>
  <c r="CG92" i="15"/>
  <c r="CH92" i="15"/>
  <c r="CI92" i="15"/>
  <c r="CJ92" i="15"/>
  <c r="CK92" i="15"/>
  <c r="CL92" i="15"/>
  <c r="CM92" i="15"/>
  <c r="CN92" i="15"/>
  <c r="CO92" i="15"/>
  <c r="CP92" i="15"/>
  <c r="CQ92" i="15"/>
  <c r="CR92" i="15"/>
  <c r="CS92" i="15"/>
  <c r="CT92" i="15"/>
  <c r="CU92" i="15"/>
  <c r="CV92" i="15"/>
  <c r="CW92" i="15"/>
  <c r="CX92" i="15"/>
  <c r="CY92" i="15"/>
  <c r="CB93" i="15"/>
  <c r="CC93" i="15"/>
  <c r="CD93" i="15"/>
  <c r="CE93" i="15"/>
  <c r="CF93" i="15"/>
  <c r="CG93" i="15"/>
  <c r="CH93" i="15"/>
  <c r="CI93" i="15"/>
  <c r="CJ93" i="15"/>
  <c r="CK93" i="15"/>
  <c r="CL93" i="15"/>
  <c r="CM93" i="15"/>
  <c r="CN93" i="15"/>
  <c r="CO93" i="15"/>
  <c r="CP93" i="15"/>
  <c r="CQ93" i="15"/>
  <c r="CR93" i="15"/>
  <c r="CS93" i="15"/>
  <c r="CT93" i="15"/>
  <c r="CU93" i="15"/>
  <c r="CV93" i="15"/>
  <c r="CW93" i="15"/>
  <c r="CX93" i="15"/>
  <c r="CY93" i="15"/>
  <c r="CB94" i="15"/>
  <c r="CC94" i="15"/>
  <c r="CD94" i="15"/>
  <c r="CE94" i="15"/>
  <c r="CF94" i="15"/>
  <c r="CG94" i="15"/>
  <c r="CH94" i="15"/>
  <c r="CI94" i="15"/>
  <c r="CJ94" i="15"/>
  <c r="CK94" i="15"/>
  <c r="CL94" i="15"/>
  <c r="CM94" i="15"/>
  <c r="CN94" i="15"/>
  <c r="CO94" i="15"/>
  <c r="CP94" i="15"/>
  <c r="CQ94" i="15"/>
  <c r="CR94" i="15"/>
  <c r="CS94" i="15"/>
  <c r="CT94" i="15"/>
  <c r="CU94" i="15"/>
  <c r="CV94" i="15"/>
  <c r="CW94" i="15"/>
  <c r="CX94" i="15"/>
  <c r="CY94" i="15"/>
  <c r="CB95" i="15"/>
  <c r="CC95" i="15"/>
  <c r="CD95" i="15"/>
  <c r="CE95" i="15"/>
  <c r="CF95" i="15"/>
  <c r="CG95" i="15"/>
  <c r="CH95" i="15"/>
  <c r="CI95" i="15"/>
  <c r="CJ95" i="15"/>
  <c r="CK95" i="15"/>
  <c r="CL95" i="15"/>
  <c r="CM95" i="15"/>
  <c r="CN95" i="15"/>
  <c r="CO95" i="15"/>
  <c r="CP95" i="15"/>
  <c r="CQ95" i="15"/>
  <c r="CR95" i="15"/>
  <c r="CS95" i="15"/>
  <c r="CT95" i="15"/>
  <c r="CU95" i="15"/>
  <c r="CV95" i="15"/>
  <c r="CW95" i="15"/>
  <c r="CX95" i="15"/>
  <c r="CY95" i="15"/>
  <c r="CB96" i="15"/>
  <c r="CC96" i="15"/>
  <c r="CD96" i="15"/>
  <c r="CE96" i="15"/>
  <c r="CF96" i="15"/>
  <c r="CG96" i="15"/>
  <c r="CH96" i="15"/>
  <c r="CI96" i="15"/>
  <c r="CJ96" i="15"/>
  <c r="CK96" i="15"/>
  <c r="CL96" i="15"/>
  <c r="CM96" i="15"/>
  <c r="CN96" i="15"/>
  <c r="CO96" i="15"/>
  <c r="CP96" i="15"/>
  <c r="CQ96" i="15"/>
  <c r="CR96" i="15"/>
  <c r="CS96" i="15"/>
  <c r="CT96" i="15"/>
  <c r="CU96" i="15"/>
  <c r="CV96" i="15"/>
  <c r="CW96" i="15"/>
  <c r="CX96" i="15"/>
  <c r="CY96" i="15"/>
  <c r="CB97" i="15"/>
  <c r="CC97" i="15"/>
  <c r="CD97" i="15"/>
  <c r="CE97" i="15"/>
  <c r="CF97" i="15"/>
  <c r="CG97" i="15"/>
  <c r="CH97" i="15"/>
  <c r="CI97" i="15"/>
  <c r="CJ97" i="15"/>
  <c r="CK97" i="15"/>
  <c r="CL97" i="15"/>
  <c r="CM97" i="15"/>
  <c r="CN97" i="15"/>
  <c r="CO97" i="15"/>
  <c r="CP97" i="15"/>
  <c r="CQ97" i="15"/>
  <c r="CR97" i="15"/>
  <c r="CS97" i="15"/>
  <c r="CT97" i="15"/>
  <c r="CU97" i="15"/>
  <c r="CV97" i="15"/>
  <c r="CW97" i="15"/>
  <c r="CX97" i="15"/>
  <c r="CY97" i="15"/>
  <c r="CB98" i="15"/>
  <c r="CC98" i="15"/>
  <c r="CD98" i="15"/>
  <c r="CE98" i="15"/>
  <c r="CF98" i="15"/>
  <c r="CG98" i="15"/>
  <c r="CH98" i="15"/>
  <c r="CI98" i="15"/>
  <c r="CJ98" i="15"/>
  <c r="CK98" i="15"/>
  <c r="CL98" i="15"/>
  <c r="CM98" i="15"/>
  <c r="CN98" i="15"/>
  <c r="CO98" i="15"/>
  <c r="CP98" i="15"/>
  <c r="CQ98" i="15"/>
  <c r="CR98" i="15"/>
  <c r="CS98" i="15"/>
  <c r="CT98" i="15"/>
  <c r="CU98" i="15"/>
  <c r="CV98" i="15"/>
  <c r="CW98" i="15"/>
  <c r="CX98" i="15"/>
  <c r="CY98" i="15"/>
  <c r="CB99" i="15"/>
  <c r="CC99" i="15"/>
  <c r="CD99" i="15"/>
  <c r="CE99" i="15"/>
  <c r="CF99" i="15"/>
  <c r="CG99" i="15"/>
  <c r="CH99" i="15"/>
  <c r="CI99" i="15"/>
  <c r="CJ99" i="15"/>
  <c r="CK99" i="15"/>
  <c r="CL99" i="15"/>
  <c r="CM99" i="15"/>
  <c r="CN99" i="15"/>
  <c r="CO99" i="15"/>
  <c r="CP99" i="15"/>
  <c r="CQ99" i="15"/>
  <c r="CR99" i="15"/>
  <c r="CS99" i="15"/>
  <c r="CT99" i="15"/>
  <c r="CU99" i="15"/>
  <c r="CV99" i="15"/>
  <c r="CW99" i="15"/>
  <c r="CX99" i="15"/>
  <c r="CY99" i="15"/>
  <c r="CB100" i="15"/>
  <c r="CC100" i="15"/>
  <c r="CD100" i="15"/>
  <c r="CE100" i="15"/>
  <c r="CF100" i="15"/>
  <c r="CG100" i="15"/>
  <c r="CH100" i="15"/>
  <c r="CI100" i="15"/>
  <c r="CJ100" i="15"/>
  <c r="CK100" i="15"/>
  <c r="CL100" i="15"/>
  <c r="CM100" i="15"/>
  <c r="CN100" i="15"/>
  <c r="CO100" i="15"/>
  <c r="CP100" i="15"/>
  <c r="CQ100" i="15"/>
  <c r="CR100" i="15"/>
  <c r="CS100" i="15"/>
  <c r="CT100" i="15"/>
  <c r="CU100" i="15"/>
  <c r="CV100" i="15"/>
  <c r="CW100" i="15"/>
  <c r="CX100" i="15"/>
  <c r="CY100" i="15"/>
  <c r="CB101" i="15"/>
  <c r="CC101" i="15"/>
  <c r="CD101" i="15"/>
  <c r="CE101" i="15"/>
  <c r="CF101" i="15"/>
  <c r="CG101" i="15"/>
  <c r="CH101" i="15"/>
  <c r="CI101" i="15"/>
  <c r="CJ101" i="15"/>
  <c r="CK101" i="15"/>
  <c r="CL101" i="15"/>
  <c r="CM101" i="15"/>
  <c r="CN101" i="15"/>
  <c r="CO101" i="15"/>
  <c r="CP101" i="15"/>
  <c r="CQ101" i="15"/>
  <c r="CR101" i="15"/>
  <c r="CS101" i="15"/>
  <c r="CT101" i="15"/>
  <c r="CU101" i="15"/>
  <c r="CV101" i="15"/>
  <c r="CW101" i="15"/>
  <c r="CX101" i="15"/>
  <c r="CY101" i="15"/>
  <c r="CB102" i="15"/>
  <c r="CC102" i="15"/>
  <c r="CD102" i="15"/>
  <c r="CE102" i="15"/>
  <c r="CF102" i="15"/>
  <c r="CG102" i="15"/>
  <c r="CH102" i="15"/>
  <c r="CI102" i="15"/>
  <c r="CJ102" i="15"/>
  <c r="CK102" i="15"/>
  <c r="CL102" i="15"/>
  <c r="CM102" i="15"/>
  <c r="CN102" i="15"/>
  <c r="CO102" i="15"/>
  <c r="CP102" i="15"/>
  <c r="CQ102" i="15"/>
  <c r="CR102" i="15"/>
  <c r="CS102" i="15"/>
  <c r="CT102" i="15"/>
  <c r="CU102" i="15"/>
  <c r="CV102" i="15"/>
  <c r="CW102" i="15"/>
  <c r="CX102" i="15"/>
  <c r="CY102" i="15"/>
  <c r="CB103" i="15"/>
  <c r="CC103" i="15"/>
  <c r="CD103" i="15"/>
  <c r="CE103" i="15"/>
  <c r="CF103" i="15"/>
  <c r="CG103" i="15"/>
  <c r="CH103" i="15"/>
  <c r="CI103" i="15"/>
  <c r="CJ103" i="15"/>
  <c r="CK103" i="15"/>
  <c r="CL103" i="15"/>
  <c r="CM103" i="15"/>
  <c r="CN103" i="15"/>
  <c r="CO103" i="15"/>
  <c r="CP103" i="15"/>
  <c r="CQ103" i="15"/>
  <c r="CR103" i="15"/>
  <c r="CS103" i="15"/>
  <c r="CT103" i="15"/>
  <c r="CU103" i="15"/>
  <c r="CV103" i="15"/>
  <c r="CW103" i="15"/>
  <c r="CX103" i="15"/>
  <c r="CY103" i="15"/>
  <c r="CB104" i="15"/>
  <c r="CC104" i="15"/>
  <c r="CD104" i="15"/>
  <c r="CE104" i="15"/>
  <c r="CF104" i="15"/>
  <c r="CG104" i="15"/>
  <c r="CH104" i="15"/>
  <c r="CI104" i="15"/>
  <c r="CJ104" i="15"/>
  <c r="CK104" i="15"/>
  <c r="CL104" i="15"/>
  <c r="CM104" i="15"/>
  <c r="CN104" i="15"/>
  <c r="CO104" i="15"/>
  <c r="CP104" i="15"/>
  <c r="CQ104" i="15"/>
  <c r="CR104" i="15"/>
  <c r="CS104" i="15"/>
  <c r="CT104" i="15"/>
  <c r="CU104" i="15"/>
  <c r="CV104" i="15"/>
  <c r="CW104" i="15"/>
  <c r="CX104" i="15"/>
  <c r="CY104" i="15"/>
  <c r="CB105" i="15"/>
  <c r="CC105" i="15"/>
  <c r="CD105" i="15"/>
  <c r="CE105" i="15"/>
  <c r="CF105" i="15"/>
  <c r="CG105" i="15"/>
  <c r="CH105" i="15"/>
  <c r="CI105" i="15"/>
  <c r="CJ105" i="15"/>
  <c r="CK105" i="15"/>
  <c r="CL105" i="15"/>
  <c r="CM105" i="15"/>
  <c r="CN105" i="15"/>
  <c r="CO105" i="15"/>
  <c r="CP105" i="15"/>
  <c r="CQ105" i="15"/>
  <c r="CR105" i="15"/>
  <c r="CS105" i="15"/>
  <c r="CT105" i="15"/>
  <c r="CU105" i="15"/>
  <c r="CV105" i="15"/>
  <c r="CW105" i="15"/>
  <c r="CX105" i="15"/>
  <c r="CY105" i="15"/>
  <c r="CB106" i="15"/>
  <c r="CC106" i="15"/>
  <c r="CD106" i="15"/>
  <c r="CE106" i="15"/>
  <c r="CF106" i="15"/>
  <c r="CG106" i="15"/>
  <c r="CH106" i="15"/>
  <c r="CI106" i="15"/>
  <c r="CJ106" i="15"/>
  <c r="CK106" i="15"/>
  <c r="CL106" i="15"/>
  <c r="CM106" i="15"/>
  <c r="CN106" i="15"/>
  <c r="CO106" i="15"/>
  <c r="CP106" i="15"/>
  <c r="CQ106" i="15"/>
  <c r="CR106" i="15"/>
  <c r="CS106" i="15"/>
  <c r="CT106" i="15"/>
  <c r="CU106" i="15"/>
  <c r="CV106" i="15"/>
  <c r="CW106" i="15"/>
  <c r="CX106" i="15"/>
  <c r="CY106" i="15"/>
  <c r="CB107" i="15"/>
  <c r="CC107" i="15"/>
  <c r="CD107" i="15"/>
  <c r="CE107" i="15"/>
  <c r="CF107" i="15"/>
  <c r="CG107" i="15"/>
  <c r="CH107" i="15"/>
  <c r="CI107" i="15"/>
  <c r="CJ107" i="15"/>
  <c r="CK107" i="15"/>
  <c r="CL107" i="15"/>
  <c r="CM107" i="15"/>
  <c r="CN107" i="15"/>
  <c r="CO107" i="15"/>
  <c r="CP107" i="15"/>
  <c r="CQ107" i="15"/>
  <c r="CR107" i="15"/>
  <c r="CS107" i="15"/>
  <c r="CT107" i="15"/>
  <c r="CU107" i="15"/>
  <c r="CV107" i="15"/>
  <c r="CW107" i="15"/>
  <c r="CX107" i="15"/>
  <c r="CY107" i="15"/>
  <c r="CB108" i="15"/>
  <c r="CC108" i="15"/>
  <c r="CD108" i="15"/>
  <c r="CE108" i="15"/>
  <c r="CF108" i="15"/>
  <c r="CG108" i="15"/>
  <c r="CH108" i="15"/>
  <c r="CI108" i="15"/>
  <c r="CJ108" i="15"/>
  <c r="CK108" i="15"/>
  <c r="CL108" i="15"/>
  <c r="CM108" i="15"/>
  <c r="CN108" i="15"/>
  <c r="CO108" i="15"/>
  <c r="CP108" i="15"/>
  <c r="CQ108" i="15"/>
  <c r="CR108" i="15"/>
  <c r="CS108" i="15"/>
  <c r="CT108" i="15"/>
  <c r="CU108" i="15"/>
  <c r="CV108" i="15"/>
  <c r="CW108" i="15"/>
  <c r="CX108" i="15"/>
  <c r="CY108" i="15"/>
  <c r="CB109" i="15"/>
  <c r="CC109" i="15"/>
  <c r="CD109" i="15"/>
  <c r="CE109" i="15"/>
  <c r="CF109" i="15"/>
  <c r="CG109" i="15"/>
  <c r="CH109" i="15"/>
  <c r="CI109" i="15"/>
  <c r="CJ109" i="15"/>
  <c r="CK109" i="15"/>
  <c r="CL109" i="15"/>
  <c r="CM109" i="15"/>
  <c r="CN109" i="15"/>
  <c r="CO109" i="15"/>
  <c r="CP109" i="15"/>
  <c r="CQ109" i="15"/>
  <c r="CR109" i="15"/>
  <c r="CS109" i="15"/>
  <c r="CT109" i="15"/>
  <c r="CU109" i="15"/>
  <c r="CV109" i="15"/>
  <c r="CW109" i="15"/>
  <c r="CX109" i="15"/>
  <c r="CY109" i="15"/>
  <c r="CB110" i="15"/>
  <c r="CC110" i="15"/>
  <c r="CD110" i="15"/>
  <c r="CE110" i="15"/>
  <c r="CF110" i="15"/>
  <c r="CG110" i="15"/>
  <c r="CH110" i="15"/>
  <c r="CI110" i="15"/>
  <c r="CJ110" i="15"/>
  <c r="CK110" i="15"/>
  <c r="CL110" i="15"/>
  <c r="CM110" i="15"/>
  <c r="CN110" i="15"/>
  <c r="CO110" i="15"/>
  <c r="CP110" i="15"/>
  <c r="CQ110" i="15"/>
  <c r="CR110" i="15"/>
  <c r="CS110" i="15"/>
  <c r="CT110" i="15"/>
  <c r="CU110" i="15"/>
  <c r="CV110" i="15"/>
  <c r="CW110" i="15"/>
  <c r="CX110" i="15"/>
  <c r="CY110" i="15"/>
  <c r="CB111" i="15"/>
  <c r="CC111" i="15"/>
  <c r="CD111" i="15"/>
  <c r="CE111" i="15"/>
  <c r="CF111" i="15"/>
  <c r="CG111" i="15"/>
  <c r="CH111" i="15"/>
  <c r="CI111" i="15"/>
  <c r="CJ111" i="15"/>
  <c r="CK111" i="15"/>
  <c r="CL111" i="15"/>
  <c r="CM111" i="15"/>
  <c r="CN111" i="15"/>
  <c r="CO111" i="15"/>
  <c r="CP111" i="15"/>
  <c r="CQ111" i="15"/>
  <c r="CR111" i="15"/>
  <c r="CS111" i="15"/>
  <c r="CT111" i="15"/>
  <c r="CU111" i="15"/>
  <c r="CV111" i="15"/>
  <c r="CW111" i="15"/>
  <c r="CX111" i="15"/>
  <c r="CY111"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B113" i="15"/>
  <c r="CC113" i="15"/>
  <c r="CD113" i="15"/>
  <c r="CE113" i="15"/>
  <c r="CF113" i="15"/>
  <c r="CG113" i="15"/>
  <c r="CH113" i="15"/>
  <c r="CI113" i="15"/>
  <c r="CJ113" i="15"/>
  <c r="CK113" i="15"/>
  <c r="CL113" i="15"/>
  <c r="CM113" i="15"/>
  <c r="CN113" i="15"/>
  <c r="CO113" i="15"/>
  <c r="CP113" i="15"/>
  <c r="CQ113" i="15"/>
  <c r="CR113" i="15"/>
  <c r="CS113" i="15"/>
  <c r="CT113" i="15"/>
  <c r="CU113" i="15"/>
  <c r="CV113" i="15"/>
  <c r="CW113" i="15"/>
  <c r="CX113" i="15"/>
  <c r="CY113" i="15"/>
  <c r="CB114" i="15"/>
  <c r="CC114" i="15"/>
  <c r="CD114" i="15"/>
  <c r="CE114" i="15"/>
  <c r="CF114" i="15"/>
  <c r="CG114" i="15"/>
  <c r="CH114" i="15"/>
  <c r="CI114" i="15"/>
  <c r="CJ114" i="15"/>
  <c r="CK114" i="15"/>
  <c r="CL114" i="15"/>
  <c r="CM114" i="15"/>
  <c r="CN114" i="15"/>
  <c r="CO114" i="15"/>
  <c r="CP114" i="15"/>
  <c r="CQ114" i="15"/>
  <c r="CR114" i="15"/>
  <c r="CS114" i="15"/>
  <c r="CT114" i="15"/>
  <c r="CU114" i="15"/>
  <c r="CV114" i="15"/>
  <c r="CW114" i="15"/>
  <c r="CX114" i="15"/>
  <c r="CY114" i="15"/>
  <c r="CB115" i="15"/>
  <c r="CC115" i="15"/>
  <c r="CD115" i="15"/>
  <c r="CE115" i="15"/>
  <c r="CF115" i="15"/>
  <c r="CG115" i="15"/>
  <c r="CH115" i="15"/>
  <c r="CI115" i="15"/>
  <c r="CJ115" i="15"/>
  <c r="CK115" i="15"/>
  <c r="CL115" i="15"/>
  <c r="CM115" i="15"/>
  <c r="CN115" i="15"/>
  <c r="CO115" i="15"/>
  <c r="CP115" i="15"/>
  <c r="CQ115" i="15"/>
  <c r="CR115" i="15"/>
  <c r="CS115" i="15"/>
  <c r="CT115" i="15"/>
  <c r="CU115" i="15"/>
  <c r="CV115" i="15"/>
  <c r="CW115" i="15"/>
  <c r="CX115" i="15"/>
  <c r="CY115" i="15"/>
  <c r="CB116" i="15"/>
  <c r="CC116" i="15"/>
  <c r="CD116" i="15"/>
  <c r="CE116" i="15"/>
  <c r="CF116" i="15"/>
  <c r="CG116" i="15"/>
  <c r="CH116" i="15"/>
  <c r="CI116" i="15"/>
  <c r="CJ116" i="15"/>
  <c r="CK116" i="15"/>
  <c r="CL116" i="15"/>
  <c r="CM116" i="15"/>
  <c r="CN116" i="15"/>
  <c r="CO116" i="15"/>
  <c r="CP116" i="15"/>
  <c r="CQ116" i="15"/>
  <c r="CR116" i="15"/>
  <c r="CS116" i="15"/>
  <c r="CT116" i="15"/>
  <c r="CU116" i="15"/>
  <c r="CV116" i="15"/>
  <c r="CW116" i="15"/>
  <c r="CX116" i="15"/>
  <c r="CY116" i="15"/>
  <c r="CB117" i="15"/>
  <c r="CC117" i="15"/>
  <c r="CD117" i="15"/>
  <c r="CE117" i="15"/>
  <c r="CF117" i="15"/>
  <c r="CG117" i="15"/>
  <c r="CH117" i="15"/>
  <c r="CI117" i="15"/>
  <c r="CJ117" i="15"/>
  <c r="CK117" i="15"/>
  <c r="CL117" i="15"/>
  <c r="CM117" i="15"/>
  <c r="CN117" i="15"/>
  <c r="CO117" i="15"/>
  <c r="CP117" i="15"/>
  <c r="CQ117" i="15"/>
  <c r="CR117" i="15"/>
  <c r="CS117" i="15"/>
  <c r="CT117" i="15"/>
  <c r="CU117" i="15"/>
  <c r="CV117" i="15"/>
  <c r="CW117" i="15"/>
  <c r="CX117" i="15"/>
  <c r="CY117" i="15"/>
  <c r="CB118" i="15"/>
  <c r="CC118" i="15"/>
  <c r="CD118" i="15"/>
  <c r="CE118" i="15"/>
  <c r="CF118" i="15"/>
  <c r="CG118" i="15"/>
  <c r="CH118" i="15"/>
  <c r="CI118" i="15"/>
  <c r="CJ118" i="15"/>
  <c r="CK118" i="15"/>
  <c r="CL118" i="15"/>
  <c r="CM118" i="15"/>
  <c r="CN118" i="15"/>
  <c r="CO118" i="15"/>
  <c r="CP118" i="15"/>
  <c r="CQ118" i="15"/>
  <c r="CR118" i="15"/>
  <c r="CS118" i="15"/>
  <c r="CT118" i="15"/>
  <c r="CU118" i="15"/>
  <c r="CV118" i="15"/>
  <c r="CW118" i="15"/>
  <c r="CX118" i="15"/>
  <c r="CY118" i="15"/>
  <c r="CB119" i="15"/>
  <c r="CC119" i="15"/>
  <c r="CD119" i="15"/>
  <c r="CE119" i="15"/>
  <c r="CF119" i="15"/>
  <c r="CG119" i="15"/>
  <c r="CH119" i="15"/>
  <c r="CI119" i="15"/>
  <c r="CJ119" i="15"/>
  <c r="CK119" i="15"/>
  <c r="CL119" i="15"/>
  <c r="CM119" i="15"/>
  <c r="CN119" i="15"/>
  <c r="CO119" i="15"/>
  <c r="CP119" i="15"/>
  <c r="CQ119" i="15"/>
  <c r="CR119" i="15"/>
  <c r="CS119" i="15"/>
  <c r="CT119" i="15"/>
  <c r="CU119" i="15"/>
  <c r="CV119" i="15"/>
  <c r="CW119" i="15"/>
  <c r="CX119" i="15"/>
  <c r="CY119" i="15"/>
  <c r="CB120" i="15"/>
  <c r="CC120" i="15"/>
  <c r="CD120" i="15"/>
  <c r="CE120" i="15"/>
  <c r="CF120" i="15"/>
  <c r="CG120" i="15"/>
  <c r="CH120" i="15"/>
  <c r="CI120" i="15"/>
  <c r="CJ120" i="15"/>
  <c r="CK120" i="15"/>
  <c r="CL120" i="15"/>
  <c r="CM120" i="15"/>
  <c r="CN120" i="15"/>
  <c r="CO120" i="15"/>
  <c r="CP120" i="15"/>
  <c r="CQ120" i="15"/>
  <c r="CR120" i="15"/>
  <c r="CS120" i="15"/>
  <c r="CT120" i="15"/>
  <c r="CU120" i="15"/>
  <c r="CV120" i="15"/>
  <c r="CW120" i="15"/>
  <c r="CX120" i="15"/>
  <c r="CY120" i="15"/>
  <c r="CB121" i="15"/>
  <c r="CC121" i="15"/>
  <c r="CD121" i="15"/>
  <c r="CE121" i="15"/>
  <c r="CF121" i="15"/>
  <c r="CG121" i="15"/>
  <c r="CH121" i="15"/>
  <c r="CI121" i="15"/>
  <c r="CJ121" i="15"/>
  <c r="CK121" i="15"/>
  <c r="CL121" i="15"/>
  <c r="CM121" i="15"/>
  <c r="CN121" i="15"/>
  <c r="CO121" i="15"/>
  <c r="CP121" i="15"/>
  <c r="CQ121" i="15"/>
  <c r="CR121" i="15"/>
  <c r="CS121" i="15"/>
  <c r="CT121" i="15"/>
  <c r="CU121" i="15"/>
  <c r="CV121" i="15"/>
  <c r="CW121" i="15"/>
  <c r="CX121" i="15"/>
  <c r="CY121" i="15"/>
  <c r="CB122" i="15"/>
  <c r="CC122" i="15"/>
  <c r="CD122" i="15"/>
  <c r="CE122" i="15"/>
  <c r="CF122" i="15"/>
  <c r="CG122" i="15"/>
  <c r="CH122" i="15"/>
  <c r="CI122" i="15"/>
  <c r="CJ122" i="15"/>
  <c r="CK122" i="15"/>
  <c r="CL122" i="15"/>
  <c r="CM122" i="15"/>
  <c r="CN122" i="15"/>
  <c r="CO122" i="15"/>
  <c r="CP122" i="15"/>
  <c r="CQ122" i="15"/>
  <c r="CR122" i="15"/>
  <c r="CS122" i="15"/>
  <c r="CT122" i="15"/>
  <c r="CU122" i="15"/>
  <c r="CV122" i="15"/>
  <c r="CW122" i="15"/>
  <c r="CX122" i="15"/>
  <c r="CY122" i="15"/>
  <c r="CB123" i="15"/>
  <c r="CC123" i="15"/>
  <c r="CD123" i="15"/>
  <c r="CE123" i="15"/>
  <c r="CF123" i="15"/>
  <c r="CG123" i="15"/>
  <c r="CH123" i="15"/>
  <c r="CI123" i="15"/>
  <c r="CJ123" i="15"/>
  <c r="CK123" i="15"/>
  <c r="CL123" i="15"/>
  <c r="CM123" i="15"/>
  <c r="CN123" i="15"/>
  <c r="CO123" i="15"/>
  <c r="CP123" i="15"/>
  <c r="CQ123" i="15"/>
  <c r="CR123" i="15"/>
  <c r="CS123" i="15"/>
  <c r="CT123" i="15"/>
  <c r="CU123" i="15"/>
  <c r="CV123" i="15"/>
  <c r="CW123" i="15"/>
  <c r="CX123" i="15"/>
  <c r="CY123" i="15"/>
  <c r="CB124" i="15"/>
  <c r="CC124" i="15"/>
  <c r="CD124" i="15"/>
  <c r="CE124" i="15"/>
  <c r="CF124" i="15"/>
  <c r="CG124" i="15"/>
  <c r="CH124" i="15"/>
  <c r="CI124" i="15"/>
  <c r="CJ124" i="15"/>
  <c r="CK124" i="15"/>
  <c r="CL124" i="15"/>
  <c r="CM124" i="15"/>
  <c r="CN124" i="15"/>
  <c r="CO124" i="15"/>
  <c r="CP124" i="15"/>
  <c r="CQ124" i="15"/>
  <c r="CR124" i="15"/>
  <c r="CS124" i="15"/>
  <c r="CT124" i="15"/>
  <c r="CU124" i="15"/>
  <c r="CV124" i="15"/>
  <c r="CW124" i="15"/>
  <c r="CX124" i="15"/>
  <c r="CY124" i="15"/>
  <c r="CB125" i="15"/>
  <c r="CC125" i="15"/>
  <c r="CD125" i="15"/>
  <c r="CE125" i="15"/>
  <c r="CF125" i="15"/>
  <c r="CG125" i="15"/>
  <c r="CH125" i="15"/>
  <c r="CI125" i="15"/>
  <c r="CJ125" i="15"/>
  <c r="CK125" i="15"/>
  <c r="CL125" i="15"/>
  <c r="CM125" i="15"/>
  <c r="CN125" i="15"/>
  <c r="CO125" i="15"/>
  <c r="CP125" i="15"/>
  <c r="CQ125" i="15"/>
  <c r="CR125" i="15"/>
  <c r="CS125" i="15"/>
  <c r="CT125" i="15"/>
  <c r="CU125" i="15"/>
  <c r="CV125" i="15"/>
  <c r="CW125" i="15"/>
  <c r="CX125" i="15"/>
  <c r="CY125" i="15"/>
  <c r="CB126" i="15"/>
  <c r="CC126" i="15"/>
  <c r="CD126" i="15"/>
  <c r="CE126" i="15"/>
  <c r="CF126" i="15"/>
  <c r="CG126" i="15"/>
  <c r="CH126" i="15"/>
  <c r="CI126" i="15"/>
  <c r="CJ126" i="15"/>
  <c r="CK126" i="15"/>
  <c r="CL126" i="15"/>
  <c r="CM126" i="15"/>
  <c r="CN126" i="15"/>
  <c r="CO126" i="15"/>
  <c r="CP126" i="15"/>
  <c r="CQ126" i="15"/>
  <c r="CR126" i="15"/>
  <c r="CS126" i="15"/>
  <c r="CT126" i="15"/>
  <c r="CU126" i="15"/>
  <c r="CV126" i="15"/>
  <c r="CW126" i="15"/>
  <c r="CX126" i="15"/>
  <c r="CY126" i="15"/>
  <c r="CB127" i="15"/>
  <c r="CC127" i="15"/>
  <c r="CD127" i="15"/>
  <c r="CE127" i="15"/>
  <c r="CF127" i="15"/>
  <c r="CG127" i="15"/>
  <c r="CH127" i="15"/>
  <c r="CI127" i="15"/>
  <c r="CJ127" i="15"/>
  <c r="CK127" i="15"/>
  <c r="CL127" i="15"/>
  <c r="CM127" i="15"/>
  <c r="CN127" i="15"/>
  <c r="CO127" i="15"/>
  <c r="CP127" i="15"/>
  <c r="CQ127" i="15"/>
  <c r="CR127" i="15"/>
  <c r="CS127" i="15"/>
  <c r="CT127" i="15"/>
  <c r="CU127" i="15"/>
  <c r="CV127" i="15"/>
  <c r="CW127" i="15"/>
  <c r="CX127" i="15"/>
  <c r="CY127" i="15"/>
  <c r="CB128" i="15"/>
  <c r="CC128" i="15"/>
  <c r="CD128" i="15"/>
  <c r="CE128" i="15"/>
  <c r="CF128" i="15"/>
  <c r="CG128" i="15"/>
  <c r="CH128" i="15"/>
  <c r="CI128" i="15"/>
  <c r="CJ128" i="15"/>
  <c r="CK128" i="15"/>
  <c r="CL128" i="15"/>
  <c r="CM128" i="15"/>
  <c r="CN128" i="15"/>
  <c r="CO128" i="15"/>
  <c r="CP128" i="15"/>
  <c r="CQ128" i="15"/>
  <c r="CR128" i="15"/>
  <c r="CS128" i="15"/>
  <c r="CT128" i="15"/>
  <c r="CU128" i="15"/>
  <c r="CV128" i="15"/>
  <c r="CW128" i="15"/>
  <c r="CX128" i="15"/>
  <c r="CY128" i="15"/>
  <c r="CB129" i="15"/>
  <c r="CC129" i="15"/>
  <c r="CD129" i="15"/>
  <c r="CE129" i="15"/>
  <c r="CF129" i="15"/>
  <c r="CG129" i="15"/>
  <c r="CH129" i="15"/>
  <c r="CI129" i="15"/>
  <c r="CJ129" i="15"/>
  <c r="CK129" i="15"/>
  <c r="CL129" i="15"/>
  <c r="CM129" i="15"/>
  <c r="CN129" i="15"/>
  <c r="CO129" i="15"/>
  <c r="CP129" i="15"/>
  <c r="CQ129" i="15"/>
  <c r="CR129" i="15"/>
  <c r="CS129" i="15"/>
  <c r="CT129" i="15"/>
  <c r="CU129" i="15"/>
  <c r="CV129" i="15"/>
  <c r="CW129" i="15"/>
  <c r="CX129" i="15"/>
  <c r="CY129" i="15"/>
  <c r="CB130" i="15"/>
  <c r="CC130" i="15"/>
  <c r="CD130" i="15"/>
  <c r="CE130" i="15"/>
  <c r="CF130" i="15"/>
  <c r="CG130" i="15"/>
  <c r="CH130" i="15"/>
  <c r="CI130" i="15"/>
  <c r="CJ130" i="15"/>
  <c r="CK130" i="15"/>
  <c r="CL130" i="15"/>
  <c r="CM130" i="15"/>
  <c r="CN130" i="15"/>
  <c r="CO130" i="15"/>
  <c r="CP130" i="15"/>
  <c r="CQ130" i="15"/>
  <c r="CR130" i="15"/>
  <c r="CS130" i="15"/>
  <c r="CT130" i="15"/>
  <c r="CU130" i="15"/>
  <c r="CV130" i="15"/>
  <c r="CW130" i="15"/>
  <c r="CX130" i="15"/>
  <c r="CY130" i="15"/>
  <c r="CB131" i="15"/>
  <c r="CC131" i="15"/>
  <c r="CD131" i="15"/>
  <c r="CE131" i="15"/>
  <c r="CF131" i="15"/>
  <c r="CG131" i="15"/>
  <c r="CH131" i="15"/>
  <c r="CI131" i="15"/>
  <c r="CJ131" i="15"/>
  <c r="CK131" i="15"/>
  <c r="CL131" i="15"/>
  <c r="CM131" i="15"/>
  <c r="CN131" i="15"/>
  <c r="CO131" i="15"/>
  <c r="CP131" i="15"/>
  <c r="CQ131" i="15"/>
  <c r="CR131" i="15"/>
  <c r="CS131" i="15"/>
  <c r="CT131" i="15"/>
  <c r="CU131" i="15"/>
  <c r="CV131" i="15"/>
  <c r="CW131" i="15"/>
  <c r="CX131" i="15"/>
  <c r="CY131" i="15"/>
  <c r="CB132" i="15"/>
  <c r="CC132" i="15"/>
  <c r="CD132" i="15"/>
  <c r="CE132" i="15"/>
  <c r="CF132" i="15"/>
  <c r="CG132" i="15"/>
  <c r="CH132" i="15"/>
  <c r="CI132" i="15"/>
  <c r="CJ132" i="15"/>
  <c r="CK132" i="15"/>
  <c r="CL132" i="15"/>
  <c r="CM132" i="15"/>
  <c r="CN132" i="15"/>
  <c r="CO132" i="15"/>
  <c r="CP132" i="15"/>
  <c r="CQ132" i="15"/>
  <c r="CR132" i="15"/>
  <c r="CS132" i="15"/>
  <c r="CT132" i="15"/>
  <c r="CU132" i="15"/>
  <c r="CV132" i="15"/>
  <c r="CW132" i="15"/>
  <c r="CX132" i="15"/>
  <c r="CY132" i="15"/>
  <c r="CB133" i="15"/>
  <c r="CC133" i="15"/>
  <c r="CD133" i="15"/>
  <c r="CE133" i="15"/>
  <c r="CF133" i="15"/>
  <c r="CG133" i="15"/>
  <c r="CH133" i="15"/>
  <c r="CI133" i="15"/>
  <c r="CJ133" i="15"/>
  <c r="CK133" i="15"/>
  <c r="CL133" i="15"/>
  <c r="CM133" i="15"/>
  <c r="CN133" i="15"/>
  <c r="CO133" i="15"/>
  <c r="CP133" i="15"/>
  <c r="CQ133" i="15"/>
  <c r="CR133" i="15"/>
  <c r="CS133" i="15"/>
  <c r="CT133" i="15"/>
  <c r="CU133" i="15"/>
  <c r="CV133" i="15"/>
  <c r="CW133" i="15"/>
  <c r="CX133" i="15"/>
  <c r="CY133" i="15"/>
  <c r="CB134" i="15"/>
  <c r="CC134" i="15"/>
  <c r="CD134" i="15"/>
  <c r="CE134" i="15"/>
  <c r="CF134" i="15"/>
  <c r="CG134" i="15"/>
  <c r="CH134" i="15"/>
  <c r="CI134" i="15"/>
  <c r="CJ134" i="15"/>
  <c r="CK134" i="15"/>
  <c r="CL134" i="15"/>
  <c r="CM134" i="15"/>
  <c r="CN134" i="15"/>
  <c r="CO134" i="15"/>
  <c r="CP134" i="15"/>
  <c r="CQ134" i="15"/>
  <c r="CR134" i="15"/>
  <c r="CS134" i="15"/>
  <c r="CT134" i="15"/>
  <c r="CU134" i="15"/>
  <c r="CV134" i="15"/>
  <c r="CW134" i="15"/>
  <c r="CX134" i="15"/>
  <c r="CY134" i="15"/>
  <c r="CB135" i="15"/>
  <c r="CC135" i="15"/>
  <c r="CD135" i="15"/>
  <c r="CE135" i="15"/>
  <c r="CF135" i="15"/>
  <c r="CG135" i="15"/>
  <c r="CH135" i="15"/>
  <c r="CI135" i="15"/>
  <c r="CJ135" i="15"/>
  <c r="CK135" i="15"/>
  <c r="CL135" i="15"/>
  <c r="CM135" i="15"/>
  <c r="CN135" i="15"/>
  <c r="CO135" i="15"/>
  <c r="CP135" i="15"/>
  <c r="CQ135" i="15"/>
  <c r="CR135" i="15"/>
  <c r="CS135" i="15"/>
  <c r="CT135" i="15"/>
  <c r="CU135" i="15"/>
  <c r="CV135" i="15"/>
  <c r="CW135" i="15"/>
  <c r="CX135" i="15"/>
  <c r="CY135" i="15"/>
  <c r="CB136" i="15"/>
  <c r="CC136" i="15"/>
  <c r="CD136" i="15"/>
  <c r="CE136" i="15"/>
  <c r="CF136" i="15"/>
  <c r="CG136" i="15"/>
  <c r="CH136" i="15"/>
  <c r="CI136" i="15"/>
  <c r="CJ136" i="15"/>
  <c r="CK136" i="15"/>
  <c r="CL136" i="15"/>
  <c r="CM136" i="15"/>
  <c r="CN136" i="15"/>
  <c r="CO136" i="15"/>
  <c r="CP136" i="15"/>
  <c r="CQ136" i="15"/>
  <c r="CR136" i="15"/>
  <c r="CS136" i="15"/>
  <c r="CT136" i="15"/>
  <c r="CU136" i="15"/>
  <c r="CV136" i="15"/>
  <c r="CW136" i="15"/>
  <c r="CX136" i="15"/>
  <c r="CY136" i="15"/>
  <c r="CB137" i="15"/>
  <c r="CC137" i="15"/>
  <c r="CD137" i="15"/>
  <c r="CE137" i="15"/>
  <c r="CF137" i="15"/>
  <c r="CG137" i="15"/>
  <c r="CH137" i="15"/>
  <c r="CI137" i="15"/>
  <c r="CJ137" i="15"/>
  <c r="CK137" i="15"/>
  <c r="CL137" i="15"/>
  <c r="CM137" i="15"/>
  <c r="CN137" i="15"/>
  <c r="CO137" i="15"/>
  <c r="CP137" i="15"/>
  <c r="CQ137" i="15"/>
  <c r="CR137" i="15"/>
  <c r="CS137" i="15"/>
  <c r="CT137" i="15"/>
  <c r="CU137" i="15"/>
  <c r="CV137" i="15"/>
  <c r="CW137" i="15"/>
  <c r="CX137" i="15"/>
  <c r="CY137" i="15"/>
  <c r="CB138" i="15"/>
  <c r="CC138" i="15"/>
  <c r="CD138" i="15"/>
  <c r="CE138" i="15"/>
  <c r="CF138" i="15"/>
  <c r="CG138" i="15"/>
  <c r="CH138" i="15"/>
  <c r="CI138" i="15"/>
  <c r="CJ138" i="15"/>
  <c r="CK138" i="15"/>
  <c r="CL138" i="15"/>
  <c r="CM138" i="15"/>
  <c r="CN138" i="15"/>
  <c r="CO138" i="15"/>
  <c r="CP138" i="15"/>
  <c r="CQ138" i="15"/>
  <c r="CR138" i="15"/>
  <c r="CS138" i="15"/>
  <c r="CT138" i="15"/>
  <c r="CU138" i="15"/>
  <c r="CV138" i="15"/>
  <c r="CW138" i="15"/>
  <c r="CX138" i="15"/>
  <c r="CY138" i="15"/>
  <c r="CB139" i="15"/>
  <c r="CC139" i="15"/>
  <c r="CD139" i="15"/>
  <c r="CE139" i="15"/>
  <c r="CF139" i="15"/>
  <c r="CG139" i="15"/>
  <c r="CH139" i="15"/>
  <c r="CI139" i="15"/>
  <c r="CJ139" i="15"/>
  <c r="CK139" i="15"/>
  <c r="CL139" i="15"/>
  <c r="CM139" i="15"/>
  <c r="CN139" i="15"/>
  <c r="CO139" i="15"/>
  <c r="CP139" i="15"/>
  <c r="CQ139" i="15"/>
  <c r="CR139" i="15"/>
  <c r="CS139" i="15"/>
  <c r="CT139" i="15"/>
  <c r="CU139" i="15"/>
  <c r="CV139" i="15"/>
  <c r="CW139" i="15"/>
  <c r="CX139" i="15"/>
  <c r="CY139" i="15"/>
  <c r="CB140" i="15"/>
  <c r="CC140" i="15"/>
  <c r="CD140" i="15"/>
  <c r="CE140" i="15"/>
  <c r="CF140" i="15"/>
  <c r="CG140" i="15"/>
  <c r="CH140" i="15"/>
  <c r="CI140" i="15"/>
  <c r="CJ140" i="15"/>
  <c r="CK140" i="15"/>
  <c r="CL140" i="15"/>
  <c r="CM140" i="15"/>
  <c r="CN140" i="15"/>
  <c r="CO140" i="15"/>
  <c r="CP140" i="15"/>
  <c r="CQ140" i="15"/>
  <c r="CR140" i="15"/>
  <c r="CS140" i="15"/>
  <c r="CT140" i="15"/>
  <c r="CU140" i="15"/>
  <c r="CV140" i="15"/>
  <c r="CW140" i="15"/>
  <c r="CX140" i="15"/>
  <c r="CY140" i="15"/>
  <c r="CB141" i="15"/>
  <c r="CC141" i="15"/>
  <c r="CD141" i="15"/>
  <c r="CE141" i="15"/>
  <c r="CF141" i="15"/>
  <c r="CG141" i="15"/>
  <c r="CH141" i="15"/>
  <c r="CI141" i="15"/>
  <c r="CJ141" i="15"/>
  <c r="CK141" i="15"/>
  <c r="CL141" i="15"/>
  <c r="CM141" i="15"/>
  <c r="CN141" i="15"/>
  <c r="CO141" i="15"/>
  <c r="CP141" i="15"/>
  <c r="CQ141" i="15"/>
  <c r="CR141" i="15"/>
  <c r="CS141" i="15"/>
  <c r="CT141" i="15"/>
  <c r="CU141" i="15"/>
  <c r="CV141" i="15"/>
  <c r="CW141" i="15"/>
  <c r="CX141" i="15"/>
  <c r="CY141" i="15"/>
  <c r="CB142" i="15"/>
  <c r="CC142" i="15"/>
  <c r="CD142" i="15"/>
  <c r="CE142" i="15"/>
  <c r="CF142" i="15"/>
  <c r="CG142" i="15"/>
  <c r="CH142" i="15"/>
  <c r="CI142" i="15"/>
  <c r="CJ142" i="15"/>
  <c r="CK142" i="15"/>
  <c r="CL142" i="15"/>
  <c r="CM142" i="15"/>
  <c r="CN142" i="15"/>
  <c r="CO142" i="15"/>
  <c r="CP142" i="15"/>
  <c r="CQ142" i="15"/>
  <c r="CR142" i="15"/>
  <c r="CS142" i="15"/>
  <c r="CT142" i="15"/>
  <c r="CU142" i="15"/>
  <c r="CV142" i="15"/>
  <c r="CW142" i="15"/>
  <c r="CX142" i="15"/>
  <c r="CY142" i="15"/>
  <c r="CB143" i="15"/>
  <c r="CC143" i="15"/>
  <c r="CD143" i="15"/>
  <c r="CE143" i="15"/>
  <c r="CF143" i="15"/>
  <c r="CG143" i="15"/>
  <c r="CH143" i="15"/>
  <c r="CI143" i="15"/>
  <c r="CJ143" i="15"/>
  <c r="CK143" i="15"/>
  <c r="CL143" i="15"/>
  <c r="CM143" i="15"/>
  <c r="CN143" i="15"/>
  <c r="CO143" i="15"/>
  <c r="CP143" i="15"/>
  <c r="CQ143" i="15"/>
  <c r="CR143" i="15"/>
  <c r="CS143" i="15"/>
  <c r="CT143" i="15"/>
  <c r="CU143" i="15"/>
  <c r="CV143" i="15"/>
  <c r="CW143" i="15"/>
  <c r="CX143" i="15"/>
  <c r="CY143" i="15"/>
  <c r="CB144" i="15"/>
  <c r="CC144" i="15"/>
  <c r="CD144" i="15"/>
  <c r="CE144" i="15"/>
  <c r="CF144" i="15"/>
  <c r="CG144" i="15"/>
  <c r="CH144" i="15"/>
  <c r="CI144" i="15"/>
  <c r="CJ144" i="15"/>
  <c r="CK144" i="15"/>
  <c r="CL144" i="15"/>
  <c r="CM144" i="15"/>
  <c r="CN144" i="15"/>
  <c r="CO144" i="15"/>
  <c r="CP144" i="15"/>
  <c r="CQ144" i="15"/>
  <c r="CR144" i="15"/>
  <c r="CS144" i="15"/>
  <c r="CT144" i="15"/>
  <c r="CU144" i="15"/>
  <c r="CV144" i="15"/>
  <c r="CW144" i="15"/>
  <c r="CX144" i="15"/>
  <c r="CY144" i="15"/>
  <c r="CB145" i="15"/>
  <c r="CC145" i="15"/>
  <c r="CD145" i="15"/>
  <c r="CE145" i="15"/>
  <c r="CF145" i="15"/>
  <c r="CG145" i="15"/>
  <c r="CH145" i="15"/>
  <c r="CI145" i="15"/>
  <c r="CJ145" i="15"/>
  <c r="CK145" i="15"/>
  <c r="CL145" i="15"/>
  <c r="CM145" i="15"/>
  <c r="CN145" i="15"/>
  <c r="CO145" i="15"/>
  <c r="CP145" i="15"/>
  <c r="CQ145" i="15"/>
  <c r="CR145" i="15"/>
  <c r="CS145" i="15"/>
  <c r="CT145" i="15"/>
  <c r="CU145" i="15"/>
  <c r="CV145" i="15"/>
  <c r="CW145" i="15"/>
  <c r="CX145" i="15"/>
  <c r="CY145" i="15"/>
  <c r="CB146" i="15"/>
  <c r="CC146" i="15"/>
  <c r="CD146" i="15"/>
  <c r="CE146" i="15"/>
  <c r="CF146" i="15"/>
  <c r="CG146" i="15"/>
  <c r="CH146" i="15"/>
  <c r="CI146" i="15"/>
  <c r="CJ146" i="15"/>
  <c r="CK146" i="15"/>
  <c r="CL146" i="15"/>
  <c r="CM146" i="15"/>
  <c r="CN146" i="15"/>
  <c r="CO146" i="15"/>
  <c r="CP146" i="15"/>
  <c r="CQ146" i="15"/>
  <c r="CR146" i="15"/>
  <c r="CS146" i="15"/>
  <c r="CT146" i="15"/>
  <c r="CU146" i="15"/>
  <c r="CV146" i="15"/>
  <c r="CW146" i="15"/>
  <c r="CX146" i="15"/>
  <c r="CY146" i="15"/>
  <c r="CB147" i="15"/>
  <c r="CC147" i="15"/>
  <c r="CD147" i="15"/>
  <c r="CE147" i="15"/>
  <c r="CF147" i="15"/>
  <c r="CG147" i="15"/>
  <c r="CH147" i="15"/>
  <c r="CI147" i="15"/>
  <c r="CJ147" i="15"/>
  <c r="CK147" i="15"/>
  <c r="CL147" i="15"/>
  <c r="CM147" i="15"/>
  <c r="CN147" i="15"/>
  <c r="CO147" i="15"/>
  <c r="CP147" i="15"/>
  <c r="CQ147" i="15"/>
  <c r="CR147" i="15"/>
  <c r="CS147" i="15"/>
  <c r="CT147" i="15"/>
  <c r="CU147" i="15"/>
  <c r="CV147" i="15"/>
  <c r="CW147" i="15"/>
  <c r="CX147" i="15"/>
  <c r="CY147" i="15"/>
  <c r="CB148" i="15"/>
  <c r="CC148" i="15"/>
  <c r="CD148" i="15"/>
  <c r="CE148" i="15"/>
  <c r="CF148" i="15"/>
  <c r="CG148" i="15"/>
  <c r="CH148" i="15"/>
  <c r="CI148" i="15"/>
  <c r="CJ148" i="15"/>
  <c r="CK148" i="15"/>
  <c r="CL148" i="15"/>
  <c r="CM148" i="15"/>
  <c r="CN148" i="15"/>
  <c r="CO148" i="15"/>
  <c r="CP148" i="15"/>
  <c r="CQ148" i="15"/>
  <c r="CR148" i="15"/>
  <c r="CS148" i="15"/>
  <c r="CT148" i="15"/>
  <c r="CU148" i="15"/>
  <c r="CV148" i="15"/>
  <c r="CW148" i="15"/>
  <c r="CX148" i="15"/>
  <c r="CY148" i="15"/>
  <c r="CB149" i="15"/>
  <c r="CC149" i="15"/>
  <c r="CD149" i="15"/>
  <c r="CE149" i="15"/>
  <c r="CF149" i="15"/>
  <c r="CG149" i="15"/>
  <c r="CH149" i="15"/>
  <c r="CI149" i="15"/>
  <c r="CJ149" i="15"/>
  <c r="CK149" i="15"/>
  <c r="CL149" i="15"/>
  <c r="CM149" i="15"/>
  <c r="CN149" i="15"/>
  <c r="CO149" i="15"/>
  <c r="CP149" i="15"/>
  <c r="CQ149" i="15"/>
  <c r="CR149" i="15"/>
  <c r="CS149" i="15"/>
  <c r="CT149" i="15"/>
  <c r="CU149" i="15"/>
  <c r="CV149" i="15"/>
  <c r="CW149" i="15"/>
  <c r="CX149" i="15"/>
  <c r="CY149" i="15"/>
  <c r="CB150" i="15"/>
  <c r="CC150" i="15"/>
  <c r="CD150" i="15"/>
  <c r="CE150" i="15"/>
  <c r="CF150" i="15"/>
  <c r="CG150" i="15"/>
  <c r="CH150" i="15"/>
  <c r="CI150" i="15"/>
  <c r="CJ150" i="15"/>
  <c r="CK150" i="15"/>
  <c r="CL150" i="15"/>
  <c r="CM150" i="15"/>
  <c r="CN150" i="15"/>
  <c r="CO150" i="15"/>
  <c r="CP150" i="15"/>
  <c r="CQ150" i="15"/>
  <c r="CR150" i="15"/>
  <c r="CS150" i="15"/>
  <c r="CT150" i="15"/>
  <c r="CU150" i="15"/>
  <c r="CV150" i="15"/>
  <c r="CW150" i="15"/>
  <c r="CX150" i="15"/>
  <c r="CY150" i="15"/>
  <c r="CB151" i="15"/>
  <c r="CC151" i="15"/>
  <c r="CD151" i="15"/>
  <c r="CE151" i="15"/>
  <c r="CF151" i="15"/>
  <c r="CG151" i="15"/>
  <c r="CH151" i="15"/>
  <c r="CI151" i="15"/>
  <c r="CJ151" i="15"/>
  <c r="CK151" i="15"/>
  <c r="CL151" i="15"/>
  <c r="CM151" i="15"/>
  <c r="CN151" i="15"/>
  <c r="CO151" i="15"/>
  <c r="CP151" i="15"/>
  <c r="CQ151" i="15"/>
  <c r="CR151" i="15"/>
  <c r="CS151" i="15"/>
  <c r="CT151" i="15"/>
  <c r="CU151" i="15"/>
  <c r="CV151" i="15"/>
  <c r="CW151" i="15"/>
  <c r="CX151" i="15"/>
  <c r="CY151" i="15"/>
  <c r="CB152" i="15"/>
  <c r="CC152" i="15"/>
  <c r="CD152" i="15"/>
  <c r="CE152" i="15"/>
  <c r="CF152" i="15"/>
  <c r="CG152" i="15"/>
  <c r="CH152" i="15"/>
  <c r="CI152" i="15"/>
  <c r="CJ152" i="15"/>
  <c r="CK152" i="15"/>
  <c r="CL152" i="15"/>
  <c r="CM152" i="15"/>
  <c r="CN152" i="15"/>
  <c r="CO152" i="15"/>
  <c r="CP152" i="15"/>
  <c r="CQ152" i="15"/>
  <c r="CR152" i="15"/>
  <c r="CS152" i="15"/>
  <c r="CT152" i="15"/>
  <c r="CU152" i="15"/>
  <c r="CV152" i="15"/>
  <c r="CW152" i="15"/>
  <c r="CX152" i="15"/>
  <c r="CY152" i="15"/>
  <c r="CB153" i="15"/>
  <c r="CC153" i="15"/>
  <c r="CD153" i="15"/>
  <c r="CE153" i="15"/>
  <c r="CF153" i="15"/>
  <c r="CG153" i="15"/>
  <c r="CH153" i="15"/>
  <c r="CI153" i="15"/>
  <c r="CJ153" i="15"/>
  <c r="CK153" i="15"/>
  <c r="CL153" i="15"/>
  <c r="CM153" i="15"/>
  <c r="CN153" i="15"/>
  <c r="CO153" i="15"/>
  <c r="CP153" i="15"/>
  <c r="CQ153" i="15"/>
  <c r="CR153" i="15"/>
  <c r="CS153" i="15"/>
  <c r="CT153" i="15"/>
  <c r="CU153" i="15"/>
  <c r="CV153" i="15"/>
  <c r="CW153" i="15"/>
  <c r="CX153" i="15"/>
  <c r="CY153" i="15"/>
  <c r="CB154" i="15"/>
  <c r="CC154" i="15"/>
  <c r="CD154" i="15"/>
  <c r="CE154" i="15"/>
  <c r="CF154" i="15"/>
  <c r="CG154" i="15"/>
  <c r="CH154" i="15"/>
  <c r="CI154" i="15"/>
  <c r="CJ154" i="15"/>
  <c r="CK154" i="15"/>
  <c r="CL154" i="15"/>
  <c r="CM154" i="15"/>
  <c r="CN154" i="15"/>
  <c r="CO154" i="15"/>
  <c r="CP154" i="15"/>
  <c r="CQ154" i="15"/>
  <c r="CR154" i="15"/>
  <c r="CS154" i="15"/>
  <c r="CT154" i="15"/>
  <c r="CU154" i="15"/>
  <c r="CV154" i="15"/>
  <c r="CW154" i="15"/>
  <c r="CX154" i="15"/>
  <c r="CY154" i="15"/>
  <c r="CB155" i="15"/>
  <c r="CC155" i="15"/>
  <c r="CD155" i="15"/>
  <c r="CE155" i="15"/>
  <c r="CF155" i="15"/>
  <c r="CG155" i="15"/>
  <c r="CH155" i="15"/>
  <c r="CI155" i="15"/>
  <c r="CJ155" i="15"/>
  <c r="CK155" i="15"/>
  <c r="CL155" i="15"/>
  <c r="CM155" i="15"/>
  <c r="CN155" i="15"/>
  <c r="CO155" i="15"/>
  <c r="CP155" i="15"/>
  <c r="CQ155" i="15"/>
  <c r="CR155" i="15"/>
  <c r="CS155" i="15"/>
  <c r="CT155" i="15"/>
  <c r="CU155" i="15"/>
  <c r="CV155" i="15"/>
  <c r="CW155" i="15"/>
  <c r="CX155" i="15"/>
  <c r="CY155" i="15"/>
  <c r="CB156" i="15"/>
  <c r="CC156" i="15"/>
  <c r="CD156" i="15"/>
  <c r="CE156" i="15"/>
  <c r="CF156" i="15"/>
  <c r="CG156" i="15"/>
  <c r="CH156" i="15"/>
  <c r="CI156" i="15"/>
  <c r="CJ156" i="15"/>
  <c r="CK156" i="15"/>
  <c r="CL156" i="15"/>
  <c r="CM156" i="15"/>
  <c r="CN156" i="15"/>
  <c r="CO156" i="15"/>
  <c r="CP156" i="15"/>
  <c r="CQ156" i="15"/>
  <c r="CR156" i="15"/>
  <c r="CS156" i="15"/>
  <c r="CT156" i="15"/>
  <c r="CU156" i="15"/>
  <c r="CV156" i="15"/>
  <c r="CW156" i="15"/>
  <c r="CX156" i="15"/>
  <c r="CY156" i="15"/>
  <c r="CB157" i="15"/>
  <c r="CC157" i="15"/>
  <c r="CD157" i="15"/>
  <c r="CE157" i="15"/>
  <c r="CF157" i="15"/>
  <c r="CG157" i="15"/>
  <c r="CH157" i="15"/>
  <c r="CI157" i="15"/>
  <c r="CJ157" i="15"/>
  <c r="CK157" i="15"/>
  <c r="CL157" i="15"/>
  <c r="CM157" i="15"/>
  <c r="CN157" i="15"/>
  <c r="CO157" i="15"/>
  <c r="CP157" i="15"/>
  <c r="CQ157" i="15"/>
  <c r="CR157" i="15"/>
  <c r="CS157" i="15"/>
  <c r="CT157" i="15"/>
  <c r="CU157" i="15"/>
  <c r="CV157" i="15"/>
  <c r="CW157" i="15"/>
  <c r="CX157" i="15"/>
  <c r="CY157" i="15"/>
  <c r="CB158" i="15"/>
  <c r="CC158" i="15"/>
  <c r="CD158" i="15"/>
  <c r="CE158" i="15"/>
  <c r="CF158" i="15"/>
  <c r="CG158" i="15"/>
  <c r="CH158" i="15"/>
  <c r="CI158" i="15"/>
  <c r="CJ158" i="15"/>
  <c r="CK158" i="15"/>
  <c r="CL158" i="15"/>
  <c r="CM158" i="15"/>
  <c r="CN158" i="15"/>
  <c r="CO158" i="15"/>
  <c r="CP158" i="15"/>
  <c r="CQ158" i="15"/>
  <c r="CR158" i="15"/>
  <c r="CS158" i="15"/>
  <c r="CT158" i="15"/>
  <c r="CU158" i="15"/>
  <c r="CV158" i="15"/>
  <c r="CW158" i="15"/>
  <c r="CX158" i="15"/>
  <c r="CY158" i="15"/>
  <c r="CB159" i="15"/>
  <c r="CC159" i="15"/>
  <c r="CD159" i="15"/>
  <c r="CE159" i="15"/>
  <c r="CF159" i="15"/>
  <c r="CG159" i="15"/>
  <c r="CH159" i="15"/>
  <c r="CI159" i="15"/>
  <c r="CJ159" i="15"/>
  <c r="CK159" i="15"/>
  <c r="CL159" i="15"/>
  <c r="CM159" i="15"/>
  <c r="CN159" i="15"/>
  <c r="CO159" i="15"/>
  <c r="CP159" i="15"/>
  <c r="CQ159" i="15"/>
  <c r="CR159" i="15"/>
  <c r="CS159" i="15"/>
  <c r="CT159" i="15"/>
  <c r="CU159" i="15"/>
  <c r="CV159" i="15"/>
  <c r="CW159" i="15"/>
  <c r="CX159" i="15"/>
  <c r="CY159" i="15"/>
  <c r="CB160" i="15"/>
  <c r="CC160" i="15"/>
  <c r="CD160" i="15"/>
  <c r="CE160" i="15"/>
  <c r="CF160" i="15"/>
  <c r="CG160" i="15"/>
  <c r="CH160" i="15"/>
  <c r="CI160" i="15"/>
  <c r="CJ160" i="15"/>
  <c r="CK160" i="15"/>
  <c r="CL160" i="15"/>
  <c r="CM160" i="15"/>
  <c r="CN160" i="15"/>
  <c r="CO160" i="15"/>
  <c r="CP160" i="15"/>
  <c r="CQ160" i="15"/>
  <c r="CR160" i="15"/>
  <c r="CS160" i="15"/>
  <c r="CT160" i="15"/>
  <c r="CU160" i="15"/>
  <c r="CV160" i="15"/>
  <c r="CW160" i="15"/>
  <c r="CX160" i="15"/>
  <c r="CY160" i="15"/>
  <c r="CB161" i="15"/>
  <c r="CC161" i="15"/>
  <c r="CD161" i="15"/>
  <c r="CE161" i="15"/>
  <c r="CF161" i="15"/>
  <c r="CG161" i="15"/>
  <c r="CH161" i="15"/>
  <c r="CI161" i="15"/>
  <c r="CJ161" i="15"/>
  <c r="CK161" i="15"/>
  <c r="CL161" i="15"/>
  <c r="CM161" i="15"/>
  <c r="CN161" i="15"/>
  <c r="CO161" i="15"/>
  <c r="CP161" i="15"/>
  <c r="CQ161" i="15"/>
  <c r="CR161" i="15"/>
  <c r="CS161" i="15"/>
  <c r="CT161" i="15"/>
  <c r="CU161" i="15"/>
  <c r="CV161" i="15"/>
  <c r="CW161" i="15"/>
  <c r="CX161" i="15"/>
  <c r="CY161" i="15"/>
  <c r="CB162" i="15"/>
  <c r="CC162" i="15"/>
  <c r="CD162" i="15"/>
  <c r="CE162" i="15"/>
  <c r="CF162" i="15"/>
  <c r="CG162" i="15"/>
  <c r="CH162" i="15"/>
  <c r="CI162" i="15"/>
  <c r="CJ162" i="15"/>
  <c r="CK162" i="15"/>
  <c r="CL162" i="15"/>
  <c r="CM162" i="15"/>
  <c r="CN162" i="15"/>
  <c r="CO162" i="15"/>
  <c r="CP162" i="15"/>
  <c r="CQ162" i="15"/>
  <c r="CR162" i="15"/>
  <c r="CS162" i="15"/>
  <c r="CT162" i="15"/>
  <c r="CU162" i="15"/>
  <c r="CV162" i="15"/>
  <c r="CW162" i="15"/>
  <c r="CX162" i="15"/>
  <c r="CY162" i="15"/>
  <c r="CB163" i="15"/>
  <c r="CC163" i="15"/>
  <c r="CD163" i="15"/>
  <c r="CE163" i="15"/>
  <c r="CF163" i="15"/>
  <c r="CG163" i="15"/>
  <c r="CH163" i="15"/>
  <c r="CI163" i="15"/>
  <c r="CJ163" i="15"/>
  <c r="CK163" i="15"/>
  <c r="CL163" i="15"/>
  <c r="CM163" i="15"/>
  <c r="CN163" i="15"/>
  <c r="CO163" i="15"/>
  <c r="CP163" i="15"/>
  <c r="CQ163" i="15"/>
  <c r="CR163" i="15"/>
  <c r="CS163" i="15"/>
  <c r="CT163" i="15"/>
  <c r="CU163" i="15"/>
  <c r="CV163" i="15"/>
  <c r="CW163" i="15"/>
  <c r="CX163" i="15"/>
  <c r="CY163" i="15"/>
  <c r="CB164" i="15"/>
  <c r="CC164" i="15"/>
  <c r="CD164" i="15"/>
  <c r="CE164" i="15"/>
  <c r="CF164" i="15"/>
  <c r="CG164" i="15"/>
  <c r="CH164" i="15"/>
  <c r="CI164" i="15"/>
  <c r="CJ164" i="15"/>
  <c r="CK164" i="15"/>
  <c r="CL164" i="15"/>
  <c r="CM164" i="15"/>
  <c r="CN164" i="15"/>
  <c r="CO164" i="15"/>
  <c r="CP164" i="15"/>
  <c r="CQ164" i="15"/>
  <c r="CR164" i="15"/>
  <c r="CS164" i="15"/>
  <c r="CT164" i="15"/>
  <c r="CU164" i="15"/>
  <c r="CV164" i="15"/>
  <c r="CW164" i="15"/>
  <c r="CX164" i="15"/>
  <c r="CY164" i="15"/>
  <c r="CB165" i="15"/>
  <c r="CC165" i="15"/>
  <c r="CD165" i="15"/>
  <c r="CE165" i="15"/>
  <c r="CF165" i="15"/>
  <c r="CG165" i="15"/>
  <c r="CH165" i="15"/>
  <c r="CI165" i="15"/>
  <c r="CJ165" i="15"/>
  <c r="CK165" i="15"/>
  <c r="CL165" i="15"/>
  <c r="CM165" i="15"/>
  <c r="CN165" i="15"/>
  <c r="CO165" i="15"/>
  <c r="CP165" i="15"/>
  <c r="CQ165" i="15"/>
  <c r="CR165" i="15"/>
  <c r="CS165" i="15"/>
  <c r="CT165" i="15"/>
  <c r="CU165" i="15"/>
  <c r="CV165" i="15"/>
  <c r="CW165" i="15"/>
  <c r="CX165" i="15"/>
  <c r="CY165" i="15"/>
  <c r="CB166" i="15"/>
  <c r="CC166" i="15"/>
  <c r="CD166" i="15"/>
  <c r="CE166" i="15"/>
  <c r="CF166" i="15"/>
  <c r="CG166" i="15"/>
  <c r="CH166" i="15"/>
  <c r="CI166" i="15"/>
  <c r="CJ166" i="15"/>
  <c r="CK166" i="15"/>
  <c r="CL166" i="15"/>
  <c r="CM166" i="15"/>
  <c r="CN166" i="15"/>
  <c r="CO166" i="15"/>
  <c r="CP166" i="15"/>
  <c r="CQ166" i="15"/>
  <c r="CR166" i="15"/>
  <c r="CS166" i="15"/>
  <c r="CT166" i="15"/>
  <c r="CU166" i="15"/>
  <c r="CV166" i="15"/>
  <c r="CW166" i="15"/>
  <c r="CX166" i="15"/>
  <c r="CY166" i="15"/>
  <c r="CB167" i="15"/>
  <c r="CC167" i="15"/>
  <c r="CD167" i="15"/>
  <c r="CE167" i="15"/>
  <c r="CF167" i="15"/>
  <c r="CG167" i="15"/>
  <c r="CH167" i="15"/>
  <c r="CI167" i="15"/>
  <c r="CJ167" i="15"/>
  <c r="CK167" i="15"/>
  <c r="CL167" i="15"/>
  <c r="CM167" i="15"/>
  <c r="CN167" i="15"/>
  <c r="CO167" i="15"/>
  <c r="CP167" i="15"/>
  <c r="CQ167" i="15"/>
  <c r="CR167" i="15"/>
  <c r="CS167" i="15"/>
  <c r="CT167" i="15"/>
  <c r="CU167" i="15"/>
  <c r="CV167" i="15"/>
  <c r="CW167" i="15"/>
  <c r="CX167" i="15"/>
  <c r="CY167" i="15"/>
  <c r="CB168" i="15"/>
  <c r="CC168" i="15"/>
  <c r="CD168" i="15"/>
  <c r="CE168" i="15"/>
  <c r="CF168" i="15"/>
  <c r="CG168" i="15"/>
  <c r="CH168" i="15"/>
  <c r="CI168" i="15"/>
  <c r="CJ168" i="15"/>
  <c r="CK168" i="15"/>
  <c r="CL168" i="15"/>
  <c r="CM168" i="15"/>
  <c r="CN168" i="15"/>
  <c r="CO168" i="15"/>
  <c r="CP168" i="15"/>
  <c r="CQ168" i="15"/>
  <c r="CR168" i="15"/>
  <c r="CS168" i="15"/>
  <c r="CT168" i="15"/>
  <c r="CU168" i="15"/>
  <c r="CV168" i="15"/>
  <c r="CW168" i="15"/>
  <c r="CX168" i="15"/>
  <c r="CY168" i="15"/>
  <c r="CB169" i="15"/>
  <c r="CC169" i="15"/>
  <c r="CD169" i="15"/>
  <c r="CE169" i="15"/>
  <c r="CF169" i="15"/>
  <c r="CG169" i="15"/>
  <c r="CH169" i="15"/>
  <c r="CI169" i="15"/>
  <c r="CJ169" i="15"/>
  <c r="CK169" i="15"/>
  <c r="CL169" i="15"/>
  <c r="CM169" i="15"/>
  <c r="CN169" i="15"/>
  <c r="CO169" i="15"/>
  <c r="CP169" i="15"/>
  <c r="CQ169" i="15"/>
  <c r="CR169" i="15"/>
  <c r="CS169" i="15"/>
  <c r="CT169" i="15"/>
  <c r="CU169" i="15"/>
  <c r="CV169" i="15"/>
  <c r="CW169" i="15"/>
  <c r="CX169" i="15"/>
  <c r="CY169" i="15"/>
  <c r="CB170" i="15"/>
  <c r="CC170" i="15"/>
  <c r="CD170" i="15"/>
  <c r="CE170" i="15"/>
  <c r="CF170" i="15"/>
  <c r="CG170" i="15"/>
  <c r="CH170" i="15"/>
  <c r="CI170" i="15"/>
  <c r="CJ170" i="15"/>
  <c r="CK170" i="15"/>
  <c r="CL170" i="15"/>
  <c r="CM170" i="15"/>
  <c r="CN170" i="15"/>
  <c r="CO170" i="15"/>
  <c r="CP170" i="15"/>
  <c r="CQ170" i="15"/>
  <c r="CR170" i="15"/>
  <c r="CS170" i="15"/>
  <c r="CT170" i="15"/>
  <c r="CU170" i="15"/>
  <c r="CV170" i="15"/>
  <c r="CW170" i="15"/>
  <c r="CX170" i="15"/>
  <c r="CY170" i="15"/>
  <c r="CB171" i="15"/>
  <c r="CC171" i="15"/>
  <c r="CD171" i="15"/>
  <c r="CE171" i="15"/>
  <c r="CF171" i="15"/>
  <c r="CG171" i="15"/>
  <c r="CH171" i="15"/>
  <c r="CI171" i="15"/>
  <c r="CJ171" i="15"/>
  <c r="CK171" i="15"/>
  <c r="CL171" i="15"/>
  <c r="CM171" i="15"/>
  <c r="CN171" i="15"/>
  <c r="CO171" i="15"/>
  <c r="CP171" i="15"/>
  <c r="CQ171" i="15"/>
  <c r="CR171" i="15"/>
  <c r="CS171" i="15"/>
  <c r="CT171" i="15"/>
  <c r="CU171" i="15"/>
  <c r="CV171" i="15"/>
  <c r="CW171" i="15"/>
  <c r="CX171" i="15"/>
  <c r="CY171" i="15"/>
  <c r="CB172" i="15"/>
  <c r="CC172" i="15"/>
  <c r="CD172" i="15"/>
  <c r="CE172" i="15"/>
  <c r="CF172" i="15"/>
  <c r="CG172" i="15"/>
  <c r="CH172" i="15"/>
  <c r="CI172" i="15"/>
  <c r="CJ172" i="15"/>
  <c r="CK172" i="15"/>
  <c r="CL172" i="15"/>
  <c r="CM172" i="15"/>
  <c r="CN172" i="15"/>
  <c r="CO172" i="15"/>
  <c r="CP172" i="15"/>
  <c r="CQ172" i="15"/>
  <c r="CR172" i="15"/>
  <c r="CS172" i="15"/>
  <c r="CT172" i="15"/>
  <c r="CU172" i="15"/>
  <c r="CV172" i="15"/>
  <c r="CW172" i="15"/>
  <c r="CX172" i="15"/>
  <c r="CY172" i="15"/>
  <c r="CB173" i="15"/>
  <c r="CC173" i="15"/>
  <c r="CD173" i="15"/>
  <c r="CE173" i="15"/>
  <c r="CF173" i="15"/>
  <c r="CG173" i="15"/>
  <c r="CH173" i="15"/>
  <c r="CI173" i="15"/>
  <c r="CJ173" i="15"/>
  <c r="CK173" i="15"/>
  <c r="CL173" i="15"/>
  <c r="CM173" i="15"/>
  <c r="CN173" i="15"/>
  <c r="CO173" i="15"/>
  <c r="CP173" i="15"/>
  <c r="CQ173" i="15"/>
  <c r="CR173" i="15"/>
  <c r="CS173" i="15"/>
  <c r="CT173" i="15"/>
  <c r="CU173" i="15"/>
  <c r="CV173" i="15"/>
  <c r="CW173" i="15"/>
  <c r="CX173" i="15"/>
  <c r="CY173" i="15"/>
  <c r="CB174" i="15"/>
  <c r="CC174" i="15"/>
  <c r="CD174" i="15"/>
  <c r="CE174" i="15"/>
  <c r="CF174" i="15"/>
  <c r="CG174" i="15"/>
  <c r="CH174" i="15"/>
  <c r="CI174" i="15"/>
  <c r="CJ174" i="15"/>
  <c r="CK174" i="15"/>
  <c r="CL174" i="15"/>
  <c r="CM174" i="15"/>
  <c r="CN174" i="15"/>
  <c r="CO174" i="15"/>
  <c r="CP174" i="15"/>
  <c r="CQ174" i="15"/>
  <c r="CR174" i="15"/>
  <c r="CS174" i="15"/>
  <c r="CT174" i="15"/>
  <c r="CU174" i="15"/>
  <c r="CV174" i="15"/>
  <c r="CW174" i="15"/>
  <c r="CX174" i="15"/>
  <c r="CY174" i="15"/>
  <c r="CB175" i="15"/>
  <c r="CC175" i="15"/>
  <c r="CD175" i="15"/>
  <c r="CE175" i="15"/>
  <c r="CF175" i="15"/>
  <c r="CG175" i="15"/>
  <c r="CH175" i="15"/>
  <c r="CI175" i="15"/>
  <c r="CJ175" i="15"/>
  <c r="CK175" i="15"/>
  <c r="CL175" i="15"/>
  <c r="CM175" i="15"/>
  <c r="CN175" i="15"/>
  <c r="CO175" i="15"/>
  <c r="CP175" i="15"/>
  <c r="CQ175" i="15"/>
  <c r="CR175" i="15"/>
  <c r="CS175" i="15"/>
  <c r="CT175" i="15"/>
  <c r="CU175" i="15"/>
  <c r="CV175" i="15"/>
  <c r="CW175" i="15"/>
  <c r="CX175" i="15"/>
  <c r="CY175" i="15"/>
  <c r="CB176" i="15"/>
  <c r="CC176" i="15"/>
  <c r="CD176" i="15"/>
  <c r="CE176" i="15"/>
  <c r="CF176" i="15"/>
  <c r="CG176" i="15"/>
  <c r="CH176" i="15"/>
  <c r="CI176" i="15"/>
  <c r="CJ176" i="15"/>
  <c r="CK176" i="15"/>
  <c r="CL176" i="15"/>
  <c r="CM176" i="15"/>
  <c r="CN176" i="15"/>
  <c r="CO176" i="15"/>
  <c r="CP176" i="15"/>
  <c r="CQ176" i="15"/>
  <c r="CR176" i="15"/>
  <c r="CS176" i="15"/>
  <c r="CT176" i="15"/>
  <c r="CU176" i="15"/>
  <c r="CV176" i="15"/>
  <c r="CW176" i="15"/>
  <c r="CX176" i="15"/>
  <c r="CY176" i="15"/>
  <c r="CB177" i="15"/>
  <c r="CC177" i="15"/>
  <c r="CD177" i="15"/>
  <c r="CE177" i="15"/>
  <c r="CF177" i="15"/>
  <c r="CG177" i="15"/>
  <c r="CH177" i="15"/>
  <c r="CI177" i="15"/>
  <c r="CJ177" i="15"/>
  <c r="CK177" i="15"/>
  <c r="CL177" i="15"/>
  <c r="CM177" i="15"/>
  <c r="CN177" i="15"/>
  <c r="CO177" i="15"/>
  <c r="CP177" i="15"/>
  <c r="CQ177" i="15"/>
  <c r="CR177" i="15"/>
  <c r="CS177" i="15"/>
  <c r="CT177" i="15"/>
  <c r="CU177" i="15"/>
  <c r="CV177" i="15"/>
  <c r="CW177" i="15"/>
  <c r="CX177" i="15"/>
  <c r="CY177" i="15"/>
  <c r="CB178" i="15"/>
  <c r="CC178" i="15"/>
  <c r="CD178" i="15"/>
  <c r="CE178" i="15"/>
  <c r="CF178" i="15"/>
  <c r="CG178" i="15"/>
  <c r="CH178" i="15"/>
  <c r="CI178" i="15"/>
  <c r="CJ178" i="15"/>
  <c r="CK178" i="15"/>
  <c r="CL178" i="15"/>
  <c r="CM178" i="15"/>
  <c r="CN178" i="15"/>
  <c r="CO178" i="15"/>
  <c r="CP178" i="15"/>
  <c r="CQ178" i="15"/>
  <c r="CR178" i="15"/>
  <c r="CS178" i="15"/>
  <c r="CT178" i="15"/>
  <c r="CU178" i="15"/>
  <c r="CV178" i="15"/>
  <c r="CW178" i="15"/>
  <c r="CX178" i="15"/>
  <c r="CY178" i="15"/>
  <c r="CB179" i="15"/>
  <c r="CC179" i="15"/>
  <c r="CD179" i="15"/>
  <c r="CE179" i="15"/>
  <c r="CF179" i="15"/>
  <c r="CG179" i="15"/>
  <c r="CH179" i="15"/>
  <c r="CI179" i="15"/>
  <c r="CJ179" i="15"/>
  <c r="CK179" i="15"/>
  <c r="CL179" i="15"/>
  <c r="CM179" i="15"/>
  <c r="CN179" i="15"/>
  <c r="CO179" i="15"/>
  <c r="CP179" i="15"/>
  <c r="CQ179" i="15"/>
  <c r="CR179" i="15"/>
  <c r="CS179" i="15"/>
  <c r="CT179" i="15"/>
  <c r="CU179" i="15"/>
  <c r="CV179" i="15"/>
  <c r="CW179" i="15"/>
  <c r="CX179" i="15"/>
  <c r="CY179" i="15"/>
  <c r="CB180" i="15"/>
  <c r="CC180" i="15"/>
  <c r="CD180" i="15"/>
  <c r="CE180" i="15"/>
  <c r="CF180" i="15"/>
  <c r="CG180" i="15"/>
  <c r="CH180" i="15"/>
  <c r="CI180" i="15"/>
  <c r="CJ180" i="15"/>
  <c r="CK180" i="15"/>
  <c r="CL180" i="15"/>
  <c r="CM180" i="15"/>
  <c r="CN180" i="15"/>
  <c r="CO180" i="15"/>
  <c r="CP180" i="15"/>
  <c r="CQ180" i="15"/>
  <c r="CR180" i="15"/>
  <c r="CS180" i="15"/>
  <c r="CT180" i="15"/>
  <c r="CU180" i="15"/>
  <c r="CV180" i="15"/>
  <c r="CW180" i="15"/>
  <c r="CX180" i="15"/>
  <c r="CY180" i="15"/>
  <c r="CB181" i="15"/>
  <c r="CC181" i="15"/>
  <c r="CD181" i="15"/>
  <c r="CE181" i="15"/>
  <c r="CF181" i="15"/>
  <c r="CG181" i="15"/>
  <c r="CH181" i="15"/>
  <c r="CI181" i="15"/>
  <c r="CJ181" i="15"/>
  <c r="CK181" i="15"/>
  <c r="CL181" i="15"/>
  <c r="CM181" i="15"/>
  <c r="CN181" i="15"/>
  <c r="CO181" i="15"/>
  <c r="CP181" i="15"/>
  <c r="CQ181" i="15"/>
  <c r="CR181" i="15"/>
  <c r="CS181" i="15"/>
  <c r="CT181" i="15"/>
  <c r="CU181" i="15"/>
  <c r="CV181" i="15"/>
  <c r="CW181" i="15"/>
  <c r="CX181" i="15"/>
  <c r="CY181" i="15"/>
  <c r="CB182" i="15"/>
  <c r="CC182" i="15"/>
  <c r="CD182" i="15"/>
  <c r="CE182" i="15"/>
  <c r="CF182" i="15"/>
  <c r="CG182" i="15"/>
  <c r="CH182" i="15"/>
  <c r="CI182" i="15"/>
  <c r="CJ182" i="15"/>
  <c r="CK182" i="15"/>
  <c r="CL182" i="15"/>
  <c r="CM182" i="15"/>
  <c r="CN182" i="15"/>
  <c r="CO182" i="15"/>
  <c r="CP182" i="15"/>
  <c r="CQ182" i="15"/>
  <c r="CR182" i="15"/>
  <c r="CS182" i="15"/>
  <c r="CT182" i="15"/>
  <c r="CU182" i="15"/>
  <c r="CV182" i="15"/>
  <c r="CW182" i="15"/>
  <c r="CX182" i="15"/>
  <c r="CY182" i="15"/>
  <c r="CB183" i="15"/>
  <c r="CC183" i="15"/>
  <c r="CD183" i="15"/>
  <c r="CE183" i="15"/>
  <c r="CF183" i="15"/>
  <c r="CG183" i="15"/>
  <c r="CH183" i="15"/>
  <c r="CI183" i="15"/>
  <c r="CJ183" i="15"/>
  <c r="CK183" i="15"/>
  <c r="CL183" i="15"/>
  <c r="CM183" i="15"/>
  <c r="CN183" i="15"/>
  <c r="CO183" i="15"/>
  <c r="CP183" i="15"/>
  <c r="CQ183" i="15"/>
  <c r="CR183" i="15"/>
  <c r="CS183" i="15"/>
  <c r="CT183" i="15"/>
  <c r="CU183" i="15"/>
  <c r="CV183" i="15"/>
  <c r="CW183" i="15"/>
  <c r="CX183" i="15"/>
  <c r="CY183" i="15"/>
  <c r="CB184" i="15"/>
  <c r="CC184" i="15"/>
  <c r="CD184" i="15"/>
  <c r="CE184" i="15"/>
  <c r="CF184" i="15"/>
  <c r="CG184" i="15"/>
  <c r="CH184" i="15"/>
  <c r="CI184" i="15"/>
  <c r="CJ184" i="15"/>
  <c r="CK184" i="15"/>
  <c r="CL184" i="15"/>
  <c r="CM184" i="15"/>
  <c r="CN184" i="15"/>
  <c r="CO184" i="15"/>
  <c r="CP184" i="15"/>
  <c r="CQ184" i="15"/>
  <c r="CR184" i="15"/>
  <c r="CS184" i="15"/>
  <c r="CT184" i="15"/>
  <c r="CU184" i="15"/>
  <c r="CV184" i="15"/>
  <c r="CW184" i="15"/>
  <c r="CX184" i="15"/>
  <c r="CY184" i="15"/>
  <c r="CB185" i="15"/>
  <c r="CC185" i="15"/>
  <c r="CD185" i="15"/>
  <c r="CE185" i="15"/>
  <c r="CF185" i="15"/>
  <c r="CG185" i="15"/>
  <c r="CH185" i="15"/>
  <c r="CI185" i="15"/>
  <c r="CJ185" i="15"/>
  <c r="CK185" i="15"/>
  <c r="CL185" i="15"/>
  <c r="CM185" i="15"/>
  <c r="CN185" i="15"/>
  <c r="CO185" i="15"/>
  <c r="CP185" i="15"/>
  <c r="CQ185" i="15"/>
  <c r="CR185" i="15"/>
  <c r="CS185" i="15"/>
  <c r="CT185" i="15"/>
  <c r="CU185" i="15"/>
  <c r="CV185" i="15"/>
  <c r="CW185" i="15"/>
  <c r="CX185" i="15"/>
  <c r="CY185" i="15"/>
  <c r="CB186" i="15"/>
  <c r="CC186" i="15"/>
  <c r="CD186" i="15"/>
  <c r="CE186" i="15"/>
  <c r="CF186" i="15"/>
  <c r="CG186" i="15"/>
  <c r="CH186" i="15"/>
  <c r="CI186" i="15"/>
  <c r="CJ186" i="15"/>
  <c r="CK186" i="15"/>
  <c r="CL186" i="15"/>
  <c r="CM186" i="15"/>
  <c r="CN186" i="15"/>
  <c r="CO186" i="15"/>
  <c r="CP186" i="15"/>
  <c r="CQ186" i="15"/>
  <c r="CR186" i="15"/>
  <c r="CS186" i="15"/>
  <c r="CT186" i="15"/>
  <c r="CU186" i="15"/>
  <c r="CV186" i="15"/>
  <c r="CW186" i="15"/>
  <c r="CX186" i="15"/>
  <c r="CY186" i="15"/>
  <c r="CB187" i="15"/>
  <c r="CC187" i="15"/>
  <c r="CD187" i="15"/>
  <c r="CE187" i="15"/>
  <c r="CF187" i="15"/>
  <c r="CG187" i="15"/>
  <c r="CH187" i="15"/>
  <c r="CI187" i="15"/>
  <c r="CJ187" i="15"/>
  <c r="CK187" i="15"/>
  <c r="CL187" i="15"/>
  <c r="CM187" i="15"/>
  <c r="CN187" i="15"/>
  <c r="CO187" i="15"/>
  <c r="CP187" i="15"/>
  <c r="CQ187" i="15"/>
  <c r="CR187" i="15"/>
  <c r="CS187" i="15"/>
  <c r="CT187" i="15"/>
  <c r="CU187" i="15"/>
  <c r="CV187" i="15"/>
  <c r="CW187" i="15"/>
  <c r="CX187" i="15"/>
  <c r="CY187" i="15"/>
  <c r="CB188" i="15"/>
  <c r="CC188" i="15"/>
  <c r="CD188" i="15"/>
  <c r="CE188" i="15"/>
  <c r="CF188" i="15"/>
  <c r="CG188" i="15"/>
  <c r="CH188" i="15"/>
  <c r="CI188" i="15"/>
  <c r="CJ188" i="15"/>
  <c r="CK188" i="15"/>
  <c r="CL188" i="15"/>
  <c r="CM188" i="15"/>
  <c r="CN188" i="15"/>
  <c r="CO188" i="15"/>
  <c r="CP188" i="15"/>
  <c r="CQ188" i="15"/>
  <c r="CR188" i="15"/>
  <c r="CS188" i="15"/>
  <c r="CT188" i="15"/>
  <c r="CU188" i="15"/>
  <c r="CV188" i="15"/>
  <c r="CW188" i="15"/>
  <c r="CX188" i="15"/>
  <c r="CY188" i="15"/>
  <c r="CB189" i="15"/>
  <c r="CC189" i="15"/>
  <c r="CD189" i="15"/>
  <c r="CE189" i="15"/>
  <c r="CF189" i="15"/>
  <c r="CG189" i="15"/>
  <c r="CH189" i="15"/>
  <c r="CI189" i="15"/>
  <c r="CJ189" i="15"/>
  <c r="CK189" i="15"/>
  <c r="CL189" i="15"/>
  <c r="CM189" i="15"/>
  <c r="CN189" i="15"/>
  <c r="CO189" i="15"/>
  <c r="CP189" i="15"/>
  <c r="CQ189" i="15"/>
  <c r="CR189" i="15"/>
  <c r="CS189" i="15"/>
  <c r="CT189" i="15"/>
  <c r="CU189" i="15"/>
  <c r="CV189" i="15"/>
  <c r="CW189" i="15"/>
  <c r="CX189" i="15"/>
  <c r="CY189" i="15"/>
  <c r="CB190" i="15"/>
  <c r="CC190" i="15"/>
  <c r="CD190" i="15"/>
  <c r="CE190" i="15"/>
  <c r="CF190" i="15"/>
  <c r="CG190" i="15"/>
  <c r="CH190" i="15"/>
  <c r="CI190" i="15"/>
  <c r="CJ190" i="15"/>
  <c r="CK190" i="15"/>
  <c r="CL190" i="15"/>
  <c r="CM190" i="15"/>
  <c r="CN190" i="15"/>
  <c r="CO190" i="15"/>
  <c r="CP190" i="15"/>
  <c r="CQ190" i="15"/>
  <c r="CR190" i="15"/>
  <c r="CS190" i="15"/>
  <c r="CT190" i="15"/>
  <c r="CU190" i="15"/>
  <c r="CV190" i="15"/>
  <c r="CW190" i="15"/>
  <c r="CX190" i="15"/>
  <c r="CY190" i="15"/>
  <c r="CB191" i="15"/>
  <c r="CC191" i="15"/>
  <c r="CD191" i="15"/>
  <c r="CE191" i="15"/>
  <c r="CF191" i="15"/>
  <c r="CG191" i="15"/>
  <c r="CH191" i="15"/>
  <c r="CI191" i="15"/>
  <c r="CJ191" i="15"/>
  <c r="CK191" i="15"/>
  <c r="CL191" i="15"/>
  <c r="CM191" i="15"/>
  <c r="CN191" i="15"/>
  <c r="CO191" i="15"/>
  <c r="CP191" i="15"/>
  <c r="CQ191" i="15"/>
  <c r="CR191" i="15"/>
  <c r="CS191" i="15"/>
  <c r="CT191" i="15"/>
  <c r="CU191" i="15"/>
  <c r="CV191" i="15"/>
  <c r="CW191" i="15"/>
  <c r="CX191" i="15"/>
  <c r="CY191" i="15"/>
  <c r="CB192" i="15"/>
  <c r="CC192" i="15"/>
  <c r="CD192" i="15"/>
  <c r="CE192" i="15"/>
  <c r="CF192" i="15"/>
  <c r="CG192" i="15"/>
  <c r="CH192" i="15"/>
  <c r="CI192" i="15"/>
  <c r="CJ192" i="15"/>
  <c r="CK192" i="15"/>
  <c r="CL192" i="15"/>
  <c r="CM192" i="15"/>
  <c r="CN192" i="15"/>
  <c r="CO192" i="15"/>
  <c r="CP192" i="15"/>
  <c r="CQ192" i="15"/>
  <c r="CR192" i="15"/>
  <c r="CS192" i="15"/>
  <c r="CT192" i="15"/>
  <c r="CU192" i="15"/>
  <c r="CV192" i="15"/>
  <c r="CW192" i="15"/>
  <c r="CX192" i="15"/>
  <c r="CY192" i="15"/>
  <c r="CB193" i="15"/>
  <c r="CC193" i="15"/>
  <c r="CD193" i="15"/>
  <c r="CE193" i="15"/>
  <c r="CF193" i="15"/>
  <c r="CG193" i="15"/>
  <c r="CH193" i="15"/>
  <c r="CI193" i="15"/>
  <c r="CJ193" i="15"/>
  <c r="CK193" i="15"/>
  <c r="CL193" i="15"/>
  <c r="CM193" i="15"/>
  <c r="CN193" i="15"/>
  <c r="CO193" i="15"/>
  <c r="CP193" i="15"/>
  <c r="CQ193" i="15"/>
  <c r="CR193" i="15"/>
  <c r="CS193" i="15"/>
  <c r="CT193" i="15"/>
  <c r="CU193" i="15"/>
  <c r="CV193" i="15"/>
  <c r="CW193" i="15"/>
  <c r="CX193" i="15"/>
  <c r="CY193" i="15"/>
  <c r="CB194" i="15"/>
  <c r="CC194" i="15"/>
  <c r="CD194" i="15"/>
  <c r="CE194" i="15"/>
  <c r="CF194" i="15"/>
  <c r="CG194" i="15"/>
  <c r="CH194" i="15"/>
  <c r="CI194" i="15"/>
  <c r="CJ194" i="15"/>
  <c r="CK194" i="15"/>
  <c r="CL194" i="15"/>
  <c r="CM194" i="15"/>
  <c r="CN194" i="15"/>
  <c r="CO194" i="15"/>
  <c r="CP194" i="15"/>
  <c r="CQ194" i="15"/>
  <c r="CR194" i="15"/>
  <c r="CS194" i="15"/>
  <c r="CT194" i="15"/>
  <c r="CU194" i="15"/>
  <c r="CV194" i="15"/>
  <c r="CW194" i="15"/>
  <c r="CX194" i="15"/>
  <c r="CY194" i="15"/>
  <c r="CB195" i="15"/>
  <c r="CC195" i="15"/>
  <c r="CD195" i="15"/>
  <c r="CE195" i="15"/>
  <c r="CF195" i="15"/>
  <c r="CG195" i="15"/>
  <c r="CH195" i="15"/>
  <c r="CI195" i="15"/>
  <c r="CJ195" i="15"/>
  <c r="CK195" i="15"/>
  <c r="CL195" i="15"/>
  <c r="CM195" i="15"/>
  <c r="CN195" i="15"/>
  <c r="CO195" i="15"/>
  <c r="CP195" i="15"/>
  <c r="CQ195" i="15"/>
  <c r="CR195" i="15"/>
  <c r="CS195" i="15"/>
  <c r="CT195" i="15"/>
  <c r="CU195" i="15"/>
  <c r="CV195" i="15"/>
  <c r="CW195" i="15"/>
  <c r="CX195" i="15"/>
  <c r="CY195" i="15"/>
  <c r="CB196" i="15"/>
  <c r="CC196" i="15"/>
  <c r="CD196" i="15"/>
  <c r="CE196" i="15"/>
  <c r="CF196" i="15"/>
  <c r="CG196" i="15"/>
  <c r="CH196" i="15"/>
  <c r="CI196" i="15"/>
  <c r="CJ196" i="15"/>
  <c r="CK196" i="15"/>
  <c r="CL196" i="15"/>
  <c r="CM196" i="15"/>
  <c r="CN196" i="15"/>
  <c r="CO196" i="15"/>
  <c r="CP196" i="15"/>
  <c r="CQ196" i="15"/>
  <c r="CR196" i="15"/>
  <c r="CS196" i="15"/>
  <c r="CT196" i="15"/>
  <c r="CU196" i="15"/>
  <c r="CV196" i="15"/>
  <c r="CW196" i="15"/>
  <c r="CX196" i="15"/>
  <c r="CY196" i="15"/>
  <c r="CB197" i="15"/>
  <c r="CC197" i="15"/>
  <c r="CD197" i="15"/>
  <c r="CE197" i="15"/>
  <c r="CF197" i="15"/>
  <c r="CG197" i="15"/>
  <c r="CH197" i="15"/>
  <c r="CI197" i="15"/>
  <c r="CJ197" i="15"/>
  <c r="CK197" i="15"/>
  <c r="CL197" i="15"/>
  <c r="CM197" i="15"/>
  <c r="CN197" i="15"/>
  <c r="CO197" i="15"/>
  <c r="CP197" i="15"/>
  <c r="CQ197" i="15"/>
  <c r="CR197" i="15"/>
  <c r="CS197" i="15"/>
  <c r="CT197" i="15"/>
  <c r="CU197" i="15"/>
  <c r="CV197" i="15"/>
  <c r="CW197" i="15"/>
  <c r="CX197" i="15"/>
  <c r="CY197" i="15"/>
  <c r="CB198" i="15"/>
  <c r="CC198" i="15"/>
  <c r="CD198" i="15"/>
  <c r="CE198" i="15"/>
  <c r="CF198" i="15"/>
  <c r="CG198" i="15"/>
  <c r="CH198" i="15"/>
  <c r="CI198" i="15"/>
  <c r="CJ198" i="15"/>
  <c r="CK198" i="15"/>
  <c r="CL198" i="15"/>
  <c r="CM198" i="15"/>
  <c r="CN198" i="15"/>
  <c r="CO198" i="15"/>
  <c r="CP198" i="15"/>
  <c r="CQ198" i="15"/>
  <c r="CR198" i="15"/>
  <c r="CS198" i="15"/>
  <c r="CT198" i="15"/>
  <c r="CU198" i="15"/>
  <c r="CV198" i="15"/>
  <c r="CW198" i="15"/>
  <c r="CX198" i="15"/>
  <c r="CY198" i="15"/>
  <c r="CB199" i="15"/>
  <c r="CC199" i="15"/>
  <c r="CD199" i="15"/>
  <c r="CE199" i="15"/>
  <c r="CF199" i="15"/>
  <c r="CG199" i="15"/>
  <c r="CH199" i="15"/>
  <c r="CI199" i="15"/>
  <c r="CJ199" i="15"/>
  <c r="CK199" i="15"/>
  <c r="CL199" i="15"/>
  <c r="CM199" i="15"/>
  <c r="CN199" i="15"/>
  <c r="CO199" i="15"/>
  <c r="CP199" i="15"/>
  <c r="CQ199" i="15"/>
  <c r="CR199" i="15"/>
  <c r="CS199" i="15"/>
  <c r="CT199" i="15"/>
  <c r="CU199" i="15"/>
  <c r="CV199" i="15"/>
  <c r="CW199" i="15"/>
  <c r="CX199" i="15"/>
  <c r="CY199" i="15"/>
  <c r="CB200" i="15"/>
  <c r="CC200" i="15"/>
  <c r="CD200" i="15"/>
  <c r="CE200" i="15"/>
  <c r="CF200" i="15"/>
  <c r="CG200" i="15"/>
  <c r="CH200" i="15"/>
  <c r="CI200" i="15"/>
  <c r="CJ200" i="15"/>
  <c r="CK200" i="15"/>
  <c r="CL200" i="15"/>
  <c r="CM200" i="15"/>
  <c r="CN200" i="15"/>
  <c r="CO200" i="15"/>
  <c r="CP200" i="15"/>
  <c r="CQ200" i="15"/>
  <c r="CR200" i="15"/>
  <c r="CS200" i="15"/>
  <c r="CT200" i="15"/>
  <c r="CU200" i="15"/>
  <c r="CV200" i="15"/>
  <c r="CW200" i="15"/>
  <c r="CX200" i="15"/>
  <c r="CY200" i="15"/>
  <c r="CB201" i="15"/>
  <c r="CC201" i="15"/>
  <c r="CD201" i="15"/>
  <c r="CE201" i="15"/>
  <c r="CF201" i="15"/>
  <c r="CG201" i="15"/>
  <c r="CH201" i="15"/>
  <c r="CI201" i="15"/>
  <c r="CJ201" i="15"/>
  <c r="CK201" i="15"/>
  <c r="CL201" i="15"/>
  <c r="CM201" i="15"/>
  <c r="CN201" i="15"/>
  <c r="CO201" i="15"/>
  <c r="CP201" i="15"/>
  <c r="CQ201" i="15"/>
  <c r="CR201" i="15"/>
  <c r="CS201" i="15"/>
  <c r="CT201" i="15"/>
  <c r="CU201" i="15"/>
  <c r="CV201" i="15"/>
  <c r="CW201" i="15"/>
  <c r="CX201" i="15"/>
  <c r="CY201" i="15"/>
  <c r="CB202" i="15"/>
  <c r="CC202" i="15"/>
  <c r="CD202" i="15"/>
  <c r="CE202" i="15"/>
  <c r="CF202" i="15"/>
  <c r="CG202" i="15"/>
  <c r="CH202" i="15"/>
  <c r="CI202" i="15"/>
  <c r="CJ202" i="15"/>
  <c r="CK202" i="15"/>
  <c r="CL202" i="15"/>
  <c r="CM202" i="15"/>
  <c r="CN202" i="15"/>
  <c r="CO202" i="15"/>
  <c r="CP202" i="15"/>
  <c r="CQ202" i="15"/>
  <c r="CR202" i="15"/>
  <c r="CS202" i="15"/>
  <c r="CT202" i="15"/>
  <c r="CU202" i="15"/>
  <c r="CV202" i="15"/>
  <c r="CW202" i="15"/>
  <c r="CX202" i="15"/>
  <c r="CY202" i="15"/>
  <c r="CB203" i="15"/>
  <c r="CC203" i="15"/>
  <c r="CD203" i="15"/>
  <c r="CE203" i="15"/>
  <c r="CF203" i="15"/>
  <c r="CG203" i="15"/>
  <c r="CH203" i="15"/>
  <c r="CI203" i="15"/>
  <c r="CJ203" i="15"/>
  <c r="CK203" i="15"/>
  <c r="CL203" i="15"/>
  <c r="CM203" i="15"/>
  <c r="CN203" i="15"/>
  <c r="CO203" i="15"/>
  <c r="CP203" i="15"/>
  <c r="CQ203" i="15"/>
  <c r="CR203" i="15"/>
  <c r="CS203" i="15"/>
  <c r="CT203" i="15"/>
  <c r="CU203" i="15"/>
  <c r="CV203" i="15"/>
  <c r="CW203" i="15"/>
  <c r="CX203" i="15"/>
  <c r="CY203" i="15"/>
  <c r="CB204" i="15"/>
  <c r="CC204" i="15"/>
  <c r="CD204" i="15"/>
  <c r="CE204" i="15"/>
  <c r="CF204" i="15"/>
  <c r="CG204" i="15"/>
  <c r="CH204" i="15"/>
  <c r="CI204" i="15"/>
  <c r="CJ204" i="15"/>
  <c r="CK204" i="15"/>
  <c r="CL204" i="15"/>
  <c r="CM204" i="15"/>
  <c r="CN204" i="15"/>
  <c r="CO204" i="15"/>
  <c r="CP204" i="15"/>
  <c r="CQ204" i="15"/>
  <c r="CR204" i="15"/>
  <c r="CS204" i="15"/>
  <c r="CT204" i="15"/>
  <c r="CU204" i="15"/>
  <c r="CV204" i="15"/>
  <c r="CW204" i="15"/>
  <c r="CX204" i="15"/>
  <c r="CY204" i="15"/>
  <c r="CB205" i="15"/>
  <c r="CC205" i="15"/>
  <c r="CD205" i="15"/>
  <c r="CE205" i="15"/>
  <c r="CF205" i="15"/>
  <c r="CG205" i="15"/>
  <c r="CH205" i="15"/>
  <c r="CI205" i="15"/>
  <c r="CJ205" i="15"/>
  <c r="CK205" i="15"/>
  <c r="CL205" i="15"/>
  <c r="CM205" i="15"/>
  <c r="CN205" i="15"/>
  <c r="CO205" i="15"/>
  <c r="CP205" i="15"/>
  <c r="CQ205" i="15"/>
  <c r="CR205" i="15"/>
  <c r="CS205" i="15"/>
  <c r="CT205" i="15"/>
  <c r="CU205" i="15"/>
  <c r="CV205" i="15"/>
  <c r="CW205" i="15"/>
  <c r="CX205" i="15"/>
  <c r="CY205" i="15"/>
  <c r="CB206" i="15"/>
  <c r="CC206" i="15"/>
  <c r="CD206" i="15"/>
  <c r="CE206" i="15"/>
  <c r="CF206" i="15"/>
  <c r="CG206" i="15"/>
  <c r="CH206" i="15"/>
  <c r="CI206" i="15"/>
  <c r="CJ206" i="15"/>
  <c r="CK206" i="15"/>
  <c r="CL206" i="15"/>
  <c r="CM206" i="15"/>
  <c r="CN206" i="15"/>
  <c r="CO206" i="15"/>
  <c r="CP206" i="15"/>
  <c r="CQ206" i="15"/>
  <c r="CR206" i="15"/>
  <c r="CS206" i="15"/>
  <c r="CT206" i="15"/>
  <c r="CU206" i="15"/>
  <c r="CV206" i="15"/>
  <c r="CW206" i="15"/>
  <c r="CX206" i="15"/>
  <c r="CY206" i="15"/>
  <c r="CB207" i="15"/>
  <c r="CC207" i="15"/>
  <c r="CD207" i="15"/>
  <c r="CE207" i="15"/>
  <c r="CF207" i="15"/>
  <c r="CG207" i="15"/>
  <c r="CH207" i="15"/>
  <c r="CI207" i="15"/>
  <c r="CJ207" i="15"/>
  <c r="CK207" i="15"/>
  <c r="CL207" i="15"/>
  <c r="CM207" i="15"/>
  <c r="CN207" i="15"/>
  <c r="CO207" i="15"/>
  <c r="CP207" i="15"/>
  <c r="CQ207" i="15"/>
  <c r="CR207" i="15"/>
  <c r="CS207" i="15"/>
  <c r="CT207" i="15"/>
  <c r="CU207" i="15"/>
  <c r="CV207" i="15"/>
  <c r="CW207" i="15"/>
  <c r="CX207" i="15"/>
  <c r="CY207" i="15"/>
  <c r="CB208" i="15"/>
  <c r="CC208" i="15"/>
  <c r="CD208" i="15"/>
  <c r="CE208" i="15"/>
  <c r="CF208" i="15"/>
  <c r="CG208" i="15"/>
  <c r="CH208" i="15"/>
  <c r="CI208" i="15"/>
  <c r="CJ208" i="15"/>
  <c r="CK208" i="15"/>
  <c r="CL208" i="15"/>
  <c r="CM208" i="15"/>
  <c r="CN208" i="15"/>
  <c r="CO208" i="15"/>
  <c r="CP208" i="15"/>
  <c r="CQ208" i="15"/>
  <c r="CR208" i="15"/>
  <c r="CS208" i="15"/>
  <c r="CT208" i="15"/>
  <c r="CU208" i="15"/>
  <c r="CV208" i="15"/>
  <c r="CW208" i="15"/>
  <c r="CX208" i="15"/>
  <c r="CY208" i="15"/>
  <c r="CB209" i="15"/>
  <c r="CC209" i="15"/>
  <c r="CD209" i="15"/>
  <c r="CE209" i="15"/>
  <c r="CF209" i="15"/>
  <c r="CG209" i="15"/>
  <c r="CH209" i="15"/>
  <c r="CI209" i="15"/>
  <c r="CJ209" i="15"/>
  <c r="CK209" i="15"/>
  <c r="CL209" i="15"/>
  <c r="CM209" i="15"/>
  <c r="CN209" i="15"/>
  <c r="CO209" i="15"/>
  <c r="CP209" i="15"/>
  <c r="CQ209" i="15"/>
  <c r="CR209" i="15"/>
  <c r="CS209" i="15"/>
  <c r="CT209" i="15"/>
  <c r="CU209" i="15"/>
  <c r="CV209" i="15"/>
  <c r="CW209" i="15"/>
  <c r="CX209" i="15"/>
  <c r="CY209" i="15"/>
  <c r="CB210" i="15"/>
  <c r="CC210" i="15"/>
  <c r="CD210" i="15"/>
  <c r="CE210" i="15"/>
  <c r="CF210" i="15"/>
  <c r="CG210" i="15"/>
  <c r="CH210" i="15"/>
  <c r="CI210" i="15"/>
  <c r="CJ210" i="15"/>
  <c r="CK210" i="15"/>
  <c r="CL210" i="15"/>
  <c r="CM210" i="15"/>
  <c r="CN210" i="15"/>
  <c r="CO210" i="15"/>
  <c r="CP210" i="15"/>
  <c r="CQ210" i="15"/>
  <c r="CR210" i="15"/>
  <c r="CS210" i="15"/>
  <c r="CT210" i="15"/>
  <c r="CU210" i="15"/>
  <c r="CV210" i="15"/>
  <c r="CW210" i="15"/>
  <c r="CX210" i="15"/>
  <c r="CY210" i="15"/>
  <c r="CB211" i="15"/>
  <c r="CC211" i="15"/>
  <c r="CD211" i="15"/>
  <c r="CE211" i="15"/>
  <c r="CF211" i="15"/>
  <c r="CG211" i="15"/>
  <c r="CH211" i="15"/>
  <c r="CI211" i="15"/>
  <c r="CJ211" i="15"/>
  <c r="CK211" i="15"/>
  <c r="CL211" i="15"/>
  <c r="CM211" i="15"/>
  <c r="CN211" i="15"/>
  <c r="CO211" i="15"/>
  <c r="CP211" i="15"/>
  <c r="CQ211" i="15"/>
  <c r="CR211" i="15"/>
  <c r="CS211" i="15"/>
  <c r="CT211" i="15"/>
  <c r="CU211" i="15"/>
  <c r="CV211" i="15"/>
  <c r="CW211" i="15"/>
  <c r="CX211" i="15"/>
  <c r="CY211" i="15"/>
  <c r="CB212" i="15"/>
  <c r="CC212" i="15"/>
  <c r="CD212" i="15"/>
  <c r="CE212" i="15"/>
  <c r="CF212" i="15"/>
  <c r="CG212" i="15"/>
  <c r="CH212" i="15"/>
  <c r="CI212" i="15"/>
  <c r="CJ212" i="15"/>
  <c r="CK212" i="15"/>
  <c r="CL212" i="15"/>
  <c r="CM212" i="15"/>
  <c r="CN212" i="15"/>
  <c r="CO212" i="15"/>
  <c r="CP212" i="15"/>
  <c r="CQ212" i="15"/>
  <c r="CR212" i="15"/>
  <c r="CS212" i="15"/>
  <c r="CT212" i="15"/>
  <c r="CU212" i="15"/>
  <c r="CV212" i="15"/>
  <c r="CW212" i="15"/>
  <c r="CX212" i="15"/>
  <c r="CY212" i="15"/>
  <c r="CB213" i="15"/>
  <c r="CC213" i="15"/>
  <c r="CD213" i="15"/>
  <c r="CE213" i="15"/>
  <c r="CF213" i="15"/>
  <c r="CG213" i="15"/>
  <c r="CH213" i="15"/>
  <c r="CI213" i="15"/>
  <c r="CJ213" i="15"/>
  <c r="CK213" i="15"/>
  <c r="CL213" i="15"/>
  <c r="CM213" i="15"/>
  <c r="CN213" i="15"/>
  <c r="CO213" i="15"/>
  <c r="CP213" i="15"/>
  <c r="CQ213" i="15"/>
  <c r="CR213" i="15"/>
  <c r="CS213" i="15"/>
  <c r="CT213" i="15"/>
  <c r="CU213" i="15"/>
  <c r="CV213" i="15"/>
  <c r="CW213" i="15"/>
  <c r="CX213" i="15"/>
  <c r="CY213" i="15"/>
  <c r="CB214" i="15"/>
  <c r="CC214" i="15"/>
  <c r="CD214" i="15"/>
  <c r="CE214" i="15"/>
  <c r="CF214" i="15"/>
  <c r="CG214" i="15"/>
  <c r="CH214" i="15"/>
  <c r="CI214" i="15"/>
  <c r="CJ214" i="15"/>
  <c r="CK214" i="15"/>
  <c r="CL214" i="15"/>
  <c r="CM214" i="15"/>
  <c r="CN214" i="15"/>
  <c r="CO214" i="15"/>
  <c r="CP214" i="15"/>
  <c r="CQ214" i="15"/>
  <c r="CR214" i="15"/>
  <c r="CS214" i="15"/>
  <c r="CT214" i="15"/>
  <c r="CU214" i="15"/>
  <c r="CV214" i="15"/>
  <c r="CW214" i="15"/>
  <c r="CX214" i="15"/>
  <c r="CY214" i="15"/>
  <c r="CB215" i="15"/>
  <c r="CC215" i="15"/>
  <c r="CD215" i="15"/>
  <c r="CE215" i="15"/>
  <c r="CF215" i="15"/>
  <c r="CG215" i="15"/>
  <c r="CH215" i="15"/>
  <c r="CI215" i="15"/>
  <c r="CJ215" i="15"/>
  <c r="CK215" i="15"/>
  <c r="CL215" i="15"/>
  <c r="CM215" i="15"/>
  <c r="CN215" i="15"/>
  <c r="CO215" i="15"/>
  <c r="CP215" i="15"/>
  <c r="CQ215" i="15"/>
  <c r="CR215" i="15"/>
  <c r="CS215" i="15"/>
  <c r="CT215" i="15"/>
  <c r="CU215" i="15"/>
  <c r="CV215" i="15"/>
  <c r="CW215" i="15"/>
  <c r="CX215" i="15"/>
  <c r="CY215" i="15"/>
  <c r="CB216" i="15"/>
  <c r="CC216" i="15"/>
  <c r="CD216" i="15"/>
  <c r="CE216" i="15"/>
  <c r="CF216" i="15"/>
  <c r="CG216" i="15"/>
  <c r="CH216" i="15"/>
  <c r="CI216" i="15"/>
  <c r="CJ216" i="15"/>
  <c r="CK216" i="15"/>
  <c r="CL216" i="15"/>
  <c r="CM216" i="15"/>
  <c r="CN216" i="15"/>
  <c r="CO216" i="15"/>
  <c r="CP216" i="15"/>
  <c r="CQ216" i="15"/>
  <c r="CR216" i="15"/>
  <c r="CS216" i="15"/>
  <c r="CT216" i="15"/>
  <c r="CU216" i="15"/>
  <c r="CV216" i="15"/>
  <c r="CW216" i="15"/>
  <c r="CX216" i="15"/>
  <c r="CY216" i="15"/>
  <c r="CB217" i="15"/>
  <c r="CC217" i="15"/>
  <c r="CD217" i="15"/>
  <c r="CE217" i="15"/>
  <c r="CF217" i="15"/>
  <c r="CG217" i="15"/>
  <c r="CH217" i="15"/>
  <c r="CI217" i="15"/>
  <c r="CJ217" i="15"/>
  <c r="CK217" i="15"/>
  <c r="CL217" i="15"/>
  <c r="CM217" i="15"/>
  <c r="CN217" i="15"/>
  <c r="CO217" i="15"/>
  <c r="CP217" i="15"/>
  <c r="CQ217" i="15"/>
  <c r="CR217" i="15"/>
  <c r="CS217" i="15"/>
  <c r="CT217" i="15"/>
  <c r="CU217" i="15"/>
  <c r="CV217" i="15"/>
  <c r="CW217" i="15"/>
  <c r="CX217" i="15"/>
  <c r="CY217" i="15"/>
  <c r="CB218" i="15"/>
  <c r="CC218" i="15"/>
  <c r="CD218" i="15"/>
  <c r="CE218" i="15"/>
  <c r="CF218" i="15"/>
  <c r="CG218" i="15"/>
  <c r="CH218" i="15"/>
  <c r="CI218" i="15"/>
  <c r="CJ218" i="15"/>
  <c r="CK218" i="15"/>
  <c r="CL218" i="15"/>
  <c r="CM218" i="15"/>
  <c r="CN218" i="15"/>
  <c r="CO218" i="15"/>
  <c r="CP218" i="15"/>
  <c r="CQ218" i="15"/>
  <c r="CR218" i="15"/>
  <c r="CS218" i="15"/>
  <c r="CT218" i="15"/>
  <c r="CU218" i="15"/>
  <c r="CV218" i="15"/>
  <c r="CW218" i="15"/>
  <c r="CX218" i="15"/>
  <c r="CY218" i="15"/>
  <c r="CB219" i="15"/>
  <c r="CC219" i="15"/>
  <c r="CD219" i="15"/>
  <c r="CE219" i="15"/>
  <c r="CF219" i="15"/>
  <c r="CG219" i="15"/>
  <c r="CH219" i="15"/>
  <c r="CI219" i="15"/>
  <c r="CJ219" i="15"/>
  <c r="CK219" i="15"/>
  <c r="CL219" i="15"/>
  <c r="CM219" i="15"/>
  <c r="CN219" i="15"/>
  <c r="CO219" i="15"/>
  <c r="CP219" i="15"/>
  <c r="CQ219" i="15"/>
  <c r="CR219" i="15"/>
  <c r="CS219" i="15"/>
  <c r="CT219" i="15"/>
  <c r="CU219" i="15"/>
  <c r="CV219" i="15"/>
  <c r="CW219" i="15"/>
  <c r="CX219" i="15"/>
  <c r="CY219" i="15"/>
  <c r="CB220" i="15"/>
  <c r="CC220" i="15"/>
  <c r="CD220" i="15"/>
  <c r="CE220" i="15"/>
  <c r="CF220" i="15"/>
  <c r="CG220" i="15"/>
  <c r="CH220" i="15"/>
  <c r="CI220" i="15"/>
  <c r="CJ220" i="15"/>
  <c r="CK220" i="15"/>
  <c r="CL220" i="15"/>
  <c r="CM220" i="15"/>
  <c r="CN220" i="15"/>
  <c r="CO220" i="15"/>
  <c r="CP220" i="15"/>
  <c r="CQ220" i="15"/>
  <c r="CR220" i="15"/>
  <c r="CS220" i="15"/>
  <c r="CT220" i="15"/>
  <c r="CU220" i="15"/>
  <c r="CV220" i="15"/>
  <c r="CW220" i="15"/>
  <c r="CX220" i="15"/>
  <c r="CY220" i="15"/>
  <c r="CB221" i="15"/>
  <c r="CC221" i="15"/>
  <c r="CD221" i="15"/>
  <c r="CE221" i="15"/>
  <c r="CF221" i="15"/>
  <c r="CG221" i="15"/>
  <c r="CH221" i="15"/>
  <c r="CI221" i="15"/>
  <c r="CJ221" i="15"/>
  <c r="CK221" i="15"/>
  <c r="CL221" i="15"/>
  <c r="CM221" i="15"/>
  <c r="CN221" i="15"/>
  <c r="CO221" i="15"/>
  <c r="CP221" i="15"/>
  <c r="CQ221" i="15"/>
  <c r="CR221" i="15"/>
  <c r="CS221" i="15"/>
  <c r="CT221" i="15"/>
  <c r="CU221" i="15"/>
  <c r="CV221" i="15"/>
  <c r="CW221" i="15"/>
  <c r="CX221" i="15"/>
  <c r="CY221" i="15"/>
  <c r="CB222" i="15"/>
  <c r="CC222" i="15"/>
  <c r="CD222" i="15"/>
  <c r="CE222" i="15"/>
  <c r="CF222" i="15"/>
  <c r="CG222" i="15"/>
  <c r="CH222" i="15"/>
  <c r="CI222" i="15"/>
  <c r="CJ222" i="15"/>
  <c r="CK222" i="15"/>
  <c r="CL222" i="15"/>
  <c r="CM222" i="15"/>
  <c r="CN222" i="15"/>
  <c r="CO222" i="15"/>
  <c r="CP222" i="15"/>
  <c r="CQ222" i="15"/>
  <c r="CR222" i="15"/>
  <c r="CS222" i="15"/>
  <c r="CT222" i="15"/>
  <c r="CU222" i="15"/>
  <c r="CV222" i="15"/>
  <c r="CW222" i="15"/>
  <c r="CX222" i="15"/>
  <c r="CY222" i="15"/>
  <c r="CB223" i="15"/>
  <c r="CC223" i="15"/>
  <c r="CD223" i="15"/>
  <c r="CE223" i="15"/>
  <c r="CF223" i="15"/>
  <c r="CG223" i="15"/>
  <c r="CH223" i="15"/>
  <c r="CI223" i="15"/>
  <c r="CJ223" i="15"/>
  <c r="CK223" i="15"/>
  <c r="CL223" i="15"/>
  <c r="CM223" i="15"/>
  <c r="CN223" i="15"/>
  <c r="CO223" i="15"/>
  <c r="CP223" i="15"/>
  <c r="CQ223" i="15"/>
  <c r="CR223" i="15"/>
  <c r="CS223" i="15"/>
  <c r="CT223" i="15"/>
  <c r="CU223" i="15"/>
  <c r="CV223" i="15"/>
  <c r="CW223" i="15"/>
  <c r="CX223" i="15"/>
  <c r="CY223" i="15"/>
  <c r="CB224" i="15"/>
  <c r="CC224" i="15"/>
  <c r="CD224" i="15"/>
  <c r="CE224" i="15"/>
  <c r="CF224" i="15"/>
  <c r="CG224" i="15"/>
  <c r="CH224" i="15"/>
  <c r="CI224" i="15"/>
  <c r="CJ224" i="15"/>
  <c r="CK224" i="15"/>
  <c r="CL224" i="15"/>
  <c r="CM224" i="15"/>
  <c r="CN224" i="15"/>
  <c r="CO224" i="15"/>
  <c r="CP224" i="15"/>
  <c r="CQ224" i="15"/>
  <c r="CR224" i="15"/>
  <c r="CS224" i="15"/>
  <c r="CT224" i="15"/>
  <c r="CU224" i="15"/>
  <c r="CV224" i="15"/>
  <c r="CW224" i="15"/>
  <c r="CX224" i="15"/>
  <c r="CY224" i="15"/>
  <c r="CB225" i="15"/>
  <c r="CC225" i="15"/>
  <c r="CD225" i="15"/>
  <c r="CE225" i="15"/>
  <c r="CF225" i="15"/>
  <c r="CG225" i="15"/>
  <c r="CH225" i="15"/>
  <c r="CI225" i="15"/>
  <c r="CJ225" i="15"/>
  <c r="CK225" i="15"/>
  <c r="CL225" i="15"/>
  <c r="CM225" i="15"/>
  <c r="CN225" i="15"/>
  <c r="CO225" i="15"/>
  <c r="CP225" i="15"/>
  <c r="CQ225" i="15"/>
  <c r="CR225" i="15"/>
  <c r="CS225" i="15"/>
  <c r="CT225" i="15"/>
  <c r="CU225" i="15"/>
  <c r="CV225" i="15"/>
  <c r="CW225" i="15"/>
  <c r="CX225" i="15"/>
  <c r="CY225" i="15"/>
  <c r="CB226" i="15"/>
  <c r="CC226" i="15"/>
  <c r="CD226" i="15"/>
  <c r="CE226" i="15"/>
  <c r="CF226" i="15"/>
  <c r="CG226" i="15"/>
  <c r="CH226" i="15"/>
  <c r="CI226" i="15"/>
  <c r="CJ226" i="15"/>
  <c r="CK226" i="15"/>
  <c r="CL226" i="15"/>
  <c r="CM226" i="15"/>
  <c r="CN226" i="15"/>
  <c r="CO226" i="15"/>
  <c r="CP226" i="15"/>
  <c r="CQ226" i="15"/>
  <c r="CR226" i="15"/>
  <c r="CS226" i="15"/>
  <c r="CT226" i="15"/>
  <c r="CU226" i="15"/>
  <c r="CV226" i="15"/>
  <c r="CW226" i="15"/>
  <c r="CX226" i="15"/>
  <c r="CY226" i="15"/>
  <c r="CB227" i="15"/>
  <c r="CC227" i="15"/>
  <c r="CD227" i="15"/>
  <c r="CE227" i="15"/>
  <c r="CF227" i="15"/>
  <c r="CG227" i="15"/>
  <c r="CH227" i="15"/>
  <c r="CI227" i="15"/>
  <c r="CJ227" i="15"/>
  <c r="CK227" i="15"/>
  <c r="CL227" i="15"/>
  <c r="CM227" i="15"/>
  <c r="CN227" i="15"/>
  <c r="CO227" i="15"/>
  <c r="CP227" i="15"/>
  <c r="CQ227" i="15"/>
  <c r="CR227" i="15"/>
  <c r="CS227" i="15"/>
  <c r="CT227" i="15"/>
  <c r="CU227" i="15"/>
  <c r="CV227" i="15"/>
  <c r="CW227" i="15"/>
  <c r="CX227" i="15"/>
  <c r="CY227" i="15"/>
  <c r="CB228" i="15"/>
  <c r="CC228" i="15"/>
  <c r="CD228" i="15"/>
  <c r="CE228" i="15"/>
  <c r="CF228" i="15"/>
  <c r="CG228" i="15"/>
  <c r="CH228" i="15"/>
  <c r="CI228" i="15"/>
  <c r="CJ228" i="15"/>
  <c r="CK228" i="15"/>
  <c r="CL228" i="15"/>
  <c r="CM228" i="15"/>
  <c r="CN228" i="15"/>
  <c r="CO228" i="15"/>
  <c r="CP228" i="15"/>
  <c r="CQ228" i="15"/>
  <c r="CR228" i="15"/>
  <c r="CS228" i="15"/>
  <c r="CT228" i="15"/>
  <c r="CU228" i="15"/>
  <c r="CV228" i="15"/>
  <c r="CW228" i="15"/>
  <c r="CX228" i="15"/>
  <c r="CY228" i="15"/>
  <c r="CB229" i="15"/>
  <c r="CC229" i="15"/>
  <c r="CD229" i="15"/>
  <c r="CE229" i="15"/>
  <c r="CF229" i="15"/>
  <c r="CG229" i="15"/>
  <c r="CH229" i="15"/>
  <c r="CI229" i="15"/>
  <c r="CJ229" i="15"/>
  <c r="CK229" i="15"/>
  <c r="CL229" i="15"/>
  <c r="CM229" i="15"/>
  <c r="CN229" i="15"/>
  <c r="CO229" i="15"/>
  <c r="CP229" i="15"/>
  <c r="CQ229" i="15"/>
  <c r="CR229" i="15"/>
  <c r="CS229" i="15"/>
  <c r="CT229" i="15"/>
  <c r="CU229" i="15"/>
  <c r="CV229" i="15"/>
  <c r="CW229" i="15"/>
  <c r="CX229" i="15"/>
  <c r="CY229" i="15"/>
  <c r="CB230" i="15"/>
  <c r="CC230" i="15"/>
  <c r="CD230" i="15"/>
  <c r="CE230" i="15"/>
  <c r="CF230" i="15"/>
  <c r="CG230" i="15"/>
  <c r="CH230" i="15"/>
  <c r="CI230" i="15"/>
  <c r="CJ230" i="15"/>
  <c r="CK230" i="15"/>
  <c r="CL230" i="15"/>
  <c r="CM230" i="15"/>
  <c r="CN230" i="15"/>
  <c r="CO230" i="15"/>
  <c r="CP230" i="15"/>
  <c r="CQ230" i="15"/>
  <c r="CR230" i="15"/>
  <c r="CS230" i="15"/>
  <c r="CT230" i="15"/>
  <c r="CU230" i="15"/>
  <c r="CV230" i="15"/>
  <c r="CW230" i="15"/>
  <c r="CX230" i="15"/>
  <c r="CY230" i="15"/>
  <c r="CB231" i="15"/>
  <c r="CC231" i="15"/>
  <c r="CD231" i="15"/>
  <c r="CE231" i="15"/>
  <c r="CF231" i="15"/>
  <c r="CG231" i="15"/>
  <c r="CH231" i="15"/>
  <c r="CI231" i="15"/>
  <c r="CJ231" i="15"/>
  <c r="CK231" i="15"/>
  <c r="CL231" i="15"/>
  <c r="CM231" i="15"/>
  <c r="CN231" i="15"/>
  <c r="CO231" i="15"/>
  <c r="CP231" i="15"/>
  <c r="CQ231" i="15"/>
  <c r="CR231" i="15"/>
  <c r="CS231" i="15"/>
  <c r="CT231" i="15"/>
  <c r="CU231" i="15"/>
  <c r="CV231" i="15"/>
  <c r="CW231" i="15"/>
  <c r="CX231" i="15"/>
  <c r="CY231" i="15"/>
  <c r="CB232" i="15"/>
  <c r="CC232" i="15"/>
  <c r="CD232" i="15"/>
  <c r="CE232" i="15"/>
  <c r="CF232" i="15"/>
  <c r="CG232" i="15"/>
  <c r="CH232" i="15"/>
  <c r="CI232" i="15"/>
  <c r="CJ232" i="15"/>
  <c r="CK232" i="15"/>
  <c r="CL232" i="15"/>
  <c r="CM232" i="15"/>
  <c r="CN232" i="15"/>
  <c r="CO232" i="15"/>
  <c r="CP232" i="15"/>
  <c r="CQ232" i="15"/>
  <c r="CR232" i="15"/>
  <c r="CS232" i="15"/>
  <c r="CT232" i="15"/>
  <c r="CU232" i="15"/>
  <c r="CV232" i="15"/>
  <c r="CW232" i="15"/>
  <c r="CX232" i="15"/>
  <c r="CY232" i="15"/>
  <c r="CB233" i="15"/>
  <c r="CC233" i="15"/>
  <c r="CD233" i="15"/>
  <c r="CE233" i="15"/>
  <c r="CF233" i="15"/>
  <c r="CG233" i="15"/>
  <c r="CH233" i="15"/>
  <c r="CI233" i="15"/>
  <c r="CJ233" i="15"/>
  <c r="CK233" i="15"/>
  <c r="CL233" i="15"/>
  <c r="CM233" i="15"/>
  <c r="CN233" i="15"/>
  <c r="CO233" i="15"/>
  <c r="CP233" i="15"/>
  <c r="CQ233" i="15"/>
  <c r="CR233" i="15"/>
  <c r="CS233" i="15"/>
  <c r="CT233" i="15"/>
  <c r="CU233" i="15"/>
  <c r="CV233" i="15"/>
  <c r="CW233" i="15"/>
  <c r="CX233" i="15"/>
  <c r="CY233" i="15"/>
  <c r="CB234" i="15"/>
  <c r="CC234" i="15"/>
  <c r="CD234" i="15"/>
  <c r="CE234" i="15"/>
  <c r="CF234" i="15"/>
  <c r="CG234" i="15"/>
  <c r="CH234" i="15"/>
  <c r="CI234" i="15"/>
  <c r="CJ234" i="15"/>
  <c r="CK234" i="15"/>
  <c r="CL234" i="15"/>
  <c r="CM234" i="15"/>
  <c r="CN234" i="15"/>
  <c r="CO234" i="15"/>
  <c r="CP234" i="15"/>
  <c r="CQ234" i="15"/>
  <c r="CR234" i="15"/>
  <c r="CS234" i="15"/>
  <c r="CT234" i="15"/>
  <c r="CU234" i="15"/>
  <c r="CV234" i="15"/>
  <c r="CW234" i="15"/>
  <c r="CX234" i="15"/>
  <c r="CY234" i="15"/>
  <c r="CB235" i="15"/>
  <c r="CC235" i="15"/>
  <c r="CD235" i="15"/>
  <c r="CE235" i="15"/>
  <c r="CF235" i="15"/>
  <c r="CG235" i="15"/>
  <c r="CH235" i="15"/>
  <c r="CI235" i="15"/>
  <c r="CJ235" i="15"/>
  <c r="CK235" i="15"/>
  <c r="CL235" i="15"/>
  <c r="CM235" i="15"/>
  <c r="CN235" i="15"/>
  <c r="CO235" i="15"/>
  <c r="CP235" i="15"/>
  <c r="CQ235" i="15"/>
  <c r="CR235" i="15"/>
  <c r="CS235" i="15"/>
  <c r="CT235" i="15"/>
  <c r="CU235" i="15"/>
  <c r="CV235" i="15"/>
  <c r="CW235" i="15"/>
  <c r="CX235" i="15"/>
  <c r="CY235" i="15"/>
  <c r="CB236" i="15"/>
  <c r="CC236" i="15"/>
  <c r="CD236" i="15"/>
  <c r="CE236" i="15"/>
  <c r="CF236" i="15"/>
  <c r="CG236" i="15"/>
  <c r="CH236" i="15"/>
  <c r="CI236" i="15"/>
  <c r="CJ236" i="15"/>
  <c r="CK236" i="15"/>
  <c r="CL236" i="15"/>
  <c r="CM236" i="15"/>
  <c r="CN236" i="15"/>
  <c r="CO236" i="15"/>
  <c r="CP236" i="15"/>
  <c r="CQ236" i="15"/>
  <c r="CR236" i="15"/>
  <c r="CS236" i="15"/>
  <c r="CT236" i="15"/>
  <c r="CU236" i="15"/>
  <c r="CV236" i="15"/>
  <c r="CW236" i="15"/>
  <c r="CX236" i="15"/>
  <c r="CY236" i="15"/>
  <c r="CB237" i="15"/>
  <c r="CC237" i="15"/>
  <c r="CD237" i="15"/>
  <c r="CE237" i="15"/>
  <c r="CF237" i="15"/>
  <c r="CG237" i="15"/>
  <c r="CH237" i="15"/>
  <c r="CI237" i="15"/>
  <c r="CJ237" i="15"/>
  <c r="CK237" i="15"/>
  <c r="CL237" i="15"/>
  <c r="CM237" i="15"/>
  <c r="CN237" i="15"/>
  <c r="CO237" i="15"/>
  <c r="CP237" i="15"/>
  <c r="CQ237" i="15"/>
  <c r="CR237" i="15"/>
  <c r="CS237" i="15"/>
  <c r="CT237" i="15"/>
  <c r="CU237" i="15"/>
  <c r="CV237" i="15"/>
  <c r="CW237" i="15"/>
  <c r="CX237" i="15"/>
  <c r="CY237" i="15"/>
  <c r="CB238" i="15"/>
  <c r="CC238" i="15"/>
  <c r="CD238" i="15"/>
  <c r="CE238" i="15"/>
  <c r="CF238" i="15"/>
  <c r="CG238" i="15"/>
  <c r="CH238" i="15"/>
  <c r="CI238" i="15"/>
  <c r="CJ238" i="15"/>
  <c r="CK238" i="15"/>
  <c r="CL238" i="15"/>
  <c r="CM238" i="15"/>
  <c r="CN238" i="15"/>
  <c r="CO238" i="15"/>
  <c r="CP238" i="15"/>
  <c r="CQ238" i="15"/>
  <c r="CR238" i="15"/>
  <c r="CS238" i="15"/>
  <c r="CT238" i="15"/>
  <c r="CU238" i="15"/>
  <c r="CV238" i="15"/>
  <c r="CW238" i="15"/>
  <c r="CX238" i="15"/>
  <c r="CY238" i="15"/>
  <c r="CB239" i="15"/>
  <c r="CC239" i="15"/>
  <c r="CD239" i="15"/>
  <c r="CE239" i="15"/>
  <c r="CF239" i="15"/>
  <c r="CG239" i="15"/>
  <c r="CH239" i="15"/>
  <c r="CI239" i="15"/>
  <c r="CJ239" i="15"/>
  <c r="CK239" i="15"/>
  <c r="CL239" i="15"/>
  <c r="CM239" i="15"/>
  <c r="CN239" i="15"/>
  <c r="CO239" i="15"/>
  <c r="CP239" i="15"/>
  <c r="CQ239" i="15"/>
  <c r="CR239" i="15"/>
  <c r="CS239" i="15"/>
  <c r="CT239" i="15"/>
  <c r="CU239" i="15"/>
  <c r="CV239" i="15"/>
  <c r="CW239" i="15"/>
  <c r="CX239" i="15"/>
  <c r="CY239" i="15"/>
  <c r="CB240" i="15"/>
  <c r="CC240" i="15"/>
  <c r="CD240" i="15"/>
  <c r="CE240" i="15"/>
  <c r="CF240" i="15"/>
  <c r="CG240" i="15"/>
  <c r="CH240" i="15"/>
  <c r="CI240" i="15"/>
  <c r="CJ240" i="15"/>
  <c r="CK240" i="15"/>
  <c r="CL240" i="15"/>
  <c r="CM240" i="15"/>
  <c r="CN240" i="15"/>
  <c r="CO240" i="15"/>
  <c r="CP240" i="15"/>
  <c r="CQ240" i="15"/>
  <c r="CR240" i="15"/>
  <c r="CS240" i="15"/>
  <c r="CT240" i="15"/>
  <c r="CU240" i="15"/>
  <c r="CV240" i="15"/>
  <c r="CW240" i="15"/>
  <c r="CX240" i="15"/>
  <c r="CY240" i="15"/>
  <c r="CB241" i="15"/>
  <c r="CC241" i="15"/>
  <c r="CD241" i="15"/>
  <c r="CE241" i="15"/>
  <c r="CF241" i="15"/>
  <c r="CG241" i="15"/>
  <c r="CH241" i="15"/>
  <c r="CI241" i="15"/>
  <c r="CJ241" i="15"/>
  <c r="CK241" i="15"/>
  <c r="CL241" i="15"/>
  <c r="CM241" i="15"/>
  <c r="CN241" i="15"/>
  <c r="CO241" i="15"/>
  <c r="CP241" i="15"/>
  <c r="CQ241" i="15"/>
  <c r="CR241" i="15"/>
  <c r="CS241" i="15"/>
  <c r="CT241" i="15"/>
  <c r="CU241" i="15"/>
  <c r="CV241" i="15"/>
  <c r="CW241" i="15"/>
  <c r="CX241" i="15"/>
  <c r="CY241" i="15"/>
  <c r="CB242" i="15"/>
  <c r="CC242" i="15"/>
  <c r="CD242" i="15"/>
  <c r="CE242" i="15"/>
  <c r="CF242" i="15"/>
  <c r="CG242" i="15"/>
  <c r="CH242" i="15"/>
  <c r="CI242" i="15"/>
  <c r="CJ242" i="15"/>
  <c r="CK242" i="15"/>
  <c r="CL242" i="15"/>
  <c r="CM242" i="15"/>
  <c r="CN242" i="15"/>
  <c r="CO242" i="15"/>
  <c r="CP242" i="15"/>
  <c r="CQ242" i="15"/>
  <c r="CR242" i="15"/>
  <c r="CS242" i="15"/>
  <c r="CT242" i="15"/>
  <c r="CU242" i="15"/>
  <c r="CV242" i="15"/>
  <c r="CW242" i="15"/>
  <c r="CX242" i="15"/>
  <c r="CY242" i="15"/>
  <c r="CB243" i="15"/>
  <c r="CC243" i="15"/>
  <c r="CD243" i="15"/>
  <c r="CE243" i="15"/>
  <c r="CF243" i="15"/>
  <c r="CG243" i="15"/>
  <c r="CH243" i="15"/>
  <c r="CI243" i="15"/>
  <c r="CJ243" i="15"/>
  <c r="CK243" i="15"/>
  <c r="CL243" i="15"/>
  <c r="CM243" i="15"/>
  <c r="CN243" i="15"/>
  <c r="CO243" i="15"/>
  <c r="CP243" i="15"/>
  <c r="CQ243" i="15"/>
  <c r="CR243" i="15"/>
  <c r="CS243" i="15"/>
  <c r="CT243" i="15"/>
  <c r="CU243" i="15"/>
  <c r="CV243" i="15"/>
  <c r="CW243" i="15"/>
  <c r="CX243" i="15"/>
  <c r="CY243" i="15"/>
  <c r="CB244" i="15"/>
  <c r="CC244" i="15"/>
  <c r="CD244" i="15"/>
  <c r="CE244" i="15"/>
  <c r="CF244" i="15"/>
  <c r="CG244" i="15"/>
  <c r="CH244" i="15"/>
  <c r="CI244" i="15"/>
  <c r="CJ244" i="15"/>
  <c r="CK244" i="15"/>
  <c r="CL244" i="15"/>
  <c r="CM244" i="15"/>
  <c r="CN244" i="15"/>
  <c r="CO244" i="15"/>
  <c r="CP244" i="15"/>
  <c r="CQ244" i="15"/>
  <c r="CR244" i="15"/>
  <c r="CS244" i="15"/>
  <c r="CT244" i="15"/>
  <c r="CU244" i="15"/>
  <c r="CV244" i="15"/>
  <c r="CW244" i="15"/>
  <c r="CX244" i="15"/>
  <c r="CY244" i="15"/>
  <c r="CB245" i="15"/>
  <c r="CC245" i="15"/>
  <c r="CD245" i="15"/>
  <c r="CE245" i="15"/>
  <c r="CF245" i="15"/>
  <c r="CG245" i="15"/>
  <c r="CH245" i="15"/>
  <c r="CI245" i="15"/>
  <c r="CJ245" i="15"/>
  <c r="CK245" i="15"/>
  <c r="CL245" i="15"/>
  <c r="CM245" i="15"/>
  <c r="CN245" i="15"/>
  <c r="CO245" i="15"/>
  <c r="CP245" i="15"/>
  <c r="CQ245" i="15"/>
  <c r="CR245" i="15"/>
  <c r="CS245" i="15"/>
  <c r="CT245" i="15"/>
  <c r="CU245" i="15"/>
  <c r="CV245" i="15"/>
  <c r="CW245" i="15"/>
  <c r="CX245" i="15"/>
  <c r="CY245" i="15"/>
  <c r="CB246" i="15"/>
  <c r="CC246" i="15"/>
  <c r="CD246" i="15"/>
  <c r="CE246" i="15"/>
  <c r="CF246" i="15"/>
  <c r="CG246" i="15"/>
  <c r="CH246" i="15"/>
  <c r="CI246" i="15"/>
  <c r="CJ246" i="15"/>
  <c r="CK246" i="15"/>
  <c r="CL246" i="15"/>
  <c r="CM246" i="15"/>
  <c r="CN246" i="15"/>
  <c r="CO246" i="15"/>
  <c r="CP246" i="15"/>
  <c r="CQ246" i="15"/>
  <c r="CR246" i="15"/>
  <c r="CS246" i="15"/>
  <c r="CT246" i="15"/>
  <c r="CU246" i="15"/>
  <c r="CV246" i="15"/>
  <c r="CW246" i="15"/>
  <c r="CX246" i="15"/>
  <c r="CY246" i="15"/>
  <c r="CB247" i="15"/>
  <c r="CC247" i="15"/>
  <c r="CD247" i="15"/>
  <c r="CE247" i="15"/>
  <c r="CF247" i="15"/>
  <c r="CG247" i="15"/>
  <c r="CH247" i="15"/>
  <c r="CI247" i="15"/>
  <c r="CJ247" i="15"/>
  <c r="CK247" i="15"/>
  <c r="CL247" i="15"/>
  <c r="CM247" i="15"/>
  <c r="CN247" i="15"/>
  <c r="CO247" i="15"/>
  <c r="CP247" i="15"/>
  <c r="CQ247" i="15"/>
  <c r="CR247" i="15"/>
  <c r="CS247" i="15"/>
  <c r="CT247" i="15"/>
  <c r="CU247" i="15"/>
  <c r="CV247" i="15"/>
  <c r="CW247" i="15"/>
  <c r="CX247" i="15"/>
  <c r="CY247" i="15"/>
  <c r="CB248" i="15"/>
  <c r="CC248" i="15"/>
  <c r="CD248" i="15"/>
  <c r="CE248" i="15"/>
  <c r="CF248" i="15"/>
  <c r="CG248" i="15"/>
  <c r="CH248" i="15"/>
  <c r="CI248" i="15"/>
  <c r="CJ248" i="15"/>
  <c r="CK248" i="15"/>
  <c r="CL248" i="15"/>
  <c r="CM248" i="15"/>
  <c r="CN248" i="15"/>
  <c r="CO248" i="15"/>
  <c r="CP248" i="15"/>
  <c r="CQ248" i="15"/>
  <c r="CR248" i="15"/>
  <c r="CS248" i="15"/>
  <c r="CT248" i="15"/>
  <c r="CU248" i="15"/>
  <c r="CV248" i="15"/>
  <c r="CW248" i="15"/>
  <c r="CX248" i="15"/>
  <c r="CY248" i="15"/>
  <c r="CB249" i="15"/>
  <c r="CC249" i="15"/>
  <c r="CD249" i="15"/>
  <c r="CE249" i="15"/>
  <c r="CF249" i="15"/>
  <c r="CG249" i="15"/>
  <c r="CH249" i="15"/>
  <c r="CI249" i="15"/>
  <c r="CJ249" i="15"/>
  <c r="CK249" i="15"/>
  <c r="CL249" i="15"/>
  <c r="CM249" i="15"/>
  <c r="CN249" i="15"/>
  <c r="CO249" i="15"/>
  <c r="CP249" i="15"/>
  <c r="CQ249" i="15"/>
  <c r="CR249" i="15"/>
  <c r="CS249" i="15"/>
  <c r="CT249" i="15"/>
  <c r="CU249" i="15"/>
  <c r="CV249" i="15"/>
  <c r="CW249" i="15"/>
  <c r="CX249" i="15"/>
  <c r="CY249" i="15"/>
  <c r="CB250" i="15"/>
  <c r="CC250" i="15"/>
  <c r="CD250" i="15"/>
  <c r="CE250" i="15"/>
  <c r="CF250" i="15"/>
  <c r="CG250" i="15"/>
  <c r="CH250" i="15"/>
  <c r="CI250" i="15"/>
  <c r="CJ250" i="15"/>
  <c r="CK250" i="15"/>
  <c r="CL250" i="15"/>
  <c r="CM250" i="15"/>
  <c r="CN250" i="15"/>
  <c r="CO250" i="15"/>
  <c r="CP250" i="15"/>
  <c r="CQ250" i="15"/>
  <c r="CR250" i="15"/>
  <c r="CS250" i="15"/>
  <c r="CT250" i="15"/>
  <c r="CU250" i="15"/>
  <c r="CV250" i="15"/>
  <c r="CW250" i="15"/>
  <c r="CX250" i="15"/>
  <c r="CY250" i="15"/>
  <c r="CB251" i="15"/>
  <c r="CC251" i="15"/>
  <c r="CD251" i="15"/>
  <c r="CE251" i="15"/>
  <c r="CF251" i="15"/>
  <c r="CG251" i="15"/>
  <c r="CH251" i="15"/>
  <c r="CI251" i="15"/>
  <c r="CJ251" i="15"/>
  <c r="CK251" i="15"/>
  <c r="CL251" i="15"/>
  <c r="CM251" i="15"/>
  <c r="CN251" i="15"/>
  <c r="CO251" i="15"/>
  <c r="CP251" i="15"/>
  <c r="CQ251" i="15"/>
  <c r="CR251" i="15"/>
  <c r="CS251" i="15"/>
  <c r="CT251" i="15"/>
  <c r="CU251" i="15"/>
  <c r="CV251" i="15"/>
  <c r="CW251" i="15"/>
  <c r="CX251" i="15"/>
  <c r="CY251" i="15"/>
  <c r="CB252" i="15"/>
  <c r="CC252" i="15"/>
  <c r="CD252" i="15"/>
  <c r="CE252" i="15"/>
  <c r="CF252" i="15"/>
  <c r="CG252" i="15"/>
  <c r="CH252" i="15"/>
  <c r="CI252" i="15"/>
  <c r="CJ252" i="15"/>
  <c r="CK252" i="15"/>
  <c r="CL252" i="15"/>
  <c r="CM252" i="15"/>
  <c r="CN252" i="15"/>
  <c r="CO252" i="15"/>
  <c r="CP252" i="15"/>
  <c r="CQ252" i="15"/>
  <c r="CR252" i="15"/>
  <c r="CS252" i="15"/>
  <c r="CT252" i="15"/>
  <c r="CU252" i="15"/>
  <c r="CV252" i="15"/>
  <c r="CW252" i="15"/>
  <c r="CX252" i="15"/>
  <c r="CY252" i="15"/>
  <c r="CB253" i="15"/>
  <c r="CC253" i="15"/>
  <c r="CD253" i="15"/>
  <c r="CE253" i="15"/>
  <c r="CF253" i="15"/>
  <c r="CG253" i="15"/>
  <c r="CH253" i="15"/>
  <c r="CI253" i="15"/>
  <c r="CJ253" i="15"/>
  <c r="CK253" i="15"/>
  <c r="CL253" i="15"/>
  <c r="CM253" i="15"/>
  <c r="CN253" i="15"/>
  <c r="CO253" i="15"/>
  <c r="CP253" i="15"/>
  <c r="CQ253" i="15"/>
  <c r="CR253" i="15"/>
  <c r="CS253" i="15"/>
  <c r="CT253" i="15"/>
  <c r="CU253" i="15"/>
  <c r="CV253" i="15"/>
  <c r="CW253" i="15"/>
  <c r="CX253" i="15"/>
  <c r="CY253" i="15"/>
  <c r="CB254" i="15"/>
  <c r="CC254" i="15"/>
  <c r="CD254" i="15"/>
  <c r="CE254" i="15"/>
  <c r="CF254" i="15"/>
  <c r="CG254" i="15"/>
  <c r="CH254" i="15"/>
  <c r="CI254" i="15"/>
  <c r="CJ254" i="15"/>
  <c r="CK254" i="15"/>
  <c r="CL254" i="15"/>
  <c r="CM254" i="15"/>
  <c r="CN254" i="15"/>
  <c r="CO254" i="15"/>
  <c r="CP254" i="15"/>
  <c r="CQ254" i="15"/>
  <c r="CR254" i="15"/>
  <c r="CS254" i="15"/>
  <c r="CT254" i="15"/>
  <c r="CU254" i="15"/>
  <c r="CV254" i="15"/>
  <c r="CW254" i="15"/>
  <c r="CX254" i="15"/>
  <c r="CY254" i="15"/>
  <c r="CB255" i="15"/>
  <c r="CC255" i="15"/>
  <c r="CD255" i="15"/>
  <c r="CE255" i="15"/>
  <c r="CF255" i="15"/>
  <c r="CG255" i="15"/>
  <c r="CH255" i="15"/>
  <c r="CI255" i="15"/>
  <c r="CJ255" i="15"/>
  <c r="CK255" i="15"/>
  <c r="CL255" i="15"/>
  <c r="CM255" i="15"/>
  <c r="CN255" i="15"/>
  <c r="CO255" i="15"/>
  <c r="CP255" i="15"/>
  <c r="CQ255" i="15"/>
  <c r="CR255" i="15"/>
  <c r="CS255" i="15"/>
  <c r="CT255" i="15"/>
  <c r="CU255" i="15"/>
  <c r="CV255" i="15"/>
  <c r="CW255" i="15"/>
  <c r="CX255" i="15"/>
  <c r="CY255" i="15"/>
  <c r="CB256" i="15"/>
  <c r="CC256" i="15"/>
  <c r="CD256" i="15"/>
  <c r="CE256" i="15"/>
  <c r="CF256" i="15"/>
  <c r="CG256" i="15"/>
  <c r="CH256" i="15"/>
  <c r="CI256" i="15"/>
  <c r="CJ256" i="15"/>
  <c r="CK256" i="15"/>
  <c r="CL256" i="15"/>
  <c r="CM256" i="15"/>
  <c r="CN256" i="15"/>
  <c r="CO256" i="15"/>
  <c r="CP256" i="15"/>
  <c r="CQ256" i="15"/>
  <c r="CR256" i="15"/>
  <c r="CS256" i="15"/>
  <c r="CT256" i="15"/>
  <c r="CU256" i="15"/>
  <c r="CV256" i="15"/>
  <c r="CW256" i="15"/>
  <c r="CX256" i="15"/>
  <c r="CY256" i="15"/>
  <c r="CB257" i="15"/>
  <c r="CC257" i="15"/>
  <c r="CD257" i="15"/>
  <c r="CE257" i="15"/>
  <c r="CF257" i="15"/>
  <c r="CG257" i="15"/>
  <c r="CH257" i="15"/>
  <c r="CI257" i="15"/>
  <c r="CJ257" i="15"/>
  <c r="CK257" i="15"/>
  <c r="CL257" i="15"/>
  <c r="CM257" i="15"/>
  <c r="CN257" i="15"/>
  <c r="CO257" i="15"/>
  <c r="CP257" i="15"/>
  <c r="CQ257" i="15"/>
  <c r="CR257" i="15"/>
  <c r="CS257" i="15"/>
  <c r="CT257" i="15"/>
  <c r="CU257" i="15"/>
  <c r="CV257" i="15"/>
  <c r="CW257" i="15"/>
  <c r="CX257" i="15"/>
  <c r="CY257" i="15"/>
  <c r="CB258" i="15"/>
  <c r="CC258" i="15"/>
  <c r="CD258" i="15"/>
  <c r="CE258" i="15"/>
  <c r="CF258" i="15"/>
  <c r="CG258" i="15"/>
  <c r="CH258" i="15"/>
  <c r="CI258" i="15"/>
  <c r="CJ258" i="15"/>
  <c r="CK258" i="15"/>
  <c r="CL258" i="15"/>
  <c r="CM258" i="15"/>
  <c r="CN258" i="15"/>
  <c r="CO258" i="15"/>
  <c r="CP258" i="15"/>
  <c r="CQ258" i="15"/>
  <c r="CR258" i="15"/>
  <c r="CS258" i="15"/>
  <c r="CT258" i="15"/>
  <c r="CU258" i="15"/>
  <c r="CV258" i="15"/>
  <c r="CW258" i="15"/>
  <c r="CX258" i="15"/>
  <c r="CY258" i="15"/>
  <c r="CB259" i="15"/>
  <c r="CC259" i="15"/>
  <c r="CD259" i="15"/>
  <c r="CE259" i="15"/>
  <c r="CF259" i="15"/>
  <c r="CG259" i="15"/>
  <c r="CH259" i="15"/>
  <c r="CI259" i="15"/>
  <c r="CJ259" i="15"/>
  <c r="CK259" i="15"/>
  <c r="CL259" i="15"/>
  <c r="CM259" i="15"/>
  <c r="CN259" i="15"/>
  <c r="CO259" i="15"/>
  <c r="CP259" i="15"/>
  <c r="CQ259" i="15"/>
  <c r="CR259" i="15"/>
  <c r="CS259" i="15"/>
  <c r="CT259" i="15"/>
  <c r="CU259" i="15"/>
  <c r="CV259" i="15"/>
  <c r="CW259" i="15"/>
  <c r="CX259" i="15"/>
  <c r="CY259" i="15"/>
  <c r="CB260" i="15"/>
  <c r="CC260" i="15"/>
  <c r="CD260" i="15"/>
  <c r="CE260" i="15"/>
  <c r="CF260" i="15"/>
  <c r="CG260" i="15"/>
  <c r="CH260" i="15"/>
  <c r="CI260" i="15"/>
  <c r="CJ260" i="15"/>
  <c r="CK260" i="15"/>
  <c r="CL260" i="15"/>
  <c r="CM260" i="15"/>
  <c r="CN260" i="15"/>
  <c r="CO260" i="15"/>
  <c r="CP260" i="15"/>
  <c r="CQ260" i="15"/>
  <c r="CR260" i="15"/>
  <c r="CS260" i="15"/>
  <c r="CT260" i="15"/>
  <c r="CU260" i="15"/>
  <c r="CV260" i="15"/>
  <c r="CW260" i="15"/>
  <c r="CX260" i="15"/>
  <c r="CY260" i="15"/>
  <c r="CB261" i="15"/>
  <c r="CC261" i="15"/>
  <c r="CD261" i="15"/>
  <c r="CE261" i="15"/>
  <c r="CF261" i="15"/>
  <c r="CG261" i="15"/>
  <c r="CH261" i="15"/>
  <c r="CI261" i="15"/>
  <c r="CJ261" i="15"/>
  <c r="CK261" i="15"/>
  <c r="CL261" i="15"/>
  <c r="CM261" i="15"/>
  <c r="CN261" i="15"/>
  <c r="CO261" i="15"/>
  <c r="CP261" i="15"/>
  <c r="CQ261" i="15"/>
  <c r="CR261" i="15"/>
  <c r="CS261" i="15"/>
  <c r="CT261" i="15"/>
  <c r="CU261" i="15"/>
  <c r="CV261" i="15"/>
  <c r="CW261" i="15"/>
  <c r="CX261" i="15"/>
  <c r="CY261" i="15"/>
  <c r="CB262" i="15"/>
  <c r="CC262" i="15"/>
  <c r="CD262" i="15"/>
  <c r="CE262" i="15"/>
  <c r="CF262" i="15"/>
  <c r="CG262" i="15"/>
  <c r="CH262" i="15"/>
  <c r="CI262" i="15"/>
  <c r="CJ262" i="15"/>
  <c r="CK262" i="15"/>
  <c r="CL262" i="15"/>
  <c r="CM262" i="15"/>
  <c r="CN262" i="15"/>
  <c r="CO262" i="15"/>
  <c r="CP262" i="15"/>
  <c r="CQ262" i="15"/>
  <c r="CR262" i="15"/>
  <c r="CS262" i="15"/>
  <c r="CT262" i="15"/>
  <c r="CU262" i="15"/>
  <c r="CV262" i="15"/>
  <c r="CW262" i="15"/>
  <c r="CX262" i="15"/>
  <c r="CY262" i="15"/>
  <c r="CB263" i="15"/>
  <c r="CC263" i="15"/>
  <c r="CD263" i="15"/>
  <c r="CE263" i="15"/>
  <c r="CF263" i="15"/>
  <c r="CG263" i="15"/>
  <c r="CH263" i="15"/>
  <c r="CI263" i="15"/>
  <c r="CJ263" i="15"/>
  <c r="CK263" i="15"/>
  <c r="CL263" i="15"/>
  <c r="CM263" i="15"/>
  <c r="CN263" i="15"/>
  <c r="CO263" i="15"/>
  <c r="CP263" i="15"/>
  <c r="CQ263" i="15"/>
  <c r="CR263" i="15"/>
  <c r="CS263" i="15"/>
  <c r="CT263" i="15"/>
  <c r="CU263" i="15"/>
  <c r="CV263" i="15"/>
  <c r="CW263" i="15"/>
  <c r="CX263" i="15"/>
  <c r="CY263" i="15"/>
  <c r="CB264" i="15"/>
  <c r="CC264" i="15"/>
  <c r="CD264" i="15"/>
  <c r="CE264" i="15"/>
  <c r="CF264" i="15"/>
  <c r="CG264" i="15"/>
  <c r="CH264" i="15"/>
  <c r="CI264" i="15"/>
  <c r="CJ264" i="15"/>
  <c r="CK264" i="15"/>
  <c r="CL264" i="15"/>
  <c r="CM264" i="15"/>
  <c r="CN264" i="15"/>
  <c r="CO264" i="15"/>
  <c r="CP264" i="15"/>
  <c r="CQ264" i="15"/>
  <c r="CR264" i="15"/>
  <c r="CS264" i="15"/>
  <c r="CT264" i="15"/>
  <c r="CU264" i="15"/>
  <c r="CV264" i="15"/>
  <c r="CW264" i="15"/>
  <c r="CX264" i="15"/>
  <c r="CY264" i="15"/>
  <c r="CB265" i="15"/>
  <c r="CC265" i="15"/>
  <c r="CD265" i="15"/>
  <c r="CE265" i="15"/>
  <c r="CF265" i="15"/>
  <c r="CG265" i="15"/>
  <c r="CH265" i="15"/>
  <c r="CI265" i="15"/>
  <c r="CJ265" i="15"/>
  <c r="CK265" i="15"/>
  <c r="CL265" i="15"/>
  <c r="CM265" i="15"/>
  <c r="CN265" i="15"/>
  <c r="CO265" i="15"/>
  <c r="CP265" i="15"/>
  <c r="CQ265" i="15"/>
  <c r="CR265" i="15"/>
  <c r="CS265" i="15"/>
  <c r="CT265" i="15"/>
  <c r="CU265" i="15"/>
  <c r="CV265" i="15"/>
  <c r="CW265" i="15"/>
  <c r="CX265" i="15"/>
  <c r="CY265" i="15"/>
  <c r="CB266" i="15"/>
  <c r="CC266" i="15"/>
  <c r="CD266" i="15"/>
  <c r="CE266" i="15"/>
  <c r="CF266" i="15"/>
  <c r="CG266" i="15"/>
  <c r="CH266" i="15"/>
  <c r="CI266" i="15"/>
  <c r="CJ266" i="15"/>
  <c r="CK266" i="15"/>
  <c r="CL266" i="15"/>
  <c r="CM266" i="15"/>
  <c r="CN266" i="15"/>
  <c r="CO266" i="15"/>
  <c r="CP266" i="15"/>
  <c r="CQ266" i="15"/>
  <c r="CR266" i="15"/>
  <c r="CS266" i="15"/>
  <c r="CT266" i="15"/>
  <c r="CU266" i="15"/>
  <c r="CV266" i="15"/>
  <c r="CW266" i="15"/>
  <c r="CX266" i="15"/>
  <c r="CY266" i="15"/>
  <c r="CB267" i="15"/>
  <c r="CC267" i="15"/>
  <c r="CD267" i="15"/>
  <c r="CE267" i="15"/>
  <c r="CF267" i="15"/>
  <c r="CG267" i="15"/>
  <c r="CH267" i="15"/>
  <c r="CI267" i="15"/>
  <c r="CJ267" i="15"/>
  <c r="CK267" i="15"/>
  <c r="CL267" i="15"/>
  <c r="CM267" i="15"/>
  <c r="CN267" i="15"/>
  <c r="CO267" i="15"/>
  <c r="CP267" i="15"/>
  <c r="CQ267" i="15"/>
  <c r="CR267" i="15"/>
  <c r="CS267" i="15"/>
  <c r="CT267" i="15"/>
  <c r="CU267" i="15"/>
  <c r="CV267" i="15"/>
  <c r="CW267" i="15"/>
  <c r="CX267" i="15"/>
  <c r="CY267" i="15"/>
  <c r="CB268" i="15"/>
  <c r="CC268" i="15"/>
  <c r="CD268" i="15"/>
  <c r="CE268" i="15"/>
  <c r="CF268" i="15"/>
  <c r="CG268" i="15"/>
  <c r="CH268" i="15"/>
  <c r="CI268" i="15"/>
  <c r="CJ268" i="15"/>
  <c r="CK268" i="15"/>
  <c r="CL268" i="15"/>
  <c r="CM268" i="15"/>
  <c r="CN268" i="15"/>
  <c r="CO268" i="15"/>
  <c r="CP268" i="15"/>
  <c r="CQ268" i="15"/>
  <c r="CR268" i="15"/>
  <c r="CS268" i="15"/>
  <c r="CT268" i="15"/>
  <c r="CU268" i="15"/>
  <c r="CV268" i="15"/>
  <c r="CW268" i="15"/>
  <c r="CX268" i="15"/>
  <c r="CY268" i="15"/>
  <c r="CB269" i="15"/>
  <c r="CC269" i="15"/>
  <c r="CD269" i="15"/>
  <c r="CE269" i="15"/>
  <c r="CF269" i="15"/>
  <c r="CG269" i="15"/>
  <c r="CH269" i="15"/>
  <c r="CI269" i="15"/>
  <c r="CJ269" i="15"/>
  <c r="CK269" i="15"/>
  <c r="CL269" i="15"/>
  <c r="CM269" i="15"/>
  <c r="CN269" i="15"/>
  <c r="CO269" i="15"/>
  <c r="CP269" i="15"/>
  <c r="CQ269" i="15"/>
  <c r="CR269" i="15"/>
  <c r="CS269" i="15"/>
  <c r="CT269" i="15"/>
  <c r="CU269" i="15"/>
  <c r="CV269" i="15"/>
  <c r="CW269" i="15"/>
  <c r="CX269" i="15"/>
  <c r="CY269" i="15"/>
  <c r="CB270" i="15"/>
  <c r="CC270" i="15"/>
  <c r="CD270" i="15"/>
  <c r="CE270" i="15"/>
  <c r="CF270" i="15"/>
  <c r="CG270" i="15"/>
  <c r="CH270" i="15"/>
  <c r="CI270" i="15"/>
  <c r="CJ270" i="15"/>
  <c r="CK270" i="15"/>
  <c r="CL270" i="15"/>
  <c r="CM270" i="15"/>
  <c r="CN270" i="15"/>
  <c r="CO270" i="15"/>
  <c r="CP270" i="15"/>
  <c r="CQ270" i="15"/>
  <c r="CR270" i="15"/>
  <c r="CS270" i="15"/>
  <c r="CT270" i="15"/>
  <c r="CU270" i="15"/>
  <c r="CV270" i="15"/>
  <c r="CW270" i="15"/>
  <c r="CX270" i="15"/>
  <c r="CY270" i="15"/>
  <c r="CB271" i="15"/>
  <c r="CC271" i="15"/>
  <c r="CD271" i="15"/>
  <c r="CE271" i="15"/>
  <c r="CF271" i="15"/>
  <c r="CG271" i="15"/>
  <c r="CH271" i="15"/>
  <c r="CI271" i="15"/>
  <c r="CJ271" i="15"/>
  <c r="CK271" i="15"/>
  <c r="CL271" i="15"/>
  <c r="CM271" i="15"/>
  <c r="CN271" i="15"/>
  <c r="CO271" i="15"/>
  <c r="CP271" i="15"/>
  <c r="CQ271" i="15"/>
  <c r="CR271" i="15"/>
  <c r="CS271" i="15"/>
  <c r="CT271" i="15"/>
  <c r="CU271" i="15"/>
  <c r="CV271" i="15"/>
  <c r="CW271" i="15"/>
  <c r="CX271" i="15"/>
  <c r="CY271" i="15"/>
  <c r="CB272" i="15"/>
  <c r="CC272" i="15"/>
  <c r="CD272" i="15"/>
  <c r="CE272" i="15"/>
  <c r="CF272" i="15"/>
  <c r="CG272" i="15"/>
  <c r="CH272" i="15"/>
  <c r="CI272" i="15"/>
  <c r="CJ272" i="15"/>
  <c r="CK272" i="15"/>
  <c r="CL272" i="15"/>
  <c r="CM272" i="15"/>
  <c r="CN272" i="15"/>
  <c r="CO272" i="15"/>
  <c r="CP272" i="15"/>
  <c r="CQ272" i="15"/>
  <c r="CR272" i="15"/>
  <c r="CS272" i="15"/>
  <c r="CT272" i="15"/>
  <c r="CU272" i="15"/>
  <c r="CV272" i="15"/>
  <c r="CW272" i="15"/>
  <c r="CX272" i="15"/>
  <c r="CY272" i="15"/>
  <c r="CB273" i="15"/>
  <c r="CC273" i="15"/>
  <c r="CD273" i="15"/>
  <c r="CE273" i="15"/>
  <c r="CF273" i="15"/>
  <c r="CG273" i="15"/>
  <c r="CH273" i="15"/>
  <c r="CI273" i="15"/>
  <c r="CJ273" i="15"/>
  <c r="CK273" i="15"/>
  <c r="CL273" i="15"/>
  <c r="CM273" i="15"/>
  <c r="CN273" i="15"/>
  <c r="CO273" i="15"/>
  <c r="CP273" i="15"/>
  <c r="CQ273" i="15"/>
  <c r="CR273" i="15"/>
  <c r="CS273" i="15"/>
  <c r="CT273" i="15"/>
  <c r="CU273" i="15"/>
  <c r="CV273" i="15"/>
  <c r="CW273" i="15"/>
  <c r="CX273" i="15"/>
  <c r="CY273" i="15"/>
  <c r="CB274" i="15"/>
  <c r="CC274" i="15"/>
  <c r="CD274" i="15"/>
  <c r="CE274" i="15"/>
  <c r="CF274" i="15"/>
  <c r="CG274" i="15"/>
  <c r="CH274" i="15"/>
  <c r="CI274" i="15"/>
  <c r="CJ274" i="15"/>
  <c r="CK274" i="15"/>
  <c r="CL274" i="15"/>
  <c r="CM274" i="15"/>
  <c r="CN274" i="15"/>
  <c r="CO274" i="15"/>
  <c r="CP274" i="15"/>
  <c r="CQ274" i="15"/>
  <c r="CR274" i="15"/>
  <c r="CS274" i="15"/>
  <c r="CT274" i="15"/>
  <c r="CU274" i="15"/>
  <c r="CV274" i="15"/>
  <c r="CW274" i="15"/>
  <c r="CX274" i="15"/>
  <c r="CY274" i="15"/>
  <c r="CB275" i="15"/>
  <c r="CC275" i="15"/>
  <c r="CD275" i="15"/>
  <c r="CE275" i="15"/>
  <c r="CF275" i="15"/>
  <c r="CG275" i="15"/>
  <c r="CH275" i="15"/>
  <c r="CI275" i="15"/>
  <c r="CJ275" i="15"/>
  <c r="CK275" i="15"/>
  <c r="CL275" i="15"/>
  <c r="CM275" i="15"/>
  <c r="CN275" i="15"/>
  <c r="CO275" i="15"/>
  <c r="CP275" i="15"/>
  <c r="CQ275" i="15"/>
  <c r="CR275" i="15"/>
  <c r="CS275" i="15"/>
  <c r="CT275" i="15"/>
  <c r="CU275" i="15"/>
  <c r="CV275" i="15"/>
  <c r="CW275" i="15"/>
  <c r="CX275" i="15"/>
  <c r="CY275" i="15"/>
  <c r="CB276" i="15"/>
  <c r="CC276" i="15"/>
  <c r="CD276" i="15"/>
  <c r="CE276" i="15"/>
  <c r="CF276" i="15"/>
  <c r="CG276" i="15"/>
  <c r="CH276" i="15"/>
  <c r="CI276" i="15"/>
  <c r="CJ276" i="15"/>
  <c r="CK276" i="15"/>
  <c r="CL276" i="15"/>
  <c r="CM276" i="15"/>
  <c r="CN276" i="15"/>
  <c r="CO276" i="15"/>
  <c r="CP276" i="15"/>
  <c r="CQ276" i="15"/>
  <c r="CR276" i="15"/>
  <c r="CS276" i="15"/>
  <c r="CT276" i="15"/>
  <c r="CU276" i="15"/>
  <c r="CV276" i="15"/>
  <c r="CW276" i="15"/>
  <c r="CX276" i="15"/>
  <c r="CY276" i="15"/>
  <c r="CB277" i="15"/>
  <c r="CC277" i="15"/>
  <c r="CD277" i="15"/>
  <c r="CE277" i="15"/>
  <c r="CF277" i="15"/>
  <c r="CG277" i="15"/>
  <c r="CH277" i="15"/>
  <c r="CI277" i="15"/>
  <c r="CJ277" i="15"/>
  <c r="CK277" i="15"/>
  <c r="CL277" i="15"/>
  <c r="CM277" i="15"/>
  <c r="CN277" i="15"/>
  <c r="CO277" i="15"/>
  <c r="CP277" i="15"/>
  <c r="CQ277" i="15"/>
  <c r="CR277" i="15"/>
  <c r="CS277" i="15"/>
  <c r="CT277" i="15"/>
  <c r="CU277" i="15"/>
  <c r="CV277" i="15"/>
  <c r="CW277" i="15"/>
  <c r="CX277" i="15"/>
  <c r="CY277" i="15"/>
  <c r="CB278" i="15"/>
  <c r="CC278" i="15"/>
  <c r="CD278" i="15"/>
  <c r="CE278" i="15"/>
  <c r="CF278" i="15"/>
  <c r="CG278" i="15"/>
  <c r="CH278" i="15"/>
  <c r="CI278" i="15"/>
  <c r="CJ278" i="15"/>
  <c r="CK278" i="15"/>
  <c r="CL278" i="15"/>
  <c r="CM278" i="15"/>
  <c r="CN278" i="15"/>
  <c r="CO278" i="15"/>
  <c r="CP278" i="15"/>
  <c r="CQ278" i="15"/>
  <c r="CR278" i="15"/>
  <c r="CS278" i="15"/>
  <c r="CT278" i="15"/>
  <c r="CU278" i="15"/>
  <c r="CV278" i="15"/>
  <c r="CW278" i="15"/>
  <c r="CX278" i="15"/>
  <c r="CY278" i="15"/>
  <c r="CB279" i="15"/>
  <c r="CC279" i="15"/>
  <c r="CD279" i="15"/>
  <c r="CE279" i="15"/>
  <c r="CF279" i="15"/>
  <c r="CG279" i="15"/>
  <c r="CH279" i="15"/>
  <c r="CI279" i="15"/>
  <c r="CJ279" i="15"/>
  <c r="CK279" i="15"/>
  <c r="CL279" i="15"/>
  <c r="CM279" i="15"/>
  <c r="CN279" i="15"/>
  <c r="CO279" i="15"/>
  <c r="CP279" i="15"/>
  <c r="CQ279" i="15"/>
  <c r="CR279" i="15"/>
  <c r="CS279" i="15"/>
  <c r="CT279" i="15"/>
  <c r="CU279" i="15"/>
  <c r="CV279" i="15"/>
  <c r="CW279" i="15"/>
  <c r="CX279" i="15"/>
  <c r="CY279" i="15"/>
  <c r="CB280" i="15"/>
  <c r="CC280" i="15"/>
  <c r="CD280" i="15"/>
  <c r="CE280" i="15"/>
  <c r="CF280" i="15"/>
  <c r="CG280" i="15"/>
  <c r="CH280" i="15"/>
  <c r="CI280" i="15"/>
  <c r="CJ280" i="15"/>
  <c r="CK280" i="15"/>
  <c r="CL280" i="15"/>
  <c r="CM280" i="15"/>
  <c r="CN280" i="15"/>
  <c r="CO280" i="15"/>
  <c r="CP280" i="15"/>
  <c r="CQ280" i="15"/>
  <c r="CR280" i="15"/>
  <c r="CS280" i="15"/>
  <c r="CT280" i="15"/>
  <c r="CU280" i="15"/>
  <c r="CV280" i="15"/>
  <c r="CW280" i="15"/>
  <c r="CX280" i="15"/>
  <c r="CY280" i="15"/>
  <c r="CB281" i="15"/>
  <c r="CC281" i="15"/>
  <c r="CD281" i="15"/>
  <c r="CE281" i="15"/>
  <c r="CF281" i="15"/>
  <c r="CG281" i="15"/>
  <c r="CH281" i="15"/>
  <c r="CI281" i="15"/>
  <c r="CJ281" i="15"/>
  <c r="CK281" i="15"/>
  <c r="CL281" i="15"/>
  <c r="CM281" i="15"/>
  <c r="CN281" i="15"/>
  <c r="CO281" i="15"/>
  <c r="CP281" i="15"/>
  <c r="CQ281" i="15"/>
  <c r="CR281" i="15"/>
  <c r="CS281" i="15"/>
  <c r="CT281" i="15"/>
  <c r="CU281" i="15"/>
  <c r="CV281" i="15"/>
  <c r="CW281" i="15"/>
  <c r="CX281" i="15"/>
  <c r="CY281" i="15"/>
  <c r="CB282" i="15"/>
  <c r="CC282" i="15"/>
  <c r="CD282" i="15"/>
  <c r="CE282" i="15"/>
  <c r="CF282" i="15"/>
  <c r="CG282" i="15"/>
  <c r="CH282" i="15"/>
  <c r="CI282" i="15"/>
  <c r="CJ282" i="15"/>
  <c r="CK282" i="15"/>
  <c r="CL282" i="15"/>
  <c r="CM282" i="15"/>
  <c r="CN282" i="15"/>
  <c r="CO282" i="15"/>
  <c r="CP282" i="15"/>
  <c r="CQ282" i="15"/>
  <c r="CR282" i="15"/>
  <c r="CS282" i="15"/>
  <c r="CT282" i="15"/>
  <c r="CU282" i="15"/>
  <c r="CV282" i="15"/>
  <c r="CW282" i="15"/>
  <c r="CX282" i="15"/>
  <c r="CY282" i="15"/>
  <c r="CB283" i="15"/>
  <c r="CC283" i="15"/>
  <c r="CD283" i="15"/>
  <c r="CE283" i="15"/>
  <c r="CF283" i="15"/>
  <c r="CG283" i="15"/>
  <c r="CH283" i="15"/>
  <c r="CI283" i="15"/>
  <c r="CJ283" i="15"/>
  <c r="CK283" i="15"/>
  <c r="CL283" i="15"/>
  <c r="CM283" i="15"/>
  <c r="CN283" i="15"/>
  <c r="CO283" i="15"/>
  <c r="CP283" i="15"/>
  <c r="CQ283" i="15"/>
  <c r="CR283" i="15"/>
  <c r="CS283" i="15"/>
  <c r="CT283" i="15"/>
  <c r="CU283" i="15"/>
  <c r="CV283" i="15"/>
  <c r="CW283" i="15"/>
  <c r="CX283" i="15"/>
  <c r="CY283" i="15"/>
  <c r="CB284" i="15"/>
  <c r="CC284" i="15"/>
  <c r="CD284" i="15"/>
  <c r="CE284" i="15"/>
  <c r="CF284" i="15"/>
  <c r="CG284" i="15"/>
  <c r="CH284" i="15"/>
  <c r="CI284" i="15"/>
  <c r="CJ284" i="15"/>
  <c r="CK284" i="15"/>
  <c r="CL284" i="15"/>
  <c r="CM284" i="15"/>
  <c r="CN284" i="15"/>
  <c r="CO284" i="15"/>
  <c r="CP284" i="15"/>
  <c r="CQ284" i="15"/>
  <c r="CR284" i="15"/>
  <c r="CS284" i="15"/>
  <c r="CT284" i="15"/>
  <c r="CU284" i="15"/>
  <c r="CV284" i="15"/>
  <c r="CW284" i="15"/>
  <c r="CX284" i="15"/>
  <c r="CY284" i="15"/>
  <c r="CB285" i="15"/>
  <c r="CC285" i="15"/>
  <c r="CD285" i="15"/>
  <c r="CE285" i="15"/>
  <c r="CF285" i="15"/>
  <c r="CG285" i="15"/>
  <c r="CH285" i="15"/>
  <c r="CI285" i="15"/>
  <c r="CJ285" i="15"/>
  <c r="CK285" i="15"/>
  <c r="CL285" i="15"/>
  <c r="CM285" i="15"/>
  <c r="CN285" i="15"/>
  <c r="CO285" i="15"/>
  <c r="CP285" i="15"/>
  <c r="CQ285" i="15"/>
  <c r="CR285" i="15"/>
  <c r="CS285" i="15"/>
  <c r="CT285" i="15"/>
  <c r="CU285" i="15"/>
  <c r="CV285" i="15"/>
  <c r="CW285" i="15"/>
  <c r="CX285" i="15"/>
  <c r="CY285" i="15"/>
  <c r="CB286" i="15"/>
  <c r="CC286" i="15"/>
  <c r="CD286" i="15"/>
  <c r="CE286" i="15"/>
  <c r="CF286" i="15"/>
  <c r="CG286" i="15"/>
  <c r="CH286" i="15"/>
  <c r="CI286" i="15"/>
  <c r="CJ286" i="15"/>
  <c r="CK286" i="15"/>
  <c r="CL286" i="15"/>
  <c r="CM286" i="15"/>
  <c r="CN286" i="15"/>
  <c r="CO286" i="15"/>
  <c r="CP286" i="15"/>
  <c r="CQ286" i="15"/>
  <c r="CR286" i="15"/>
  <c r="CS286" i="15"/>
  <c r="CT286" i="15"/>
  <c r="CU286" i="15"/>
  <c r="CV286" i="15"/>
  <c r="CW286" i="15"/>
  <c r="CX286" i="15"/>
  <c r="CY286" i="15"/>
  <c r="CB287" i="15"/>
  <c r="CC287" i="15"/>
  <c r="CD287" i="15"/>
  <c r="CE287" i="15"/>
  <c r="CF287" i="15"/>
  <c r="CG287" i="15"/>
  <c r="CH287" i="15"/>
  <c r="CI287" i="15"/>
  <c r="CJ287" i="15"/>
  <c r="CK287" i="15"/>
  <c r="CL287" i="15"/>
  <c r="CM287" i="15"/>
  <c r="CN287" i="15"/>
  <c r="CO287" i="15"/>
  <c r="CP287" i="15"/>
  <c r="CQ287" i="15"/>
  <c r="CR287" i="15"/>
  <c r="CS287" i="15"/>
  <c r="CT287" i="15"/>
  <c r="CU287" i="15"/>
  <c r="CV287" i="15"/>
  <c r="CW287" i="15"/>
  <c r="CX287" i="15"/>
  <c r="CY287" i="15"/>
  <c r="CB288" i="15"/>
  <c r="CC288" i="15"/>
  <c r="CD288" i="15"/>
  <c r="CE288" i="15"/>
  <c r="CF288" i="15"/>
  <c r="CG288" i="15"/>
  <c r="CH288" i="15"/>
  <c r="CI288" i="15"/>
  <c r="CJ288" i="15"/>
  <c r="CK288" i="15"/>
  <c r="CL288" i="15"/>
  <c r="CM288" i="15"/>
  <c r="CN288" i="15"/>
  <c r="CO288" i="15"/>
  <c r="CP288" i="15"/>
  <c r="CQ288" i="15"/>
  <c r="CR288" i="15"/>
  <c r="CS288" i="15"/>
  <c r="CT288" i="15"/>
  <c r="CU288" i="15"/>
  <c r="CV288" i="15"/>
  <c r="CW288" i="15"/>
  <c r="CX288" i="15"/>
  <c r="CY288" i="15"/>
  <c r="CB289" i="15"/>
  <c r="CC289" i="15"/>
  <c r="CD289" i="15"/>
  <c r="CE289" i="15"/>
  <c r="CF289" i="15"/>
  <c r="CG289" i="15"/>
  <c r="CH289" i="15"/>
  <c r="CI289" i="15"/>
  <c r="CJ289" i="15"/>
  <c r="CK289" i="15"/>
  <c r="CL289" i="15"/>
  <c r="CM289" i="15"/>
  <c r="CN289" i="15"/>
  <c r="CO289" i="15"/>
  <c r="CP289" i="15"/>
  <c r="CQ289" i="15"/>
  <c r="CR289" i="15"/>
  <c r="CS289" i="15"/>
  <c r="CT289" i="15"/>
  <c r="CU289" i="15"/>
  <c r="CV289" i="15"/>
  <c r="CW289" i="15"/>
  <c r="CX289" i="15"/>
  <c r="CY289" i="15"/>
  <c r="CB290" i="15"/>
  <c r="CC290" i="15"/>
  <c r="CD290" i="15"/>
  <c r="CE290" i="15"/>
  <c r="CF290" i="15"/>
  <c r="CG290" i="15"/>
  <c r="CH290" i="15"/>
  <c r="CI290" i="15"/>
  <c r="CJ290" i="15"/>
  <c r="CK290" i="15"/>
  <c r="CL290" i="15"/>
  <c r="CM290" i="15"/>
  <c r="CN290" i="15"/>
  <c r="CO290" i="15"/>
  <c r="CP290" i="15"/>
  <c r="CQ290" i="15"/>
  <c r="CR290" i="15"/>
  <c r="CS290" i="15"/>
  <c r="CT290" i="15"/>
  <c r="CU290" i="15"/>
  <c r="CV290" i="15"/>
  <c r="CW290" i="15"/>
  <c r="CX290" i="15"/>
  <c r="CY290" i="15"/>
  <c r="CB291" i="15"/>
  <c r="CC291" i="15"/>
  <c r="CD291" i="15"/>
  <c r="CE291" i="15"/>
  <c r="CF291" i="15"/>
  <c r="CG291" i="15"/>
  <c r="CH291" i="15"/>
  <c r="CI291" i="15"/>
  <c r="CJ291" i="15"/>
  <c r="CK291" i="15"/>
  <c r="CL291" i="15"/>
  <c r="CM291" i="15"/>
  <c r="CN291" i="15"/>
  <c r="CO291" i="15"/>
  <c r="CP291" i="15"/>
  <c r="CQ291" i="15"/>
  <c r="CR291" i="15"/>
  <c r="CS291" i="15"/>
  <c r="CT291" i="15"/>
  <c r="CU291" i="15"/>
  <c r="CV291" i="15"/>
  <c r="CW291" i="15"/>
  <c r="CX291" i="15"/>
  <c r="CY291" i="15"/>
  <c r="CB292" i="15"/>
  <c r="CC292" i="15"/>
  <c r="CD292" i="15"/>
  <c r="CE292" i="15"/>
  <c r="CF292" i="15"/>
  <c r="CG292" i="15"/>
  <c r="CH292" i="15"/>
  <c r="CI292" i="15"/>
  <c r="CJ292" i="15"/>
  <c r="CK292" i="15"/>
  <c r="CL292" i="15"/>
  <c r="CM292" i="15"/>
  <c r="CN292" i="15"/>
  <c r="CO292" i="15"/>
  <c r="CP292" i="15"/>
  <c r="CQ292" i="15"/>
  <c r="CR292" i="15"/>
  <c r="CS292" i="15"/>
  <c r="CT292" i="15"/>
  <c r="CU292" i="15"/>
  <c r="CV292" i="15"/>
  <c r="CW292" i="15"/>
  <c r="CX292" i="15"/>
  <c r="CY292" i="15"/>
  <c r="CB293" i="15"/>
  <c r="CC293" i="15"/>
  <c r="CD293" i="15"/>
  <c r="CE293" i="15"/>
  <c r="CF293" i="15"/>
  <c r="CG293" i="15"/>
  <c r="CH293" i="15"/>
  <c r="CI293" i="15"/>
  <c r="CJ293" i="15"/>
  <c r="CK293" i="15"/>
  <c r="CL293" i="15"/>
  <c r="CM293" i="15"/>
  <c r="CN293" i="15"/>
  <c r="CO293" i="15"/>
  <c r="CP293" i="15"/>
  <c r="CQ293" i="15"/>
  <c r="CR293" i="15"/>
  <c r="CS293" i="15"/>
  <c r="CT293" i="15"/>
  <c r="CU293" i="15"/>
  <c r="CV293" i="15"/>
  <c r="CW293" i="15"/>
  <c r="CX293" i="15"/>
  <c r="CY293" i="15"/>
  <c r="CB294" i="15"/>
  <c r="CC294" i="15"/>
  <c r="CD294" i="15"/>
  <c r="CE294" i="15"/>
  <c r="CF294" i="15"/>
  <c r="CG294" i="15"/>
  <c r="CH294" i="15"/>
  <c r="CI294" i="15"/>
  <c r="CJ294" i="15"/>
  <c r="CK294" i="15"/>
  <c r="CL294" i="15"/>
  <c r="CM294" i="15"/>
  <c r="CN294" i="15"/>
  <c r="CO294" i="15"/>
  <c r="CP294" i="15"/>
  <c r="CQ294" i="15"/>
  <c r="CR294" i="15"/>
  <c r="CS294" i="15"/>
  <c r="CT294" i="15"/>
  <c r="CU294" i="15"/>
  <c r="CV294" i="15"/>
  <c r="CW294" i="15"/>
  <c r="CX294" i="15"/>
  <c r="CY294" i="15"/>
  <c r="CB295" i="15"/>
  <c r="CC295" i="15"/>
  <c r="CD295" i="15"/>
  <c r="CE295" i="15"/>
  <c r="CF295" i="15"/>
  <c r="CG295" i="15"/>
  <c r="CH295" i="15"/>
  <c r="CI295" i="15"/>
  <c r="CJ295" i="15"/>
  <c r="CK295" i="15"/>
  <c r="CL295" i="15"/>
  <c r="CM295" i="15"/>
  <c r="CN295" i="15"/>
  <c r="CO295" i="15"/>
  <c r="CP295" i="15"/>
  <c r="CQ295" i="15"/>
  <c r="CR295" i="15"/>
  <c r="CS295" i="15"/>
  <c r="CT295" i="15"/>
  <c r="CU295" i="15"/>
  <c r="CV295" i="15"/>
  <c r="CW295" i="15"/>
  <c r="CX295" i="15"/>
  <c r="CY295" i="15"/>
  <c r="CB296" i="15"/>
  <c r="CC296" i="15"/>
  <c r="CD296" i="15"/>
  <c r="CE296" i="15"/>
  <c r="CF296" i="15"/>
  <c r="CG296" i="15"/>
  <c r="CH296" i="15"/>
  <c r="CI296" i="15"/>
  <c r="CJ296" i="15"/>
  <c r="CK296" i="15"/>
  <c r="CL296" i="15"/>
  <c r="CM296" i="15"/>
  <c r="CN296" i="15"/>
  <c r="CO296" i="15"/>
  <c r="CP296" i="15"/>
  <c r="CQ296" i="15"/>
  <c r="CR296" i="15"/>
  <c r="CS296" i="15"/>
  <c r="CT296" i="15"/>
  <c r="CU296" i="15"/>
  <c r="CV296" i="15"/>
  <c r="CW296" i="15"/>
  <c r="CX296" i="15"/>
  <c r="CY296" i="15"/>
  <c r="CB297" i="15"/>
  <c r="CC297" i="15"/>
  <c r="CD297" i="15"/>
  <c r="CE297" i="15"/>
  <c r="CF297" i="15"/>
  <c r="CG297" i="15"/>
  <c r="CH297" i="15"/>
  <c r="CI297" i="15"/>
  <c r="CJ297" i="15"/>
  <c r="CK297" i="15"/>
  <c r="CL297" i="15"/>
  <c r="CM297" i="15"/>
  <c r="CN297" i="15"/>
  <c r="CO297" i="15"/>
  <c r="CP297" i="15"/>
  <c r="CQ297" i="15"/>
  <c r="CR297" i="15"/>
  <c r="CS297" i="15"/>
  <c r="CT297" i="15"/>
  <c r="CU297" i="15"/>
  <c r="CV297" i="15"/>
  <c r="CW297" i="15"/>
  <c r="CX297" i="15"/>
  <c r="CY297" i="15"/>
  <c r="CB298" i="15"/>
  <c r="CC298" i="15"/>
  <c r="CD298" i="15"/>
  <c r="CE298" i="15"/>
  <c r="CF298" i="15"/>
  <c r="CG298" i="15"/>
  <c r="CH298" i="15"/>
  <c r="CI298" i="15"/>
  <c r="CJ298" i="15"/>
  <c r="CK298" i="15"/>
  <c r="CL298" i="15"/>
  <c r="CM298" i="15"/>
  <c r="CN298" i="15"/>
  <c r="CO298" i="15"/>
  <c r="CP298" i="15"/>
  <c r="CQ298" i="15"/>
  <c r="CR298" i="15"/>
  <c r="CS298" i="15"/>
  <c r="CT298" i="15"/>
  <c r="CU298" i="15"/>
  <c r="CV298" i="15"/>
  <c r="CW298" i="15"/>
  <c r="CX298" i="15"/>
  <c r="CY298" i="15"/>
  <c r="CB299" i="15"/>
  <c r="CC299" i="15"/>
  <c r="CD299" i="15"/>
  <c r="CE299" i="15"/>
  <c r="CF299" i="15"/>
  <c r="CG299" i="15"/>
  <c r="CH299" i="15"/>
  <c r="CI299" i="15"/>
  <c r="CJ299" i="15"/>
  <c r="CK299" i="15"/>
  <c r="CL299" i="15"/>
  <c r="CM299" i="15"/>
  <c r="CN299" i="15"/>
  <c r="CO299" i="15"/>
  <c r="CP299" i="15"/>
  <c r="CQ299" i="15"/>
  <c r="CR299" i="15"/>
  <c r="CS299" i="15"/>
  <c r="CT299" i="15"/>
  <c r="CU299" i="15"/>
  <c r="CV299" i="15"/>
  <c r="CW299" i="15"/>
  <c r="CX299" i="15"/>
  <c r="CY299" i="15"/>
  <c r="CB300" i="15"/>
  <c r="CC300" i="15"/>
  <c r="CD300" i="15"/>
  <c r="CE300" i="15"/>
  <c r="CF300" i="15"/>
  <c r="CG300" i="15"/>
  <c r="CH300" i="15"/>
  <c r="CI300" i="15"/>
  <c r="CJ300" i="15"/>
  <c r="CK300" i="15"/>
  <c r="CL300" i="15"/>
  <c r="CM300" i="15"/>
  <c r="CN300" i="15"/>
  <c r="CO300" i="15"/>
  <c r="CP300" i="15"/>
  <c r="CQ300" i="15"/>
  <c r="CR300" i="15"/>
  <c r="CS300" i="15"/>
  <c r="CT300" i="15"/>
  <c r="CU300" i="15"/>
  <c r="CV300" i="15"/>
  <c r="CW300" i="15"/>
  <c r="CX300" i="15"/>
  <c r="CY300" i="15"/>
  <c r="CB301" i="15"/>
  <c r="CC301" i="15"/>
  <c r="CD301" i="15"/>
  <c r="CE301" i="15"/>
  <c r="CF301" i="15"/>
  <c r="CG301" i="15"/>
  <c r="CH301" i="15"/>
  <c r="CI301" i="15"/>
  <c r="CJ301" i="15"/>
  <c r="CK301" i="15"/>
  <c r="CL301" i="15"/>
  <c r="CM301" i="15"/>
  <c r="CN301" i="15"/>
  <c r="CO301" i="15"/>
  <c r="CP301" i="15"/>
  <c r="CQ301" i="15"/>
  <c r="CR301" i="15"/>
  <c r="CS301" i="15"/>
  <c r="CT301" i="15"/>
  <c r="CU301" i="15"/>
  <c r="CV301" i="15"/>
  <c r="CW301" i="15"/>
  <c r="CX301" i="15"/>
  <c r="CY301" i="15"/>
  <c r="CB302" i="15"/>
  <c r="CC302" i="15"/>
  <c r="CD302" i="15"/>
  <c r="CE302" i="15"/>
  <c r="CF302" i="15"/>
  <c r="CG302" i="15"/>
  <c r="CH302" i="15"/>
  <c r="CI302" i="15"/>
  <c r="CJ302" i="15"/>
  <c r="CK302" i="15"/>
  <c r="CL302" i="15"/>
  <c r="CM302" i="15"/>
  <c r="CN302" i="15"/>
  <c r="CO302" i="15"/>
  <c r="CP302" i="15"/>
  <c r="CQ302" i="15"/>
  <c r="CR302" i="15"/>
  <c r="CS302" i="15"/>
  <c r="CT302" i="15"/>
  <c r="CU302" i="15"/>
  <c r="CV302" i="15"/>
  <c r="CW302" i="15"/>
  <c r="CX302" i="15"/>
  <c r="CY302" i="15"/>
  <c r="CB303" i="15"/>
  <c r="CC303" i="15"/>
  <c r="CD303" i="15"/>
  <c r="CE303" i="15"/>
  <c r="CF303" i="15"/>
  <c r="CG303" i="15"/>
  <c r="CH303" i="15"/>
  <c r="CI303" i="15"/>
  <c r="CJ303" i="15"/>
  <c r="CK303" i="15"/>
  <c r="CL303" i="15"/>
  <c r="CM303" i="15"/>
  <c r="CN303" i="15"/>
  <c r="CO303" i="15"/>
  <c r="CP303" i="15"/>
  <c r="CQ303" i="15"/>
  <c r="CR303" i="15"/>
  <c r="CS303" i="15"/>
  <c r="CT303" i="15"/>
  <c r="CU303" i="15"/>
  <c r="CV303" i="15"/>
  <c r="CW303" i="15"/>
  <c r="CX303" i="15"/>
  <c r="CY303" i="15"/>
  <c r="CB304" i="15"/>
  <c r="CC304" i="15"/>
  <c r="CD304" i="15"/>
  <c r="CE304" i="15"/>
  <c r="CF304" i="15"/>
  <c r="CG304" i="15"/>
  <c r="CH304" i="15"/>
  <c r="CI304" i="15"/>
  <c r="CJ304" i="15"/>
  <c r="CK304" i="15"/>
  <c r="CL304" i="15"/>
  <c r="CM304" i="15"/>
  <c r="CN304" i="15"/>
  <c r="CO304" i="15"/>
  <c r="CP304" i="15"/>
  <c r="CQ304" i="15"/>
  <c r="CR304" i="15"/>
  <c r="CS304" i="15"/>
  <c r="CT304" i="15"/>
  <c r="CU304" i="15"/>
  <c r="CV304" i="15"/>
  <c r="CW304" i="15"/>
  <c r="CX304" i="15"/>
  <c r="CY304" i="15"/>
  <c r="CB305" i="15"/>
  <c r="CC305" i="15"/>
  <c r="CD305" i="15"/>
  <c r="CE305" i="15"/>
  <c r="CF305" i="15"/>
  <c r="CG305" i="15"/>
  <c r="CH305" i="15"/>
  <c r="CI305" i="15"/>
  <c r="CJ305" i="15"/>
  <c r="CK305" i="15"/>
  <c r="CL305" i="15"/>
  <c r="CM305" i="15"/>
  <c r="CN305" i="15"/>
  <c r="CO305" i="15"/>
  <c r="CP305" i="15"/>
  <c r="CQ305" i="15"/>
  <c r="CR305" i="15"/>
  <c r="CS305" i="15"/>
  <c r="CT305" i="15"/>
  <c r="CU305" i="15"/>
  <c r="CV305" i="15"/>
  <c r="CW305" i="15"/>
  <c r="CX305" i="15"/>
  <c r="CY305" i="15"/>
  <c r="CB306" i="15"/>
  <c r="CC306" i="15"/>
  <c r="CD306" i="15"/>
  <c r="CE306" i="15"/>
  <c r="CF306" i="15"/>
  <c r="CG306" i="15"/>
  <c r="CH306" i="15"/>
  <c r="CI306" i="15"/>
  <c r="CJ306" i="15"/>
  <c r="CK306" i="15"/>
  <c r="CL306" i="15"/>
  <c r="CM306" i="15"/>
  <c r="CN306" i="15"/>
  <c r="CO306" i="15"/>
  <c r="CP306" i="15"/>
  <c r="CQ306" i="15"/>
  <c r="CR306" i="15"/>
  <c r="CS306" i="15"/>
  <c r="CT306" i="15"/>
  <c r="CU306" i="15"/>
  <c r="CV306" i="15"/>
  <c r="CW306" i="15"/>
  <c r="CX306" i="15"/>
  <c r="CY306" i="15"/>
  <c r="CB307" i="15"/>
  <c r="CC307" i="15"/>
  <c r="CD307" i="15"/>
  <c r="CE307" i="15"/>
  <c r="CF307" i="15"/>
  <c r="CG307" i="15"/>
  <c r="CH307" i="15"/>
  <c r="CI307" i="15"/>
  <c r="CJ307" i="15"/>
  <c r="CK307" i="15"/>
  <c r="CL307" i="15"/>
  <c r="CM307" i="15"/>
  <c r="CN307" i="15"/>
  <c r="CO307" i="15"/>
  <c r="CP307" i="15"/>
  <c r="CQ307" i="15"/>
  <c r="CR307" i="15"/>
  <c r="CS307" i="15"/>
  <c r="CT307" i="15"/>
  <c r="CU307" i="15"/>
  <c r="CV307" i="15"/>
  <c r="CW307" i="15"/>
  <c r="CX307" i="15"/>
  <c r="CY307" i="15"/>
  <c r="CB308" i="15"/>
  <c r="CC308" i="15"/>
  <c r="CD308" i="15"/>
  <c r="CE308" i="15"/>
  <c r="CF308" i="15"/>
  <c r="CG308" i="15"/>
  <c r="CH308" i="15"/>
  <c r="CI308" i="15"/>
  <c r="CJ308" i="15"/>
  <c r="CK308" i="15"/>
  <c r="CL308" i="15"/>
  <c r="CM308" i="15"/>
  <c r="CN308" i="15"/>
  <c r="CO308" i="15"/>
  <c r="CP308" i="15"/>
  <c r="CQ308" i="15"/>
  <c r="CR308" i="15"/>
  <c r="CS308" i="15"/>
  <c r="CT308" i="15"/>
  <c r="CU308" i="15"/>
  <c r="CV308" i="15"/>
  <c r="CW308" i="15"/>
  <c r="CX308" i="15"/>
  <c r="CY308" i="15"/>
  <c r="CB309" i="15"/>
  <c r="CC309" i="15"/>
  <c r="CD309" i="15"/>
  <c r="CE309" i="15"/>
  <c r="CF309" i="15"/>
  <c r="CG309" i="15"/>
  <c r="CH309" i="15"/>
  <c r="CI309" i="15"/>
  <c r="CJ309" i="15"/>
  <c r="CK309" i="15"/>
  <c r="CL309" i="15"/>
  <c r="CM309" i="15"/>
  <c r="CN309" i="15"/>
  <c r="CO309" i="15"/>
  <c r="CP309" i="15"/>
  <c r="CQ309" i="15"/>
  <c r="CR309" i="15"/>
  <c r="CS309" i="15"/>
  <c r="CT309" i="15"/>
  <c r="CU309" i="15"/>
  <c r="CV309" i="15"/>
  <c r="CW309" i="15"/>
  <c r="CX309" i="15"/>
  <c r="CY309" i="15"/>
  <c r="CB310" i="15"/>
  <c r="CC310" i="15"/>
  <c r="CD310" i="15"/>
  <c r="CE310" i="15"/>
  <c r="CF310" i="15"/>
  <c r="CG310" i="15"/>
  <c r="CH310" i="15"/>
  <c r="CI310" i="15"/>
  <c r="CJ310" i="15"/>
  <c r="CK310" i="15"/>
  <c r="CL310" i="15"/>
  <c r="CM310" i="15"/>
  <c r="CN310" i="15"/>
  <c r="CO310" i="15"/>
  <c r="CP310" i="15"/>
  <c r="CQ310" i="15"/>
  <c r="CR310" i="15"/>
  <c r="CS310" i="15"/>
  <c r="CT310" i="15"/>
  <c r="CU310" i="15"/>
  <c r="CV310" i="15"/>
  <c r="CW310" i="15"/>
  <c r="CX310" i="15"/>
  <c r="CY310" i="15"/>
  <c r="CB311" i="15"/>
  <c r="CC311" i="15"/>
  <c r="CD311" i="15"/>
  <c r="CE311" i="15"/>
  <c r="CF311" i="15"/>
  <c r="CG311" i="15"/>
  <c r="CH311" i="15"/>
  <c r="CI311" i="15"/>
  <c r="CJ311" i="15"/>
  <c r="CK311" i="15"/>
  <c r="CL311" i="15"/>
  <c r="CM311" i="15"/>
  <c r="CN311" i="15"/>
  <c r="CO311" i="15"/>
  <c r="CP311" i="15"/>
  <c r="CQ311" i="15"/>
  <c r="CR311" i="15"/>
  <c r="CS311" i="15"/>
  <c r="CT311" i="15"/>
  <c r="CU311" i="15"/>
  <c r="CV311" i="15"/>
  <c r="CW311" i="15"/>
  <c r="CX311" i="15"/>
  <c r="CY311" i="15"/>
  <c r="CB312" i="15"/>
  <c r="CC312" i="15"/>
  <c r="CD312" i="15"/>
  <c r="CE312" i="15"/>
  <c r="CF312" i="15"/>
  <c r="CG312" i="15"/>
  <c r="CH312" i="15"/>
  <c r="CI312" i="15"/>
  <c r="CJ312" i="15"/>
  <c r="CK312" i="15"/>
  <c r="CL312" i="15"/>
  <c r="CM312" i="15"/>
  <c r="CN312" i="15"/>
  <c r="CO312" i="15"/>
  <c r="CP312" i="15"/>
  <c r="CQ312" i="15"/>
  <c r="CR312" i="15"/>
  <c r="CS312" i="15"/>
  <c r="CT312" i="15"/>
  <c r="CU312" i="15"/>
  <c r="CV312" i="15"/>
  <c r="CW312" i="15"/>
  <c r="CX312" i="15"/>
  <c r="CY312" i="15"/>
  <c r="CB313" i="15"/>
  <c r="CC313" i="15"/>
  <c r="CD313" i="15"/>
  <c r="CE313" i="15"/>
  <c r="CF313" i="15"/>
  <c r="CG313" i="15"/>
  <c r="CH313" i="15"/>
  <c r="CI313" i="15"/>
  <c r="CJ313" i="15"/>
  <c r="CK313" i="15"/>
  <c r="CL313" i="15"/>
  <c r="CM313" i="15"/>
  <c r="CN313" i="15"/>
  <c r="CO313" i="15"/>
  <c r="CP313" i="15"/>
  <c r="CQ313" i="15"/>
  <c r="CR313" i="15"/>
  <c r="CS313" i="15"/>
  <c r="CT313" i="15"/>
  <c r="CU313" i="15"/>
  <c r="CV313" i="15"/>
  <c r="CW313" i="15"/>
  <c r="CX313" i="15"/>
  <c r="CY313" i="15"/>
  <c r="CC13" i="15"/>
  <c r="CD13" i="15"/>
  <c r="CE13" i="15"/>
  <c r="CF13" i="15"/>
  <c r="CG13" i="15"/>
  <c r="CH13" i="15"/>
  <c r="CI13" i="15"/>
  <c r="CJ13" i="15"/>
  <c r="CK13" i="15"/>
  <c r="CL13" i="15"/>
  <c r="CM13" i="15"/>
  <c r="CN13" i="15"/>
  <c r="CO13" i="15"/>
  <c r="CP13" i="15"/>
  <c r="CQ13" i="15"/>
  <c r="CR13" i="15"/>
  <c r="CS13" i="15"/>
  <c r="CT13" i="15"/>
  <c r="CU13" i="15"/>
  <c r="CV13" i="15"/>
  <c r="CW13" i="15"/>
  <c r="CX13" i="15"/>
  <c r="CY13" i="15"/>
  <c r="CC14" i="15"/>
  <c r="CD14" i="15"/>
  <c r="CE14" i="15"/>
  <c r="CF14" i="15"/>
  <c r="CG14" i="15"/>
  <c r="CH14" i="15"/>
  <c r="CI14" i="15"/>
  <c r="CJ14" i="15"/>
  <c r="CK14" i="15"/>
  <c r="CL14" i="15"/>
  <c r="CM14" i="15"/>
  <c r="CN14" i="15"/>
  <c r="CO14" i="15"/>
  <c r="CP14" i="15"/>
  <c r="CQ14" i="15"/>
  <c r="CR14" i="15"/>
  <c r="CS14" i="15"/>
  <c r="CT14" i="15"/>
  <c r="CU14" i="15"/>
  <c r="CV14" i="15"/>
  <c r="CW14" i="15"/>
  <c r="CX14" i="15"/>
  <c r="CY14" i="15"/>
  <c r="AB15" i="15"/>
  <c r="AC15" i="15"/>
  <c r="AD15" i="15"/>
  <c r="AE15" i="15"/>
  <c r="AF15" i="15"/>
  <c r="AG15" i="15"/>
  <c r="AH15" i="15"/>
  <c r="AI15" i="15"/>
  <c r="AJ15" i="15"/>
  <c r="AK15" i="15"/>
  <c r="AL15" i="15"/>
  <c r="AM15" i="15"/>
  <c r="AN15" i="15"/>
  <c r="AO15" i="15"/>
  <c r="AP15" i="15"/>
  <c r="AQ15" i="15"/>
  <c r="AR15" i="15"/>
  <c r="AS15" i="15"/>
  <c r="AT15" i="15"/>
  <c r="AU15" i="15"/>
  <c r="AV15" i="15"/>
  <c r="AW15" i="15"/>
  <c r="AX15" i="15"/>
  <c r="AY15" i="15"/>
  <c r="AB16" i="15"/>
  <c r="AC16" i="15"/>
  <c r="AD16" i="15"/>
  <c r="AE16" i="15"/>
  <c r="AF16" i="15"/>
  <c r="AG16" i="15"/>
  <c r="AH16" i="15"/>
  <c r="AI16" i="15"/>
  <c r="AJ16" i="15"/>
  <c r="AK16" i="15"/>
  <c r="AL16" i="15"/>
  <c r="AM16" i="15"/>
  <c r="AN16" i="15"/>
  <c r="AO16" i="15"/>
  <c r="AP16" i="15"/>
  <c r="AQ16" i="15"/>
  <c r="AR16" i="15"/>
  <c r="AS16" i="15"/>
  <c r="AT16" i="15"/>
  <c r="AU16" i="15"/>
  <c r="AV16" i="15"/>
  <c r="AW16" i="15"/>
  <c r="AX16" i="15"/>
  <c r="AY16" i="15"/>
  <c r="AB17" i="15"/>
  <c r="AC17" i="15"/>
  <c r="AD17" i="15"/>
  <c r="AE17" i="15"/>
  <c r="AF17" i="15"/>
  <c r="AG17" i="15"/>
  <c r="AH17" i="15"/>
  <c r="AI17" i="15"/>
  <c r="AJ17" i="15"/>
  <c r="AK17" i="15"/>
  <c r="AL17" i="15"/>
  <c r="AM17" i="15"/>
  <c r="AN17" i="15"/>
  <c r="AO17" i="15"/>
  <c r="AP17" i="15"/>
  <c r="AQ17" i="15"/>
  <c r="AR17" i="15"/>
  <c r="AS17" i="15"/>
  <c r="AT17" i="15"/>
  <c r="AU17" i="15"/>
  <c r="AV17" i="15"/>
  <c r="AW17" i="15"/>
  <c r="AX17" i="15"/>
  <c r="AY17" i="15"/>
  <c r="AB18" i="15"/>
  <c r="AC18" i="15"/>
  <c r="AD18" i="15"/>
  <c r="AE18" i="15"/>
  <c r="AF18" i="15"/>
  <c r="AG18" i="15"/>
  <c r="AH18" i="15"/>
  <c r="AI18" i="15"/>
  <c r="AJ18" i="15"/>
  <c r="AK18" i="15"/>
  <c r="AL18" i="15"/>
  <c r="AM18" i="15"/>
  <c r="AN18" i="15"/>
  <c r="AO18" i="15"/>
  <c r="AP18" i="15"/>
  <c r="AQ18" i="15"/>
  <c r="AR18" i="15"/>
  <c r="AS18" i="15"/>
  <c r="AT18" i="15"/>
  <c r="AU18" i="15"/>
  <c r="AV18" i="15"/>
  <c r="AW18" i="15"/>
  <c r="AX18" i="15"/>
  <c r="AY18"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B20" i="15"/>
  <c r="AC20" i="15"/>
  <c r="AD20" i="15"/>
  <c r="AE20" i="15"/>
  <c r="AF20" i="15"/>
  <c r="AG20" i="15"/>
  <c r="AH20" i="15"/>
  <c r="AI20" i="15"/>
  <c r="AJ20" i="15"/>
  <c r="AK20" i="15"/>
  <c r="AL20" i="15"/>
  <c r="AM20" i="15"/>
  <c r="AN20" i="15"/>
  <c r="AO20" i="15"/>
  <c r="AP20" i="15"/>
  <c r="AQ20" i="15"/>
  <c r="AR20" i="15"/>
  <c r="AS20" i="15"/>
  <c r="AT20" i="15"/>
  <c r="AU20" i="15"/>
  <c r="AV20" i="15"/>
  <c r="AW20" i="15"/>
  <c r="AX20" i="15"/>
  <c r="AY20" i="15"/>
  <c r="AB21" i="15"/>
  <c r="AC21" i="15"/>
  <c r="AD21" i="15"/>
  <c r="AE21" i="15"/>
  <c r="AF21" i="15"/>
  <c r="AG21" i="15"/>
  <c r="AH21" i="15"/>
  <c r="AI21" i="15"/>
  <c r="AJ21" i="15"/>
  <c r="AK21" i="15"/>
  <c r="AL21" i="15"/>
  <c r="AM21" i="15"/>
  <c r="AN21" i="15"/>
  <c r="AO21" i="15"/>
  <c r="AP21" i="15"/>
  <c r="AQ21" i="15"/>
  <c r="AR21" i="15"/>
  <c r="AS21" i="15"/>
  <c r="AT21" i="15"/>
  <c r="AU21" i="15"/>
  <c r="AV21" i="15"/>
  <c r="AW21" i="15"/>
  <c r="AX21" i="15"/>
  <c r="AY21" i="15"/>
  <c r="AB22" i="15"/>
  <c r="AC22" i="15"/>
  <c r="AD22" i="15"/>
  <c r="AE22" i="15"/>
  <c r="AF22" i="15"/>
  <c r="AG22" i="15"/>
  <c r="AH22" i="15"/>
  <c r="AI22" i="15"/>
  <c r="AJ22" i="15"/>
  <c r="AK22" i="15"/>
  <c r="AL22" i="15"/>
  <c r="AM22" i="15"/>
  <c r="AN22" i="15"/>
  <c r="AO22" i="15"/>
  <c r="AP22" i="15"/>
  <c r="AQ22" i="15"/>
  <c r="AR22" i="15"/>
  <c r="AS22" i="15"/>
  <c r="AT22" i="15"/>
  <c r="AU22" i="15"/>
  <c r="AV22" i="15"/>
  <c r="AW22" i="15"/>
  <c r="AX22" i="15"/>
  <c r="AY22" i="15"/>
  <c r="AB23" i="15"/>
  <c r="AC23" i="15"/>
  <c r="AD23" i="15"/>
  <c r="AE23" i="15"/>
  <c r="AF23" i="15"/>
  <c r="AG23" i="15"/>
  <c r="AH23" i="15"/>
  <c r="AI23" i="15"/>
  <c r="AJ23" i="15"/>
  <c r="AK23" i="15"/>
  <c r="AL23" i="15"/>
  <c r="AM23" i="15"/>
  <c r="AN23" i="15"/>
  <c r="AO23" i="15"/>
  <c r="AP23" i="15"/>
  <c r="AQ23" i="15"/>
  <c r="AR23" i="15"/>
  <c r="AS23" i="15"/>
  <c r="AT23" i="15"/>
  <c r="AU23" i="15"/>
  <c r="AV23" i="15"/>
  <c r="AW23" i="15"/>
  <c r="AX23" i="15"/>
  <c r="AY23" i="15"/>
  <c r="AB24" i="15"/>
  <c r="AC24" i="15"/>
  <c r="AD24" i="15"/>
  <c r="AE24" i="15"/>
  <c r="AF24" i="15"/>
  <c r="AG24" i="15"/>
  <c r="AH24" i="15"/>
  <c r="AI24" i="15"/>
  <c r="AJ24" i="15"/>
  <c r="AK24" i="15"/>
  <c r="AL24" i="15"/>
  <c r="AM24" i="15"/>
  <c r="AN24" i="15"/>
  <c r="AO24" i="15"/>
  <c r="AP24" i="15"/>
  <c r="AQ24" i="15"/>
  <c r="AR24" i="15"/>
  <c r="AS24" i="15"/>
  <c r="AT24" i="15"/>
  <c r="AU24" i="15"/>
  <c r="AV24" i="15"/>
  <c r="AW24" i="15"/>
  <c r="AX24" i="15"/>
  <c r="AY24" i="15"/>
  <c r="AB25" i="15"/>
  <c r="AC25" i="15"/>
  <c r="AD25" i="15"/>
  <c r="AE25" i="15"/>
  <c r="AF25" i="15"/>
  <c r="AG25" i="15"/>
  <c r="AH25" i="15"/>
  <c r="AI25" i="15"/>
  <c r="AJ25" i="15"/>
  <c r="AK25" i="15"/>
  <c r="AL25" i="15"/>
  <c r="AM25" i="15"/>
  <c r="AN25" i="15"/>
  <c r="AO25" i="15"/>
  <c r="AP25" i="15"/>
  <c r="AQ25" i="15"/>
  <c r="AR25" i="15"/>
  <c r="AS25" i="15"/>
  <c r="AT25" i="15"/>
  <c r="AU25" i="15"/>
  <c r="AV25" i="15"/>
  <c r="AW25" i="15"/>
  <c r="AX25" i="15"/>
  <c r="AY25"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B27" i="15"/>
  <c r="AC27" i="15"/>
  <c r="AD27" i="15"/>
  <c r="AE27" i="15"/>
  <c r="AF27" i="15"/>
  <c r="AG27" i="15"/>
  <c r="AH27" i="15"/>
  <c r="AI27" i="15"/>
  <c r="AJ27" i="15"/>
  <c r="AK27" i="15"/>
  <c r="AL27" i="15"/>
  <c r="AM27" i="15"/>
  <c r="AN27" i="15"/>
  <c r="AO27" i="15"/>
  <c r="AP27" i="15"/>
  <c r="AQ27" i="15"/>
  <c r="AR27" i="15"/>
  <c r="AS27" i="15"/>
  <c r="AT27" i="15"/>
  <c r="AU27" i="15"/>
  <c r="AV27" i="15"/>
  <c r="AW27" i="15"/>
  <c r="AX27" i="15"/>
  <c r="AY27" i="15"/>
  <c r="AB28" i="15"/>
  <c r="AC28" i="15"/>
  <c r="AD28" i="15"/>
  <c r="AE28" i="15"/>
  <c r="AF28" i="15"/>
  <c r="AG28" i="15"/>
  <c r="AH28" i="15"/>
  <c r="AI28" i="15"/>
  <c r="AJ28" i="15"/>
  <c r="AK28" i="15"/>
  <c r="AL28" i="15"/>
  <c r="AM28" i="15"/>
  <c r="AN28" i="15"/>
  <c r="AO28" i="15"/>
  <c r="AP28" i="15"/>
  <c r="AQ28" i="15"/>
  <c r="AR28" i="15"/>
  <c r="AS28" i="15"/>
  <c r="AT28" i="15"/>
  <c r="AU28" i="15"/>
  <c r="AV28" i="15"/>
  <c r="AW28" i="15"/>
  <c r="AX28" i="15"/>
  <c r="AY28"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B31" i="15"/>
  <c r="AC31" i="15"/>
  <c r="AD31" i="15"/>
  <c r="AE31" i="15"/>
  <c r="AF31" i="15"/>
  <c r="AG31" i="15"/>
  <c r="AH31" i="15"/>
  <c r="AI31" i="15"/>
  <c r="AJ31" i="15"/>
  <c r="AK31" i="15"/>
  <c r="AL31" i="15"/>
  <c r="AM31" i="15"/>
  <c r="AN31" i="15"/>
  <c r="AO31" i="15"/>
  <c r="AP31" i="15"/>
  <c r="AQ31" i="15"/>
  <c r="AR31" i="15"/>
  <c r="AS31" i="15"/>
  <c r="AT31" i="15"/>
  <c r="AU31" i="15"/>
  <c r="AV31" i="15"/>
  <c r="AW31" i="15"/>
  <c r="AX31" i="15"/>
  <c r="AY31" i="15"/>
  <c r="AB32" i="15"/>
  <c r="AC32" i="15"/>
  <c r="AD32" i="15"/>
  <c r="AE32" i="15"/>
  <c r="AF32" i="15"/>
  <c r="AG32" i="15"/>
  <c r="AH32" i="15"/>
  <c r="AI32" i="15"/>
  <c r="AJ32" i="15"/>
  <c r="AK32" i="15"/>
  <c r="AL32" i="15"/>
  <c r="AM32" i="15"/>
  <c r="AN32" i="15"/>
  <c r="AO32" i="15"/>
  <c r="AP32" i="15"/>
  <c r="AQ32" i="15"/>
  <c r="AR32" i="15"/>
  <c r="AS32" i="15"/>
  <c r="AT32" i="15"/>
  <c r="AU32" i="15"/>
  <c r="AV32" i="15"/>
  <c r="AW32" i="15"/>
  <c r="AX32" i="15"/>
  <c r="AY32" i="15"/>
  <c r="AB33" i="15"/>
  <c r="AC33" i="15"/>
  <c r="AD33" i="15"/>
  <c r="AE33" i="15"/>
  <c r="AF33" i="15"/>
  <c r="AG33" i="15"/>
  <c r="AH33" i="15"/>
  <c r="AI33" i="15"/>
  <c r="AJ33" i="15"/>
  <c r="AK33" i="15"/>
  <c r="AL33" i="15"/>
  <c r="AM33" i="15"/>
  <c r="AN33" i="15"/>
  <c r="AO33" i="15"/>
  <c r="AP33" i="15"/>
  <c r="AQ33" i="15"/>
  <c r="AR33" i="15"/>
  <c r="AS33" i="15"/>
  <c r="AT33" i="15"/>
  <c r="AU33" i="15"/>
  <c r="AV33" i="15"/>
  <c r="AW33" i="15"/>
  <c r="AX33" i="15"/>
  <c r="AY33" i="15"/>
  <c r="AB34" i="15"/>
  <c r="AC34" i="15"/>
  <c r="AD34" i="15"/>
  <c r="AE34" i="15"/>
  <c r="AF34" i="15"/>
  <c r="AG34" i="15"/>
  <c r="AH34" i="15"/>
  <c r="AI34" i="15"/>
  <c r="AJ34" i="15"/>
  <c r="AK34" i="15"/>
  <c r="AL34" i="15"/>
  <c r="AM34" i="15"/>
  <c r="AN34" i="15"/>
  <c r="AO34" i="15"/>
  <c r="AP34" i="15"/>
  <c r="AQ34" i="15"/>
  <c r="AR34" i="15"/>
  <c r="AS34" i="15"/>
  <c r="AT34" i="15"/>
  <c r="AU34" i="15"/>
  <c r="AV34" i="15"/>
  <c r="AW34" i="15"/>
  <c r="AX34" i="15"/>
  <c r="AY34" i="15"/>
  <c r="AB35" i="15"/>
  <c r="AC35" i="15"/>
  <c r="AD35" i="15"/>
  <c r="AE35" i="15"/>
  <c r="AF35" i="15"/>
  <c r="AG35" i="15"/>
  <c r="AH35" i="15"/>
  <c r="AI35" i="15"/>
  <c r="AJ35" i="15"/>
  <c r="AK35" i="15"/>
  <c r="AL35" i="15"/>
  <c r="AM35" i="15"/>
  <c r="AN35" i="15"/>
  <c r="AO35" i="15"/>
  <c r="AP35" i="15"/>
  <c r="AQ35" i="15"/>
  <c r="AR35" i="15"/>
  <c r="AS35" i="15"/>
  <c r="AT35" i="15"/>
  <c r="AU35" i="15"/>
  <c r="AV35" i="15"/>
  <c r="AW35" i="15"/>
  <c r="AX35" i="15"/>
  <c r="AY35" i="15"/>
  <c r="AB36" i="15"/>
  <c r="AC36" i="15"/>
  <c r="AD36" i="15"/>
  <c r="AE36" i="15"/>
  <c r="AF36" i="15"/>
  <c r="AG36" i="15"/>
  <c r="AH36" i="15"/>
  <c r="AI36" i="15"/>
  <c r="AJ36" i="15"/>
  <c r="AK36" i="15"/>
  <c r="AL36" i="15"/>
  <c r="AM36" i="15"/>
  <c r="AN36" i="15"/>
  <c r="AO36" i="15"/>
  <c r="AP36" i="15"/>
  <c r="AQ36" i="15"/>
  <c r="AR36" i="15"/>
  <c r="AS36" i="15"/>
  <c r="AT36" i="15"/>
  <c r="AU36" i="15"/>
  <c r="AV36" i="15"/>
  <c r="AW36" i="15"/>
  <c r="AX36" i="15"/>
  <c r="AY36" i="15"/>
  <c r="AB37" i="15"/>
  <c r="AC37" i="15"/>
  <c r="AD37" i="15"/>
  <c r="AE37" i="15"/>
  <c r="AF37" i="15"/>
  <c r="AG37" i="15"/>
  <c r="AH37" i="15"/>
  <c r="AI37" i="15"/>
  <c r="AJ37" i="15"/>
  <c r="AK37" i="15"/>
  <c r="AL37" i="15"/>
  <c r="AM37" i="15"/>
  <c r="AN37" i="15"/>
  <c r="AO37" i="15"/>
  <c r="AP37" i="15"/>
  <c r="AQ37" i="15"/>
  <c r="AR37" i="15"/>
  <c r="AS37" i="15"/>
  <c r="AT37" i="15"/>
  <c r="AU37" i="15"/>
  <c r="AV37" i="15"/>
  <c r="AW37" i="15"/>
  <c r="AX37" i="15"/>
  <c r="AY37" i="15"/>
  <c r="AB38" i="15"/>
  <c r="AC38" i="15"/>
  <c r="AD38" i="15"/>
  <c r="AE38" i="15"/>
  <c r="AF38" i="15"/>
  <c r="AG38" i="15"/>
  <c r="AH38" i="15"/>
  <c r="AI38" i="15"/>
  <c r="AJ38" i="15"/>
  <c r="AK38" i="15"/>
  <c r="AL38" i="15"/>
  <c r="AM38" i="15"/>
  <c r="AN38" i="15"/>
  <c r="AO38" i="15"/>
  <c r="AP38" i="15"/>
  <c r="AQ38" i="15"/>
  <c r="AR38" i="15"/>
  <c r="AS38" i="15"/>
  <c r="AT38" i="15"/>
  <c r="AU38" i="15"/>
  <c r="AV38" i="15"/>
  <c r="AW38" i="15"/>
  <c r="AX38" i="15"/>
  <c r="AY38"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B40" i="15"/>
  <c r="AC40" i="15"/>
  <c r="AD40" i="15"/>
  <c r="AE40" i="15"/>
  <c r="AF40" i="15"/>
  <c r="AG40" i="15"/>
  <c r="AH40" i="15"/>
  <c r="AI40" i="15"/>
  <c r="AJ40" i="15"/>
  <c r="AK40" i="15"/>
  <c r="AL40" i="15"/>
  <c r="AM40" i="15"/>
  <c r="AN40" i="15"/>
  <c r="AO40" i="15"/>
  <c r="AP40" i="15"/>
  <c r="AQ40" i="15"/>
  <c r="AR40" i="15"/>
  <c r="AS40" i="15"/>
  <c r="AT40" i="15"/>
  <c r="AU40" i="15"/>
  <c r="AV40" i="15"/>
  <c r="AW40" i="15"/>
  <c r="AX40" i="15"/>
  <c r="AY40" i="15"/>
  <c r="AB41" i="15"/>
  <c r="AC41" i="15"/>
  <c r="AD41" i="15"/>
  <c r="AE41" i="15"/>
  <c r="AF41" i="15"/>
  <c r="AG41" i="15"/>
  <c r="AH41" i="15"/>
  <c r="AI41" i="15"/>
  <c r="AJ41" i="15"/>
  <c r="AK41" i="15"/>
  <c r="AL41" i="15"/>
  <c r="AM41" i="15"/>
  <c r="AN41" i="15"/>
  <c r="AO41" i="15"/>
  <c r="AP41" i="15"/>
  <c r="AQ41" i="15"/>
  <c r="AR41" i="15"/>
  <c r="AS41" i="15"/>
  <c r="AT41" i="15"/>
  <c r="AU41" i="15"/>
  <c r="AV41" i="15"/>
  <c r="AW41" i="15"/>
  <c r="AX41" i="15"/>
  <c r="AY41" i="15"/>
  <c r="AB42" i="15"/>
  <c r="AC42" i="15"/>
  <c r="AD42" i="15"/>
  <c r="AE42" i="15"/>
  <c r="AF42" i="15"/>
  <c r="AG42" i="15"/>
  <c r="AH42" i="15"/>
  <c r="AI42" i="15"/>
  <c r="AJ42" i="15"/>
  <c r="AK42" i="15"/>
  <c r="AL42" i="15"/>
  <c r="AM42" i="15"/>
  <c r="AN42" i="15"/>
  <c r="AO42" i="15"/>
  <c r="AP42" i="15"/>
  <c r="AQ42" i="15"/>
  <c r="AR42" i="15"/>
  <c r="AS42" i="15"/>
  <c r="AT42" i="15"/>
  <c r="AU42" i="15"/>
  <c r="AV42" i="15"/>
  <c r="AW42" i="15"/>
  <c r="AX42" i="15"/>
  <c r="AY42" i="15"/>
  <c r="AB43" i="15"/>
  <c r="AC43" i="15"/>
  <c r="AD43" i="15"/>
  <c r="AE43" i="15"/>
  <c r="AF43" i="15"/>
  <c r="AG43" i="15"/>
  <c r="AH43" i="15"/>
  <c r="AI43" i="15"/>
  <c r="AJ43" i="15"/>
  <c r="AK43" i="15"/>
  <c r="AL43" i="15"/>
  <c r="AM43" i="15"/>
  <c r="AN43" i="15"/>
  <c r="AO43" i="15"/>
  <c r="AP43" i="15"/>
  <c r="AQ43" i="15"/>
  <c r="AR43" i="15"/>
  <c r="AS43" i="15"/>
  <c r="AT43" i="15"/>
  <c r="AU43" i="15"/>
  <c r="AV43" i="15"/>
  <c r="AW43" i="15"/>
  <c r="AX43" i="15"/>
  <c r="AY43" i="15"/>
  <c r="AB44" i="15"/>
  <c r="AC44" i="15"/>
  <c r="AD44" i="15"/>
  <c r="AE44" i="15"/>
  <c r="AF44" i="15"/>
  <c r="AG44" i="15"/>
  <c r="AH44" i="15"/>
  <c r="AI44" i="15"/>
  <c r="AJ44" i="15"/>
  <c r="AK44" i="15"/>
  <c r="AL44" i="15"/>
  <c r="AM44" i="15"/>
  <c r="AN44" i="15"/>
  <c r="AO44" i="15"/>
  <c r="AP44" i="15"/>
  <c r="AQ44" i="15"/>
  <c r="AR44" i="15"/>
  <c r="AS44" i="15"/>
  <c r="AT44" i="15"/>
  <c r="AU44" i="15"/>
  <c r="AV44" i="15"/>
  <c r="AW44" i="15"/>
  <c r="AX44" i="15"/>
  <c r="AY44" i="15"/>
  <c r="AB45" i="15"/>
  <c r="AC45" i="15"/>
  <c r="AD45" i="15"/>
  <c r="AE45" i="15"/>
  <c r="AF45" i="15"/>
  <c r="AG45" i="15"/>
  <c r="AH45" i="15"/>
  <c r="AI45" i="15"/>
  <c r="AJ45" i="15"/>
  <c r="AK45" i="15"/>
  <c r="AL45" i="15"/>
  <c r="AM45" i="15"/>
  <c r="AN45" i="15"/>
  <c r="AO45" i="15"/>
  <c r="AP45" i="15"/>
  <c r="AQ45" i="15"/>
  <c r="AR45" i="15"/>
  <c r="AS45" i="15"/>
  <c r="AT45" i="15"/>
  <c r="AU45" i="15"/>
  <c r="AV45" i="15"/>
  <c r="AW45" i="15"/>
  <c r="AX45" i="15"/>
  <c r="AY45" i="15"/>
  <c r="AB46" i="15"/>
  <c r="AC46" i="15"/>
  <c r="AD46" i="15"/>
  <c r="AE46" i="15"/>
  <c r="AF46" i="15"/>
  <c r="AG46" i="15"/>
  <c r="AH46" i="15"/>
  <c r="AI46" i="15"/>
  <c r="AJ46" i="15"/>
  <c r="AK46" i="15"/>
  <c r="AL46" i="15"/>
  <c r="AM46" i="15"/>
  <c r="AN46" i="15"/>
  <c r="AO46" i="15"/>
  <c r="AP46" i="15"/>
  <c r="AQ46" i="15"/>
  <c r="AR46" i="15"/>
  <c r="AS46" i="15"/>
  <c r="AT46" i="15"/>
  <c r="AU46" i="15"/>
  <c r="AV46" i="15"/>
  <c r="AW46" i="15"/>
  <c r="AX46" i="15"/>
  <c r="AY46" i="15"/>
  <c r="AB47" i="15"/>
  <c r="AC47" i="15"/>
  <c r="AD47" i="15"/>
  <c r="AE47" i="15"/>
  <c r="AF47" i="15"/>
  <c r="AG47" i="15"/>
  <c r="AH47" i="15"/>
  <c r="AI47" i="15"/>
  <c r="AJ47" i="15"/>
  <c r="AK47" i="15"/>
  <c r="AL47" i="15"/>
  <c r="AM47" i="15"/>
  <c r="AN47" i="15"/>
  <c r="AO47" i="15"/>
  <c r="AP47" i="15"/>
  <c r="AQ47" i="15"/>
  <c r="AR47" i="15"/>
  <c r="AS47" i="15"/>
  <c r="AT47" i="15"/>
  <c r="AU47" i="15"/>
  <c r="AV47" i="15"/>
  <c r="AW47" i="15"/>
  <c r="AX47" i="15"/>
  <c r="AY47" i="15"/>
  <c r="AB48" i="15"/>
  <c r="AC48" i="15"/>
  <c r="AD48" i="15"/>
  <c r="AE48" i="15"/>
  <c r="AF48" i="15"/>
  <c r="AG48" i="15"/>
  <c r="AH48" i="15"/>
  <c r="AI48" i="15"/>
  <c r="AJ48" i="15"/>
  <c r="AK48" i="15"/>
  <c r="AL48" i="15"/>
  <c r="AM48" i="15"/>
  <c r="AN48" i="15"/>
  <c r="AO48" i="15"/>
  <c r="AP48" i="15"/>
  <c r="AQ48" i="15"/>
  <c r="AR48" i="15"/>
  <c r="AS48" i="15"/>
  <c r="AT48" i="15"/>
  <c r="AU48" i="15"/>
  <c r="AV48" i="15"/>
  <c r="AW48" i="15"/>
  <c r="AX48" i="15"/>
  <c r="AY48" i="15"/>
  <c r="AB49" i="15"/>
  <c r="AC49" i="15"/>
  <c r="AD49" i="15"/>
  <c r="AE49" i="15"/>
  <c r="AF49" i="15"/>
  <c r="AG49" i="15"/>
  <c r="AH49" i="15"/>
  <c r="AI49" i="15"/>
  <c r="AJ49" i="15"/>
  <c r="AK49" i="15"/>
  <c r="AL49" i="15"/>
  <c r="AM49" i="15"/>
  <c r="AN49" i="15"/>
  <c r="AO49" i="15"/>
  <c r="AP49" i="15"/>
  <c r="AQ49" i="15"/>
  <c r="AR49" i="15"/>
  <c r="AS49" i="15"/>
  <c r="AT49" i="15"/>
  <c r="AU49" i="15"/>
  <c r="AV49" i="15"/>
  <c r="AW49" i="15"/>
  <c r="AX49" i="15"/>
  <c r="AY49" i="15"/>
  <c r="AB50" i="15"/>
  <c r="AC50" i="15"/>
  <c r="AD50" i="15"/>
  <c r="AE50" i="15"/>
  <c r="AF50" i="15"/>
  <c r="AG50" i="15"/>
  <c r="AH50" i="15"/>
  <c r="AI50" i="15"/>
  <c r="AJ50" i="15"/>
  <c r="AK50" i="15"/>
  <c r="AL50" i="15"/>
  <c r="AM50" i="15"/>
  <c r="AN50" i="15"/>
  <c r="AO50" i="15"/>
  <c r="AP50" i="15"/>
  <c r="AQ50" i="15"/>
  <c r="AR50" i="15"/>
  <c r="AS50" i="15"/>
  <c r="AT50" i="15"/>
  <c r="AU50" i="15"/>
  <c r="AV50" i="15"/>
  <c r="AW50" i="15"/>
  <c r="AX50" i="15"/>
  <c r="AY50" i="15"/>
  <c r="AB51" i="15"/>
  <c r="AC51" i="15"/>
  <c r="AD51" i="15"/>
  <c r="AE51" i="15"/>
  <c r="AF51" i="15"/>
  <c r="AG51" i="15"/>
  <c r="AH51" i="15"/>
  <c r="AI51" i="15"/>
  <c r="AJ51" i="15"/>
  <c r="AK51" i="15"/>
  <c r="AL51" i="15"/>
  <c r="AM51" i="15"/>
  <c r="AN51" i="15"/>
  <c r="AO51" i="15"/>
  <c r="AP51" i="15"/>
  <c r="AQ51" i="15"/>
  <c r="AR51" i="15"/>
  <c r="AS51" i="15"/>
  <c r="AT51" i="15"/>
  <c r="AU51" i="15"/>
  <c r="AV51" i="15"/>
  <c r="AW51" i="15"/>
  <c r="AX51" i="15"/>
  <c r="AY51" i="15"/>
  <c r="AB52" i="15"/>
  <c r="AC52" i="15"/>
  <c r="AD52" i="15"/>
  <c r="AE52" i="15"/>
  <c r="AF52" i="15"/>
  <c r="AG52" i="15"/>
  <c r="AH52" i="15"/>
  <c r="AI52" i="15"/>
  <c r="AJ52" i="15"/>
  <c r="AK52" i="15"/>
  <c r="AL52" i="15"/>
  <c r="AM52" i="15"/>
  <c r="AN52" i="15"/>
  <c r="AO52" i="15"/>
  <c r="AP52" i="15"/>
  <c r="AQ52" i="15"/>
  <c r="AR52" i="15"/>
  <c r="AS52" i="15"/>
  <c r="AT52" i="15"/>
  <c r="AU52" i="15"/>
  <c r="AV52" i="15"/>
  <c r="AW52" i="15"/>
  <c r="AX52" i="15"/>
  <c r="AY52" i="15"/>
  <c r="AB53" i="15"/>
  <c r="AC53" i="15"/>
  <c r="AD53" i="15"/>
  <c r="AE53" i="15"/>
  <c r="AF53" i="15"/>
  <c r="AG53" i="15"/>
  <c r="AH53" i="15"/>
  <c r="AI53" i="15"/>
  <c r="AJ53" i="15"/>
  <c r="AK53" i="15"/>
  <c r="AL53" i="15"/>
  <c r="AM53" i="15"/>
  <c r="AN53" i="15"/>
  <c r="AO53" i="15"/>
  <c r="AP53" i="15"/>
  <c r="AQ53" i="15"/>
  <c r="AR53" i="15"/>
  <c r="AS53" i="15"/>
  <c r="AT53" i="15"/>
  <c r="AU53" i="15"/>
  <c r="AV53" i="15"/>
  <c r="AW53" i="15"/>
  <c r="AX53" i="15"/>
  <c r="AY53" i="15"/>
  <c r="AB54" i="15"/>
  <c r="AC54" i="15"/>
  <c r="AD54" i="15"/>
  <c r="AE54" i="15"/>
  <c r="AF54" i="15"/>
  <c r="AG54" i="15"/>
  <c r="AH54" i="15"/>
  <c r="AI54" i="15"/>
  <c r="AJ54" i="15"/>
  <c r="AK54" i="15"/>
  <c r="AL54" i="15"/>
  <c r="AM54" i="15"/>
  <c r="AN54" i="15"/>
  <c r="AO54" i="15"/>
  <c r="AP54" i="15"/>
  <c r="AQ54" i="15"/>
  <c r="AR54" i="15"/>
  <c r="AS54" i="15"/>
  <c r="AT54" i="15"/>
  <c r="AU54" i="15"/>
  <c r="AV54" i="15"/>
  <c r="AW54" i="15"/>
  <c r="AX54" i="15"/>
  <c r="AY54" i="15"/>
  <c r="AB55" i="15"/>
  <c r="AC55" i="15"/>
  <c r="AD55" i="15"/>
  <c r="AE55" i="15"/>
  <c r="AF55" i="15"/>
  <c r="AG55" i="15"/>
  <c r="AH55" i="15"/>
  <c r="AI55" i="15"/>
  <c r="AJ55" i="15"/>
  <c r="AK55" i="15"/>
  <c r="AL55" i="15"/>
  <c r="AM55" i="15"/>
  <c r="AN55" i="15"/>
  <c r="AO55" i="15"/>
  <c r="AP55" i="15"/>
  <c r="AQ55" i="15"/>
  <c r="AR55" i="15"/>
  <c r="AS55" i="15"/>
  <c r="AT55" i="15"/>
  <c r="AU55" i="15"/>
  <c r="AV55" i="15"/>
  <c r="AW55" i="15"/>
  <c r="AX55" i="15"/>
  <c r="AY55" i="15"/>
  <c r="AB56" i="15"/>
  <c r="AC56" i="15"/>
  <c r="AD56" i="15"/>
  <c r="AE56" i="15"/>
  <c r="AF56" i="15"/>
  <c r="AG56" i="15"/>
  <c r="AH56" i="15"/>
  <c r="AI56" i="15"/>
  <c r="AJ56" i="15"/>
  <c r="AK56" i="15"/>
  <c r="AL56" i="15"/>
  <c r="AM56" i="15"/>
  <c r="AN56" i="15"/>
  <c r="AO56" i="15"/>
  <c r="AP56" i="15"/>
  <c r="AQ56" i="15"/>
  <c r="AR56" i="15"/>
  <c r="AS56" i="15"/>
  <c r="AT56" i="15"/>
  <c r="AU56" i="15"/>
  <c r="AV56" i="15"/>
  <c r="AW56" i="15"/>
  <c r="AX56" i="15"/>
  <c r="AY56" i="15"/>
  <c r="AB57" i="15"/>
  <c r="AC57" i="15"/>
  <c r="AD57" i="15"/>
  <c r="AE57" i="15"/>
  <c r="AF57" i="15"/>
  <c r="AG57" i="15"/>
  <c r="AH57" i="15"/>
  <c r="AI57" i="15"/>
  <c r="AJ57" i="15"/>
  <c r="AK57" i="15"/>
  <c r="AL57" i="15"/>
  <c r="AM57" i="15"/>
  <c r="AN57" i="15"/>
  <c r="AO57" i="15"/>
  <c r="AP57" i="15"/>
  <c r="AQ57" i="15"/>
  <c r="AR57" i="15"/>
  <c r="AS57" i="15"/>
  <c r="AT57" i="15"/>
  <c r="AU57" i="15"/>
  <c r="AV57" i="15"/>
  <c r="AW57" i="15"/>
  <c r="AX57" i="15"/>
  <c r="AY57" i="15"/>
  <c r="AB58" i="15"/>
  <c r="AC58" i="15"/>
  <c r="AD58" i="15"/>
  <c r="AE58" i="15"/>
  <c r="AF58" i="15"/>
  <c r="AG58" i="15"/>
  <c r="AH58" i="15"/>
  <c r="AI58" i="15"/>
  <c r="AJ58" i="15"/>
  <c r="AK58" i="15"/>
  <c r="AL58" i="15"/>
  <c r="AM58" i="15"/>
  <c r="AN58" i="15"/>
  <c r="AO58" i="15"/>
  <c r="AP58" i="15"/>
  <c r="AQ58" i="15"/>
  <c r="AR58" i="15"/>
  <c r="AS58" i="15"/>
  <c r="AT58" i="15"/>
  <c r="AU58" i="15"/>
  <c r="AV58" i="15"/>
  <c r="AW58" i="15"/>
  <c r="AX58" i="15"/>
  <c r="AY58"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B60" i="15"/>
  <c r="AC60" i="15"/>
  <c r="AD60" i="15"/>
  <c r="AE60" i="15"/>
  <c r="AF60" i="15"/>
  <c r="AG60" i="15"/>
  <c r="AH60" i="15"/>
  <c r="AI60" i="15"/>
  <c r="AJ60" i="15"/>
  <c r="AK60" i="15"/>
  <c r="AL60" i="15"/>
  <c r="AM60" i="15"/>
  <c r="AN60" i="15"/>
  <c r="AO60" i="15"/>
  <c r="AP60" i="15"/>
  <c r="AQ60" i="15"/>
  <c r="AR60" i="15"/>
  <c r="AS60" i="15"/>
  <c r="AT60" i="15"/>
  <c r="AU60" i="15"/>
  <c r="AV60" i="15"/>
  <c r="AW60" i="15"/>
  <c r="AX60" i="15"/>
  <c r="AY60" i="15"/>
  <c r="AB61" i="15"/>
  <c r="AC61" i="15"/>
  <c r="AD61" i="15"/>
  <c r="AE61" i="15"/>
  <c r="AF61" i="15"/>
  <c r="AG61" i="15"/>
  <c r="AH61" i="15"/>
  <c r="AI61" i="15"/>
  <c r="AJ61" i="15"/>
  <c r="AK61" i="15"/>
  <c r="AL61" i="15"/>
  <c r="AM61" i="15"/>
  <c r="AN61" i="15"/>
  <c r="AO61" i="15"/>
  <c r="AP61" i="15"/>
  <c r="AQ61" i="15"/>
  <c r="AR61" i="15"/>
  <c r="AS61" i="15"/>
  <c r="AT61" i="15"/>
  <c r="AU61" i="15"/>
  <c r="AV61" i="15"/>
  <c r="AW61" i="15"/>
  <c r="AX61" i="15"/>
  <c r="AY61" i="15"/>
  <c r="AB62" i="15"/>
  <c r="AC62" i="15"/>
  <c r="AD62" i="15"/>
  <c r="AE62" i="15"/>
  <c r="AF62" i="15"/>
  <c r="AG62" i="15"/>
  <c r="AH62" i="15"/>
  <c r="AI62" i="15"/>
  <c r="AJ62" i="15"/>
  <c r="AK62" i="15"/>
  <c r="AL62" i="15"/>
  <c r="AM62" i="15"/>
  <c r="AN62" i="15"/>
  <c r="AO62" i="15"/>
  <c r="AP62" i="15"/>
  <c r="AQ62" i="15"/>
  <c r="AR62" i="15"/>
  <c r="AS62" i="15"/>
  <c r="AT62" i="15"/>
  <c r="AU62" i="15"/>
  <c r="AV62" i="15"/>
  <c r="AW62" i="15"/>
  <c r="AX62" i="15"/>
  <c r="AY62" i="15"/>
  <c r="AB63" i="15"/>
  <c r="AC63" i="15"/>
  <c r="AD63" i="15"/>
  <c r="AE63" i="15"/>
  <c r="AF63" i="15"/>
  <c r="AG63" i="15"/>
  <c r="AH63" i="15"/>
  <c r="AI63" i="15"/>
  <c r="AJ63" i="15"/>
  <c r="AK63" i="15"/>
  <c r="AL63" i="15"/>
  <c r="AM63" i="15"/>
  <c r="AN63" i="15"/>
  <c r="AO63" i="15"/>
  <c r="AP63" i="15"/>
  <c r="AQ63" i="15"/>
  <c r="AR63" i="15"/>
  <c r="AS63" i="15"/>
  <c r="AT63" i="15"/>
  <c r="AU63" i="15"/>
  <c r="AV63" i="15"/>
  <c r="AW63" i="15"/>
  <c r="AX63" i="15"/>
  <c r="AY63" i="15"/>
  <c r="AB64" i="15"/>
  <c r="AC64" i="15"/>
  <c r="AD64" i="15"/>
  <c r="AE64" i="15"/>
  <c r="AF64" i="15"/>
  <c r="AG64" i="15"/>
  <c r="AH64" i="15"/>
  <c r="AI64" i="15"/>
  <c r="AJ64" i="15"/>
  <c r="AK64" i="15"/>
  <c r="AL64" i="15"/>
  <c r="AM64" i="15"/>
  <c r="AN64" i="15"/>
  <c r="AO64" i="15"/>
  <c r="AP64" i="15"/>
  <c r="AQ64" i="15"/>
  <c r="AR64" i="15"/>
  <c r="AS64" i="15"/>
  <c r="AT64" i="15"/>
  <c r="AU64" i="15"/>
  <c r="AV64" i="15"/>
  <c r="AW64" i="15"/>
  <c r="AX64" i="15"/>
  <c r="AY64" i="15"/>
  <c r="AB65" i="15"/>
  <c r="AC65" i="15"/>
  <c r="AD65" i="15"/>
  <c r="AE65" i="15"/>
  <c r="AF65" i="15"/>
  <c r="AG65" i="15"/>
  <c r="AH65" i="15"/>
  <c r="AI65" i="15"/>
  <c r="AJ65" i="15"/>
  <c r="AK65" i="15"/>
  <c r="AL65" i="15"/>
  <c r="AM65" i="15"/>
  <c r="AN65" i="15"/>
  <c r="AO65" i="15"/>
  <c r="AP65" i="15"/>
  <c r="AQ65" i="15"/>
  <c r="AR65" i="15"/>
  <c r="AS65" i="15"/>
  <c r="AT65" i="15"/>
  <c r="AU65" i="15"/>
  <c r="AV65" i="15"/>
  <c r="AW65" i="15"/>
  <c r="AX65" i="15"/>
  <c r="AY65" i="15"/>
  <c r="AB66" i="15"/>
  <c r="AC66" i="15"/>
  <c r="AD66" i="15"/>
  <c r="AE66" i="15"/>
  <c r="AF66" i="15"/>
  <c r="AG66" i="15"/>
  <c r="AH66" i="15"/>
  <c r="AI66" i="15"/>
  <c r="AJ66" i="15"/>
  <c r="AK66" i="15"/>
  <c r="AL66" i="15"/>
  <c r="AM66" i="15"/>
  <c r="AN66" i="15"/>
  <c r="AO66" i="15"/>
  <c r="AP66" i="15"/>
  <c r="AQ66" i="15"/>
  <c r="AR66" i="15"/>
  <c r="AS66" i="15"/>
  <c r="AT66" i="15"/>
  <c r="AU66" i="15"/>
  <c r="AV66" i="15"/>
  <c r="AW66" i="15"/>
  <c r="AX66" i="15"/>
  <c r="AY66" i="15"/>
  <c r="AB67" i="15"/>
  <c r="AC67" i="15"/>
  <c r="AD67" i="15"/>
  <c r="AE67" i="15"/>
  <c r="AF67" i="15"/>
  <c r="AG67" i="15"/>
  <c r="AH67" i="15"/>
  <c r="AI67" i="15"/>
  <c r="AJ67" i="15"/>
  <c r="AK67" i="15"/>
  <c r="AL67" i="15"/>
  <c r="AM67" i="15"/>
  <c r="AN67" i="15"/>
  <c r="AO67" i="15"/>
  <c r="AP67" i="15"/>
  <c r="AQ67" i="15"/>
  <c r="AR67" i="15"/>
  <c r="AS67" i="15"/>
  <c r="AT67" i="15"/>
  <c r="AU67" i="15"/>
  <c r="AV67" i="15"/>
  <c r="AW67" i="15"/>
  <c r="AX67" i="15"/>
  <c r="AY67"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B69" i="15"/>
  <c r="AC69" i="15"/>
  <c r="AD69" i="15"/>
  <c r="AE69" i="15"/>
  <c r="AF69" i="15"/>
  <c r="AG69" i="15"/>
  <c r="AH69" i="15"/>
  <c r="AI69" i="15"/>
  <c r="AJ69" i="15"/>
  <c r="AK69" i="15"/>
  <c r="AL69" i="15"/>
  <c r="AM69" i="15"/>
  <c r="AN69" i="15"/>
  <c r="AO69" i="15"/>
  <c r="AP69" i="15"/>
  <c r="AQ69" i="15"/>
  <c r="AR69" i="15"/>
  <c r="AS69" i="15"/>
  <c r="AT69" i="15"/>
  <c r="AU69" i="15"/>
  <c r="AV69" i="15"/>
  <c r="AW69" i="15"/>
  <c r="AX69" i="15"/>
  <c r="AY69" i="15"/>
  <c r="AB70" i="15"/>
  <c r="AC70" i="15"/>
  <c r="AD70" i="15"/>
  <c r="AE70" i="15"/>
  <c r="AF70" i="15"/>
  <c r="AG70" i="15"/>
  <c r="AH70" i="15"/>
  <c r="AI70" i="15"/>
  <c r="AJ70" i="15"/>
  <c r="AK70" i="15"/>
  <c r="AL70" i="15"/>
  <c r="AM70" i="15"/>
  <c r="AN70" i="15"/>
  <c r="AO70" i="15"/>
  <c r="AP70" i="15"/>
  <c r="AQ70" i="15"/>
  <c r="AR70" i="15"/>
  <c r="AS70" i="15"/>
  <c r="AT70" i="15"/>
  <c r="AU70" i="15"/>
  <c r="AV70" i="15"/>
  <c r="AW70" i="15"/>
  <c r="AX70" i="15"/>
  <c r="AY70" i="15"/>
  <c r="AB71" i="15"/>
  <c r="AC71" i="15"/>
  <c r="AD71" i="15"/>
  <c r="AE71" i="15"/>
  <c r="AF71" i="15"/>
  <c r="AG71" i="15"/>
  <c r="AH71" i="15"/>
  <c r="AI71" i="15"/>
  <c r="AJ71" i="15"/>
  <c r="AK71" i="15"/>
  <c r="AL71" i="15"/>
  <c r="AM71" i="15"/>
  <c r="AN71" i="15"/>
  <c r="AO71" i="15"/>
  <c r="AP71" i="15"/>
  <c r="AQ71" i="15"/>
  <c r="AR71" i="15"/>
  <c r="AS71" i="15"/>
  <c r="AT71" i="15"/>
  <c r="AU71" i="15"/>
  <c r="AV71" i="15"/>
  <c r="AW71" i="15"/>
  <c r="AX71" i="15"/>
  <c r="AY71" i="15"/>
  <c r="AB72" i="15"/>
  <c r="AC72" i="15"/>
  <c r="AD72" i="15"/>
  <c r="AE72" i="15"/>
  <c r="AF72" i="15"/>
  <c r="AG72" i="15"/>
  <c r="AH72" i="15"/>
  <c r="AI72" i="15"/>
  <c r="AJ72" i="15"/>
  <c r="AK72" i="15"/>
  <c r="AL72" i="15"/>
  <c r="AM72" i="15"/>
  <c r="AN72" i="15"/>
  <c r="AO72" i="15"/>
  <c r="AP72" i="15"/>
  <c r="AQ72" i="15"/>
  <c r="AR72" i="15"/>
  <c r="AS72" i="15"/>
  <c r="AT72" i="15"/>
  <c r="AU72" i="15"/>
  <c r="AV72" i="15"/>
  <c r="AW72" i="15"/>
  <c r="AX72" i="15"/>
  <c r="AY72" i="15"/>
  <c r="AB73" i="15"/>
  <c r="AC73" i="15"/>
  <c r="AD73" i="15"/>
  <c r="AE73" i="15"/>
  <c r="AF73" i="15"/>
  <c r="AG73" i="15"/>
  <c r="AH73" i="15"/>
  <c r="AI73" i="15"/>
  <c r="AJ73" i="15"/>
  <c r="AK73" i="15"/>
  <c r="AL73" i="15"/>
  <c r="AM73" i="15"/>
  <c r="AN73" i="15"/>
  <c r="AO73" i="15"/>
  <c r="AP73" i="15"/>
  <c r="AQ73" i="15"/>
  <c r="AR73" i="15"/>
  <c r="AS73" i="15"/>
  <c r="AT73" i="15"/>
  <c r="AU73" i="15"/>
  <c r="AV73" i="15"/>
  <c r="AW73" i="15"/>
  <c r="AX73" i="15"/>
  <c r="AY73" i="15"/>
  <c r="AB74" i="15"/>
  <c r="AC74" i="15"/>
  <c r="AD74" i="15"/>
  <c r="AE74" i="15"/>
  <c r="AF74" i="15"/>
  <c r="AG74" i="15"/>
  <c r="AH74" i="15"/>
  <c r="AI74" i="15"/>
  <c r="AJ74" i="15"/>
  <c r="AK74" i="15"/>
  <c r="AL74" i="15"/>
  <c r="AM74" i="15"/>
  <c r="AN74" i="15"/>
  <c r="AO74" i="15"/>
  <c r="AP74" i="15"/>
  <c r="AQ74" i="15"/>
  <c r="AR74" i="15"/>
  <c r="AS74" i="15"/>
  <c r="AT74" i="15"/>
  <c r="AU74" i="15"/>
  <c r="AV74" i="15"/>
  <c r="AW74" i="15"/>
  <c r="AX74" i="15"/>
  <c r="AY74" i="15"/>
  <c r="AB75" i="15"/>
  <c r="AC75" i="15"/>
  <c r="AD75" i="15"/>
  <c r="AE75" i="15"/>
  <c r="AF75" i="15"/>
  <c r="AG75" i="15"/>
  <c r="AH75" i="15"/>
  <c r="AI75" i="15"/>
  <c r="AJ75" i="15"/>
  <c r="AK75" i="15"/>
  <c r="AL75" i="15"/>
  <c r="AM75" i="15"/>
  <c r="AN75" i="15"/>
  <c r="AO75" i="15"/>
  <c r="AP75" i="15"/>
  <c r="AQ75" i="15"/>
  <c r="AR75" i="15"/>
  <c r="AS75" i="15"/>
  <c r="AT75" i="15"/>
  <c r="AU75" i="15"/>
  <c r="AV75" i="15"/>
  <c r="AW75" i="15"/>
  <c r="AX75" i="15"/>
  <c r="AY75" i="15"/>
  <c r="AB76" i="15"/>
  <c r="AC76" i="15"/>
  <c r="AD76" i="15"/>
  <c r="AE76" i="15"/>
  <c r="AF76" i="15"/>
  <c r="AG76" i="15"/>
  <c r="AH76" i="15"/>
  <c r="AI76" i="15"/>
  <c r="AJ76" i="15"/>
  <c r="AK76" i="15"/>
  <c r="AL76" i="15"/>
  <c r="AM76" i="15"/>
  <c r="AN76" i="15"/>
  <c r="AO76" i="15"/>
  <c r="AP76" i="15"/>
  <c r="AQ76" i="15"/>
  <c r="AR76" i="15"/>
  <c r="AS76" i="15"/>
  <c r="AT76" i="15"/>
  <c r="AU76" i="15"/>
  <c r="AV76" i="15"/>
  <c r="AW76" i="15"/>
  <c r="AX76" i="15"/>
  <c r="AY76" i="15"/>
  <c r="AB77" i="15"/>
  <c r="AC77" i="15"/>
  <c r="AD77" i="15"/>
  <c r="AE77" i="15"/>
  <c r="AF77" i="15"/>
  <c r="AG77" i="15"/>
  <c r="AH77" i="15"/>
  <c r="AI77" i="15"/>
  <c r="AJ77" i="15"/>
  <c r="AK77" i="15"/>
  <c r="AL77" i="15"/>
  <c r="AM77" i="15"/>
  <c r="AN77" i="15"/>
  <c r="AO77" i="15"/>
  <c r="AP77" i="15"/>
  <c r="AQ77" i="15"/>
  <c r="AR77" i="15"/>
  <c r="AS77" i="15"/>
  <c r="AT77" i="15"/>
  <c r="AU77" i="15"/>
  <c r="AV77" i="15"/>
  <c r="AW77" i="15"/>
  <c r="AX77" i="15"/>
  <c r="AY77" i="15"/>
  <c r="AB78" i="15"/>
  <c r="AC78" i="15"/>
  <c r="AD78" i="15"/>
  <c r="AE78" i="15"/>
  <c r="AF78" i="15"/>
  <c r="AG78" i="15"/>
  <c r="AH78" i="15"/>
  <c r="AI78" i="15"/>
  <c r="AJ78" i="15"/>
  <c r="AK78" i="15"/>
  <c r="AL78" i="15"/>
  <c r="AM78" i="15"/>
  <c r="AN78" i="15"/>
  <c r="AO78" i="15"/>
  <c r="AP78" i="15"/>
  <c r="AQ78" i="15"/>
  <c r="AR78" i="15"/>
  <c r="AS78" i="15"/>
  <c r="AT78" i="15"/>
  <c r="AU78" i="15"/>
  <c r="AV78" i="15"/>
  <c r="AW78" i="15"/>
  <c r="AX78" i="15"/>
  <c r="AY78" i="15"/>
  <c r="AB79" i="15"/>
  <c r="AC79" i="15"/>
  <c r="AD79" i="15"/>
  <c r="AE79" i="15"/>
  <c r="AF79" i="15"/>
  <c r="AG79" i="15"/>
  <c r="AH79" i="15"/>
  <c r="AI79" i="15"/>
  <c r="AJ79" i="15"/>
  <c r="AK79" i="15"/>
  <c r="AL79" i="15"/>
  <c r="AM79" i="15"/>
  <c r="AN79" i="15"/>
  <c r="AO79" i="15"/>
  <c r="AP79" i="15"/>
  <c r="AQ79" i="15"/>
  <c r="AR79" i="15"/>
  <c r="AS79" i="15"/>
  <c r="AT79" i="15"/>
  <c r="AU79" i="15"/>
  <c r="AV79" i="15"/>
  <c r="AW79" i="15"/>
  <c r="AX79" i="15"/>
  <c r="AY79" i="15"/>
  <c r="AB80" i="15"/>
  <c r="AC80" i="15"/>
  <c r="AD80" i="15"/>
  <c r="AE80" i="15"/>
  <c r="AF80" i="15"/>
  <c r="AG80" i="15"/>
  <c r="AH80" i="15"/>
  <c r="AI80" i="15"/>
  <c r="AJ80" i="15"/>
  <c r="AK80" i="15"/>
  <c r="AL80" i="15"/>
  <c r="AM80" i="15"/>
  <c r="AN80" i="15"/>
  <c r="AO80" i="15"/>
  <c r="AP80" i="15"/>
  <c r="AQ80" i="15"/>
  <c r="AR80" i="15"/>
  <c r="AS80" i="15"/>
  <c r="AT80" i="15"/>
  <c r="AU80" i="15"/>
  <c r="AV80" i="15"/>
  <c r="AW80" i="15"/>
  <c r="AX80" i="15"/>
  <c r="AY80" i="15"/>
  <c r="AB81" i="15"/>
  <c r="AC81" i="15"/>
  <c r="AD81" i="15"/>
  <c r="AE81" i="15"/>
  <c r="AF81" i="15"/>
  <c r="AG81" i="15"/>
  <c r="AH81" i="15"/>
  <c r="AI81" i="15"/>
  <c r="AJ81" i="15"/>
  <c r="AK81" i="15"/>
  <c r="AL81" i="15"/>
  <c r="AM81" i="15"/>
  <c r="AN81" i="15"/>
  <c r="AO81" i="15"/>
  <c r="AP81" i="15"/>
  <c r="AQ81" i="15"/>
  <c r="AR81" i="15"/>
  <c r="AS81" i="15"/>
  <c r="AT81" i="15"/>
  <c r="AU81" i="15"/>
  <c r="AV81" i="15"/>
  <c r="AW81" i="15"/>
  <c r="AX81" i="15"/>
  <c r="AY81" i="15"/>
  <c r="AB82" i="15"/>
  <c r="AC82" i="15"/>
  <c r="AD82" i="15"/>
  <c r="AE82" i="15"/>
  <c r="AF82" i="15"/>
  <c r="AG82" i="15"/>
  <c r="AH82" i="15"/>
  <c r="AI82" i="15"/>
  <c r="AJ82" i="15"/>
  <c r="AK82" i="15"/>
  <c r="AL82" i="15"/>
  <c r="AM82" i="15"/>
  <c r="AN82" i="15"/>
  <c r="AO82" i="15"/>
  <c r="AP82" i="15"/>
  <c r="AQ82" i="15"/>
  <c r="AR82" i="15"/>
  <c r="AS82" i="15"/>
  <c r="AT82" i="15"/>
  <c r="AU82" i="15"/>
  <c r="AV82" i="15"/>
  <c r="AW82" i="15"/>
  <c r="AX82" i="15"/>
  <c r="AY82" i="15"/>
  <c r="AB83" i="15"/>
  <c r="AC83" i="15"/>
  <c r="AD83" i="15"/>
  <c r="AE83" i="15"/>
  <c r="AF83" i="15"/>
  <c r="AG83" i="15"/>
  <c r="AH83" i="15"/>
  <c r="AI83" i="15"/>
  <c r="AJ83" i="15"/>
  <c r="AK83" i="15"/>
  <c r="AL83" i="15"/>
  <c r="AM83" i="15"/>
  <c r="AN83" i="15"/>
  <c r="AO83" i="15"/>
  <c r="AP83" i="15"/>
  <c r="AQ83" i="15"/>
  <c r="AR83" i="15"/>
  <c r="AS83" i="15"/>
  <c r="AT83" i="15"/>
  <c r="AU83" i="15"/>
  <c r="AV83" i="15"/>
  <c r="AW83" i="15"/>
  <c r="AX83" i="15"/>
  <c r="AY83" i="15"/>
  <c r="AB84" i="15"/>
  <c r="AC84" i="15"/>
  <c r="AD84" i="15"/>
  <c r="AE84" i="15"/>
  <c r="AF84" i="15"/>
  <c r="AG84" i="15"/>
  <c r="AH84" i="15"/>
  <c r="AI84" i="15"/>
  <c r="AJ84" i="15"/>
  <c r="AK84" i="15"/>
  <c r="AL84" i="15"/>
  <c r="AM84" i="15"/>
  <c r="AN84" i="15"/>
  <c r="AO84" i="15"/>
  <c r="AP84" i="15"/>
  <c r="AQ84" i="15"/>
  <c r="AR84" i="15"/>
  <c r="AS84" i="15"/>
  <c r="AT84" i="15"/>
  <c r="AU84" i="15"/>
  <c r="AV84" i="15"/>
  <c r="AW84" i="15"/>
  <c r="AX84" i="15"/>
  <c r="AY84" i="15"/>
  <c r="AB85" i="15"/>
  <c r="AC85" i="15"/>
  <c r="AD85" i="15"/>
  <c r="AE85" i="15"/>
  <c r="AF85" i="15"/>
  <c r="AG85" i="15"/>
  <c r="AH85" i="15"/>
  <c r="AI85" i="15"/>
  <c r="AJ85" i="15"/>
  <c r="AK85" i="15"/>
  <c r="AL85" i="15"/>
  <c r="AM85" i="15"/>
  <c r="AN85" i="15"/>
  <c r="AO85" i="15"/>
  <c r="AP85" i="15"/>
  <c r="AQ85" i="15"/>
  <c r="AR85" i="15"/>
  <c r="AS85" i="15"/>
  <c r="AT85" i="15"/>
  <c r="AU85" i="15"/>
  <c r="AV85" i="15"/>
  <c r="AW85" i="15"/>
  <c r="AX85" i="15"/>
  <c r="AY85"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B87" i="15"/>
  <c r="AC87" i="15"/>
  <c r="AD87" i="15"/>
  <c r="AE87" i="15"/>
  <c r="AF87" i="15"/>
  <c r="AG87" i="15"/>
  <c r="AH87" i="15"/>
  <c r="AI87" i="15"/>
  <c r="AJ87" i="15"/>
  <c r="AK87" i="15"/>
  <c r="AL87" i="15"/>
  <c r="AM87" i="15"/>
  <c r="AN87" i="15"/>
  <c r="AO87" i="15"/>
  <c r="AP87" i="15"/>
  <c r="AQ87" i="15"/>
  <c r="AR87" i="15"/>
  <c r="AS87" i="15"/>
  <c r="AT87" i="15"/>
  <c r="AU87" i="15"/>
  <c r="AV87" i="15"/>
  <c r="AW87" i="15"/>
  <c r="AX87" i="15"/>
  <c r="AY87" i="15"/>
  <c r="AB88" i="15"/>
  <c r="AC88" i="15"/>
  <c r="AD88" i="15"/>
  <c r="AE88" i="15"/>
  <c r="AF88" i="15"/>
  <c r="AG88" i="15"/>
  <c r="AH88" i="15"/>
  <c r="AI88" i="15"/>
  <c r="AJ88" i="15"/>
  <c r="AK88" i="15"/>
  <c r="AL88" i="15"/>
  <c r="AM88" i="15"/>
  <c r="AN88" i="15"/>
  <c r="AO88" i="15"/>
  <c r="AP88" i="15"/>
  <c r="AQ88" i="15"/>
  <c r="AR88" i="15"/>
  <c r="AS88" i="15"/>
  <c r="AT88" i="15"/>
  <c r="AU88" i="15"/>
  <c r="AV88" i="15"/>
  <c r="AW88" i="15"/>
  <c r="AX88" i="15"/>
  <c r="AY88" i="15"/>
  <c r="AB89" i="15"/>
  <c r="AC89" i="15"/>
  <c r="AD89" i="15"/>
  <c r="AE89" i="15"/>
  <c r="AF89" i="15"/>
  <c r="AG89" i="15"/>
  <c r="AH89" i="15"/>
  <c r="AI89" i="15"/>
  <c r="AJ89" i="15"/>
  <c r="AK89" i="15"/>
  <c r="AL89" i="15"/>
  <c r="AM89" i="15"/>
  <c r="AN89" i="15"/>
  <c r="AO89" i="15"/>
  <c r="AP89" i="15"/>
  <c r="AQ89" i="15"/>
  <c r="AR89" i="15"/>
  <c r="AS89" i="15"/>
  <c r="AT89" i="15"/>
  <c r="AU89" i="15"/>
  <c r="AV89" i="15"/>
  <c r="AW89" i="15"/>
  <c r="AX89" i="15"/>
  <c r="AY89" i="15"/>
  <c r="AB90" i="15"/>
  <c r="AC90" i="15"/>
  <c r="AD90" i="15"/>
  <c r="AE90" i="15"/>
  <c r="AF90" i="15"/>
  <c r="AG90" i="15"/>
  <c r="AH90" i="15"/>
  <c r="AI90" i="15"/>
  <c r="AJ90" i="15"/>
  <c r="AK90" i="15"/>
  <c r="AL90" i="15"/>
  <c r="AM90" i="15"/>
  <c r="AN90" i="15"/>
  <c r="AO90" i="15"/>
  <c r="AP90" i="15"/>
  <c r="AQ90" i="15"/>
  <c r="AR90" i="15"/>
  <c r="AS90" i="15"/>
  <c r="AT90" i="15"/>
  <c r="AU90" i="15"/>
  <c r="AV90" i="15"/>
  <c r="AW90" i="15"/>
  <c r="AX90" i="15"/>
  <c r="AY90" i="15"/>
  <c r="AB91" i="15"/>
  <c r="AC91" i="15"/>
  <c r="AD91" i="15"/>
  <c r="AE91" i="15"/>
  <c r="AF91" i="15"/>
  <c r="AG91" i="15"/>
  <c r="AH91" i="15"/>
  <c r="AI91" i="15"/>
  <c r="AJ91" i="15"/>
  <c r="AK91" i="15"/>
  <c r="AL91" i="15"/>
  <c r="AM91" i="15"/>
  <c r="AN91" i="15"/>
  <c r="AO91" i="15"/>
  <c r="AP91" i="15"/>
  <c r="AQ91" i="15"/>
  <c r="AR91" i="15"/>
  <c r="AS91" i="15"/>
  <c r="AT91" i="15"/>
  <c r="AU91" i="15"/>
  <c r="AV91" i="15"/>
  <c r="AW91" i="15"/>
  <c r="AX91" i="15"/>
  <c r="AY91" i="15"/>
  <c r="AB92" i="15"/>
  <c r="AC92" i="15"/>
  <c r="AD92" i="15"/>
  <c r="AE92" i="15"/>
  <c r="AF92" i="15"/>
  <c r="AG92" i="15"/>
  <c r="AH92" i="15"/>
  <c r="AI92" i="15"/>
  <c r="AJ92" i="15"/>
  <c r="AK92" i="15"/>
  <c r="AL92" i="15"/>
  <c r="AM92" i="15"/>
  <c r="AN92" i="15"/>
  <c r="AO92" i="15"/>
  <c r="AP92" i="15"/>
  <c r="AQ92" i="15"/>
  <c r="AR92" i="15"/>
  <c r="AS92" i="15"/>
  <c r="AT92" i="15"/>
  <c r="AU92" i="15"/>
  <c r="AV92" i="15"/>
  <c r="AW92" i="15"/>
  <c r="AX92" i="15"/>
  <c r="AY92" i="15"/>
  <c r="AB93" i="15"/>
  <c r="AC93" i="15"/>
  <c r="AD93" i="15"/>
  <c r="AE93" i="15"/>
  <c r="AF93" i="15"/>
  <c r="AG93" i="15"/>
  <c r="AH93" i="15"/>
  <c r="AI93" i="15"/>
  <c r="AJ93" i="15"/>
  <c r="AK93" i="15"/>
  <c r="AL93" i="15"/>
  <c r="AM93" i="15"/>
  <c r="AN93" i="15"/>
  <c r="AO93" i="15"/>
  <c r="AP93" i="15"/>
  <c r="AQ93" i="15"/>
  <c r="AR93" i="15"/>
  <c r="AS93" i="15"/>
  <c r="AT93" i="15"/>
  <c r="AU93" i="15"/>
  <c r="AV93" i="15"/>
  <c r="AW93" i="15"/>
  <c r="AX93" i="15"/>
  <c r="AY93" i="15"/>
  <c r="AB94" i="15"/>
  <c r="AC94" i="15"/>
  <c r="AD94" i="15"/>
  <c r="AE94" i="15"/>
  <c r="AF94" i="15"/>
  <c r="AG94" i="15"/>
  <c r="AH94" i="15"/>
  <c r="AI94" i="15"/>
  <c r="AJ94" i="15"/>
  <c r="AK94" i="15"/>
  <c r="AL94" i="15"/>
  <c r="AM94" i="15"/>
  <c r="AN94" i="15"/>
  <c r="AO94" i="15"/>
  <c r="AP94" i="15"/>
  <c r="AQ94" i="15"/>
  <c r="AR94" i="15"/>
  <c r="AS94" i="15"/>
  <c r="AT94" i="15"/>
  <c r="AU94" i="15"/>
  <c r="AV94" i="15"/>
  <c r="AW94" i="15"/>
  <c r="AX94" i="15"/>
  <c r="AY94" i="15"/>
  <c r="AB95" i="15"/>
  <c r="AC95" i="15"/>
  <c r="AD95" i="15"/>
  <c r="AE95" i="15"/>
  <c r="AF95" i="15"/>
  <c r="AG95" i="15"/>
  <c r="AH95" i="15"/>
  <c r="AI95" i="15"/>
  <c r="AJ95" i="15"/>
  <c r="AK95" i="15"/>
  <c r="AL95" i="15"/>
  <c r="AM95" i="15"/>
  <c r="AN95" i="15"/>
  <c r="AO95" i="15"/>
  <c r="AP95" i="15"/>
  <c r="AQ95" i="15"/>
  <c r="AR95" i="15"/>
  <c r="AS95" i="15"/>
  <c r="AT95" i="15"/>
  <c r="AU95" i="15"/>
  <c r="AV95" i="15"/>
  <c r="AW95" i="15"/>
  <c r="AX95" i="15"/>
  <c r="AY95" i="15"/>
  <c r="AB96" i="15"/>
  <c r="AC96" i="15"/>
  <c r="AD96" i="15"/>
  <c r="AE96" i="15"/>
  <c r="AF96" i="15"/>
  <c r="AG96" i="15"/>
  <c r="AH96" i="15"/>
  <c r="AI96" i="15"/>
  <c r="AJ96" i="15"/>
  <c r="AK96" i="15"/>
  <c r="AL96" i="15"/>
  <c r="AM96" i="15"/>
  <c r="AN96" i="15"/>
  <c r="AO96" i="15"/>
  <c r="AP96" i="15"/>
  <c r="AQ96" i="15"/>
  <c r="AR96" i="15"/>
  <c r="AS96" i="15"/>
  <c r="AT96" i="15"/>
  <c r="AU96" i="15"/>
  <c r="AV96" i="15"/>
  <c r="AW96" i="15"/>
  <c r="AX96" i="15"/>
  <c r="AY96" i="15"/>
  <c r="AB97" i="15"/>
  <c r="AC97" i="15"/>
  <c r="AD97" i="15"/>
  <c r="AE97" i="15"/>
  <c r="AF97" i="15"/>
  <c r="AG97" i="15"/>
  <c r="AH97" i="15"/>
  <c r="AI97" i="15"/>
  <c r="AJ97" i="15"/>
  <c r="AK97" i="15"/>
  <c r="AL97" i="15"/>
  <c r="AM97" i="15"/>
  <c r="AN97" i="15"/>
  <c r="AO97" i="15"/>
  <c r="AP97" i="15"/>
  <c r="AQ97" i="15"/>
  <c r="AR97" i="15"/>
  <c r="AS97" i="15"/>
  <c r="AT97" i="15"/>
  <c r="AU97" i="15"/>
  <c r="AV97" i="15"/>
  <c r="AW97" i="15"/>
  <c r="AX97" i="15"/>
  <c r="AY97" i="15"/>
  <c r="AB98" i="15"/>
  <c r="AC98" i="15"/>
  <c r="AD98" i="15"/>
  <c r="AE98" i="15"/>
  <c r="AF98" i="15"/>
  <c r="AG98" i="15"/>
  <c r="AH98" i="15"/>
  <c r="AI98" i="15"/>
  <c r="AJ98" i="15"/>
  <c r="AK98" i="15"/>
  <c r="AL98" i="15"/>
  <c r="AM98" i="15"/>
  <c r="AN98" i="15"/>
  <c r="AO98" i="15"/>
  <c r="AP98" i="15"/>
  <c r="AQ98" i="15"/>
  <c r="AR98" i="15"/>
  <c r="AS98" i="15"/>
  <c r="AT98" i="15"/>
  <c r="AU98" i="15"/>
  <c r="AV98" i="15"/>
  <c r="AW98" i="15"/>
  <c r="AX98" i="15"/>
  <c r="AY98" i="15"/>
  <c r="AB99" i="15"/>
  <c r="AC99" i="15"/>
  <c r="AD99" i="15"/>
  <c r="AE99" i="15"/>
  <c r="AF99" i="15"/>
  <c r="AG99" i="15"/>
  <c r="AH99" i="15"/>
  <c r="AI99" i="15"/>
  <c r="AJ99" i="15"/>
  <c r="AK99" i="15"/>
  <c r="AL99" i="15"/>
  <c r="AM99" i="15"/>
  <c r="AN99" i="15"/>
  <c r="AO99" i="15"/>
  <c r="AP99" i="15"/>
  <c r="AQ99" i="15"/>
  <c r="AR99" i="15"/>
  <c r="AS99" i="15"/>
  <c r="AT99" i="15"/>
  <c r="AU99" i="15"/>
  <c r="AV99" i="15"/>
  <c r="AW99" i="15"/>
  <c r="AX99" i="15"/>
  <c r="AY99" i="15"/>
  <c r="AB100" i="15"/>
  <c r="AC100" i="15"/>
  <c r="AD100" i="15"/>
  <c r="AE100" i="15"/>
  <c r="AF100" i="15"/>
  <c r="AG100" i="15"/>
  <c r="AH100" i="15"/>
  <c r="AI100" i="15"/>
  <c r="AJ100" i="15"/>
  <c r="AK100" i="15"/>
  <c r="AL100" i="15"/>
  <c r="AM100" i="15"/>
  <c r="AN100" i="15"/>
  <c r="AO100" i="15"/>
  <c r="AP100" i="15"/>
  <c r="AQ100" i="15"/>
  <c r="AR100" i="15"/>
  <c r="AS100" i="15"/>
  <c r="AT100" i="15"/>
  <c r="AU100" i="15"/>
  <c r="AV100" i="15"/>
  <c r="AW100" i="15"/>
  <c r="AX100" i="15"/>
  <c r="AY100" i="15"/>
  <c r="AB101" i="15"/>
  <c r="AC101" i="15"/>
  <c r="AD101" i="15"/>
  <c r="AE101" i="15"/>
  <c r="AF101" i="15"/>
  <c r="AG101" i="15"/>
  <c r="AH101" i="15"/>
  <c r="AI101" i="15"/>
  <c r="AJ101" i="15"/>
  <c r="AK101" i="15"/>
  <c r="AL101" i="15"/>
  <c r="AM101" i="15"/>
  <c r="AN101" i="15"/>
  <c r="AO101" i="15"/>
  <c r="AP101" i="15"/>
  <c r="AQ101" i="15"/>
  <c r="AR101" i="15"/>
  <c r="AS101" i="15"/>
  <c r="AT101" i="15"/>
  <c r="AU101" i="15"/>
  <c r="AV101" i="15"/>
  <c r="AW101" i="15"/>
  <c r="AX101" i="15"/>
  <c r="AY101" i="15"/>
  <c r="AB102" i="15"/>
  <c r="AC102" i="15"/>
  <c r="AD102" i="15"/>
  <c r="AE102" i="15"/>
  <c r="AF102" i="15"/>
  <c r="AG102" i="15"/>
  <c r="AH102" i="15"/>
  <c r="AI102" i="15"/>
  <c r="AJ102" i="15"/>
  <c r="AK102" i="15"/>
  <c r="AL102" i="15"/>
  <c r="AM102" i="15"/>
  <c r="AN102" i="15"/>
  <c r="AO102" i="15"/>
  <c r="AP102" i="15"/>
  <c r="AQ102" i="15"/>
  <c r="AR102" i="15"/>
  <c r="AS102" i="15"/>
  <c r="AT102" i="15"/>
  <c r="AU102" i="15"/>
  <c r="AV102" i="15"/>
  <c r="AW102" i="15"/>
  <c r="AX102" i="15"/>
  <c r="AY102" i="15"/>
  <c r="AB103" i="15"/>
  <c r="AC103" i="15"/>
  <c r="AD103" i="15"/>
  <c r="AE103" i="15"/>
  <c r="AF103" i="15"/>
  <c r="AG103" i="15"/>
  <c r="AH103" i="15"/>
  <c r="AI103" i="15"/>
  <c r="AJ103" i="15"/>
  <c r="AK103" i="15"/>
  <c r="AL103" i="15"/>
  <c r="AM103" i="15"/>
  <c r="AN103" i="15"/>
  <c r="AO103" i="15"/>
  <c r="AP103" i="15"/>
  <c r="AQ103" i="15"/>
  <c r="AR103" i="15"/>
  <c r="AS103" i="15"/>
  <c r="AT103" i="15"/>
  <c r="AU103" i="15"/>
  <c r="AV103" i="15"/>
  <c r="AW103" i="15"/>
  <c r="AX103" i="15"/>
  <c r="AY103" i="15"/>
  <c r="AB104" i="15"/>
  <c r="AC104" i="15"/>
  <c r="AD104" i="15"/>
  <c r="AE104" i="15"/>
  <c r="AF104" i="15"/>
  <c r="AG104" i="15"/>
  <c r="AH104" i="15"/>
  <c r="AI104" i="15"/>
  <c r="AJ104" i="15"/>
  <c r="AK104" i="15"/>
  <c r="AL104" i="15"/>
  <c r="AM104" i="15"/>
  <c r="AN104" i="15"/>
  <c r="AO104" i="15"/>
  <c r="AP104" i="15"/>
  <c r="AQ104" i="15"/>
  <c r="AR104" i="15"/>
  <c r="AS104" i="15"/>
  <c r="AT104" i="15"/>
  <c r="AU104" i="15"/>
  <c r="AV104" i="15"/>
  <c r="AW104" i="15"/>
  <c r="AX104" i="15"/>
  <c r="AY104" i="15"/>
  <c r="AB105" i="15"/>
  <c r="AC105" i="15"/>
  <c r="AD105" i="15"/>
  <c r="AE105" i="15"/>
  <c r="AF105" i="15"/>
  <c r="AG105" i="15"/>
  <c r="AH105" i="15"/>
  <c r="AI105" i="15"/>
  <c r="AJ105" i="15"/>
  <c r="AK105" i="15"/>
  <c r="AL105" i="15"/>
  <c r="AM105" i="15"/>
  <c r="AN105" i="15"/>
  <c r="AO105" i="15"/>
  <c r="AP105" i="15"/>
  <c r="AQ105" i="15"/>
  <c r="AR105" i="15"/>
  <c r="AS105" i="15"/>
  <c r="AT105" i="15"/>
  <c r="AU105" i="15"/>
  <c r="AV105" i="15"/>
  <c r="AW105" i="15"/>
  <c r="AX105" i="15"/>
  <c r="AY105" i="15"/>
  <c r="AB106" i="15"/>
  <c r="AC106" i="15"/>
  <c r="AD106" i="15"/>
  <c r="AE106" i="15"/>
  <c r="AF106" i="15"/>
  <c r="AG106" i="15"/>
  <c r="AH106" i="15"/>
  <c r="AI106" i="15"/>
  <c r="AJ106" i="15"/>
  <c r="AK106" i="15"/>
  <c r="AL106" i="15"/>
  <c r="AM106" i="15"/>
  <c r="AN106" i="15"/>
  <c r="AO106" i="15"/>
  <c r="AP106" i="15"/>
  <c r="AQ106" i="15"/>
  <c r="AR106" i="15"/>
  <c r="AS106" i="15"/>
  <c r="AT106" i="15"/>
  <c r="AU106" i="15"/>
  <c r="AV106" i="15"/>
  <c r="AW106" i="15"/>
  <c r="AX106" i="15"/>
  <c r="AY106" i="15"/>
  <c r="AB107" i="15"/>
  <c r="AC107" i="15"/>
  <c r="AD107" i="15"/>
  <c r="AE107" i="15"/>
  <c r="AF107" i="15"/>
  <c r="AG107" i="15"/>
  <c r="AH107" i="15"/>
  <c r="AI107" i="15"/>
  <c r="AJ107" i="15"/>
  <c r="AK107" i="15"/>
  <c r="AL107" i="15"/>
  <c r="AM107" i="15"/>
  <c r="AN107" i="15"/>
  <c r="AO107" i="15"/>
  <c r="AP107" i="15"/>
  <c r="AQ107" i="15"/>
  <c r="AR107" i="15"/>
  <c r="AS107" i="15"/>
  <c r="AT107" i="15"/>
  <c r="AU107" i="15"/>
  <c r="AV107" i="15"/>
  <c r="AW107" i="15"/>
  <c r="AX107" i="15"/>
  <c r="AY107" i="15"/>
  <c r="AB108" i="15"/>
  <c r="AC108" i="15"/>
  <c r="AD108" i="15"/>
  <c r="AE108" i="15"/>
  <c r="AF108" i="15"/>
  <c r="AG108" i="15"/>
  <c r="AH108" i="15"/>
  <c r="AI108" i="15"/>
  <c r="AJ108" i="15"/>
  <c r="AK108" i="15"/>
  <c r="AL108" i="15"/>
  <c r="AM108" i="15"/>
  <c r="AN108" i="15"/>
  <c r="AO108" i="15"/>
  <c r="AP108" i="15"/>
  <c r="AQ108" i="15"/>
  <c r="AR108" i="15"/>
  <c r="AS108" i="15"/>
  <c r="AT108" i="15"/>
  <c r="AU108" i="15"/>
  <c r="AV108" i="15"/>
  <c r="AW108" i="15"/>
  <c r="AX108" i="15"/>
  <c r="AY108" i="15"/>
  <c r="AB109" i="15"/>
  <c r="AC109" i="15"/>
  <c r="AD109" i="15"/>
  <c r="AE109" i="15"/>
  <c r="AF109" i="15"/>
  <c r="AG109" i="15"/>
  <c r="AH109" i="15"/>
  <c r="AI109" i="15"/>
  <c r="AJ109" i="15"/>
  <c r="AK109" i="15"/>
  <c r="AL109" i="15"/>
  <c r="AM109" i="15"/>
  <c r="AN109" i="15"/>
  <c r="AO109" i="15"/>
  <c r="AP109" i="15"/>
  <c r="AQ109" i="15"/>
  <c r="AR109" i="15"/>
  <c r="AS109" i="15"/>
  <c r="AT109" i="15"/>
  <c r="AU109" i="15"/>
  <c r="AV109" i="15"/>
  <c r="AW109" i="15"/>
  <c r="AX109" i="15"/>
  <c r="AY109" i="15"/>
  <c r="AB110" i="15"/>
  <c r="AC110" i="15"/>
  <c r="AD110" i="15"/>
  <c r="AE110" i="15"/>
  <c r="AF110" i="15"/>
  <c r="AG110" i="15"/>
  <c r="AH110" i="15"/>
  <c r="AI110" i="15"/>
  <c r="AJ110" i="15"/>
  <c r="AK110" i="15"/>
  <c r="AL110" i="15"/>
  <c r="AM110" i="15"/>
  <c r="AN110" i="15"/>
  <c r="AO110" i="15"/>
  <c r="AP110" i="15"/>
  <c r="AQ110" i="15"/>
  <c r="AR110" i="15"/>
  <c r="AS110" i="15"/>
  <c r="AT110" i="15"/>
  <c r="AU110" i="15"/>
  <c r="AV110" i="15"/>
  <c r="AW110" i="15"/>
  <c r="AX110" i="15"/>
  <c r="AY110" i="15"/>
  <c r="AB111" i="15"/>
  <c r="AC111" i="15"/>
  <c r="AD111" i="15"/>
  <c r="AE111" i="15"/>
  <c r="AF111" i="15"/>
  <c r="AG111" i="15"/>
  <c r="AH111" i="15"/>
  <c r="AI111" i="15"/>
  <c r="AJ111" i="15"/>
  <c r="AK111" i="15"/>
  <c r="AL111" i="15"/>
  <c r="AM111" i="15"/>
  <c r="AN111" i="15"/>
  <c r="AO111" i="15"/>
  <c r="AP111" i="15"/>
  <c r="AQ111" i="15"/>
  <c r="AR111" i="15"/>
  <c r="AS111" i="15"/>
  <c r="AT111" i="15"/>
  <c r="AU111" i="15"/>
  <c r="AV111" i="15"/>
  <c r="AW111" i="15"/>
  <c r="AX111" i="15"/>
  <c r="AY111"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B113" i="15"/>
  <c r="AC113" i="15"/>
  <c r="AD113" i="15"/>
  <c r="AE113" i="15"/>
  <c r="AF113" i="15"/>
  <c r="AG113" i="15"/>
  <c r="AH113" i="15"/>
  <c r="AI113" i="15"/>
  <c r="AJ113" i="15"/>
  <c r="AK113" i="15"/>
  <c r="AL113" i="15"/>
  <c r="AM113" i="15"/>
  <c r="AN113" i="15"/>
  <c r="AO113" i="15"/>
  <c r="AP113" i="15"/>
  <c r="AQ113" i="15"/>
  <c r="AR113" i="15"/>
  <c r="AS113" i="15"/>
  <c r="AT113" i="15"/>
  <c r="AU113" i="15"/>
  <c r="AV113" i="15"/>
  <c r="AW113" i="15"/>
  <c r="AX113" i="15"/>
  <c r="AY113" i="15"/>
  <c r="AB114" i="15"/>
  <c r="AC114" i="15"/>
  <c r="AD114" i="15"/>
  <c r="AE114" i="15"/>
  <c r="AF114" i="15"/>
  <c r="AG114" i="15"/>
  <c r="AH114" i="15"/>
  <c r="AI114" i="15"/>
  <c r="AJ114" i="15"/>
  <c r="AK114" i="15"/>
  <c r="AL114" i="15"/>
  <c r="AM114" i="15"/>
  <c r="AN114" i="15"/>
  <c r="AO114" i="15"/>
  <c r="AP114" i="15"/>
  <c r="AQ114" i="15"/>
  <c r="AR114" i="15"/>
  <c r="AS114" i="15"/>
  <c r="AT114" i="15"/>
  <c r="AU114" i="15"/>
  <c r="AV114" i="15"/>
  <c r="AW114" i="15"/>
  <c r="AX114" i="15"/>
  <c r="AY114" i="15"/>
  <c r="AB115" i="15"/>
  <c r="AC115" i="15"/>
  <c r="AD115" i="15"/>
  <c r="AE115" i="15"/>
  <c r="AF115" i="15"/>
  <c r="AG115" i="15"/>
  <c r="AH115" i="15"/>
  <c r="AI115" i="15"/>
  <c r="AJ115" i="15"/>
  <c r="AK115" i="15"/>
  <c r="AL115" i="15"/>
  <c r="AM115" i="15"/>
  <c r="AN115" i="15"/>
  <c r="AO115" i="15"/>
  <c r="AP115" i="15"/>
  <c r="AQ115" i="15"/>
  <c r="AR115" i="15"/>
  <c r="AS115" i="15"/>
  <c r="AT115" i="15"/>
  <c r="AU115" i="15"/>
  <c r="AV115" i="15"/>
  <c r="AW115" i="15"/>
  <c r="AX115" i="15"/>
  <c r="AY115" i="15"/>
  <c r="AB116" i="15"/>
  <c r="AC116" i="15"/>
  <c r="AD116" i="15"/>
  <c r="AE116" i="15"/>
  <c r="AF116" i="15"/>
  <c r="AG116" i="15"/>
  <c r="AH116" i="15"/>
  <c r="AI116" i="15"/>
  <c r="AJ116" i="15"/>
  <c r="AK116" i="15"/>
  <c r="AL116" i="15"/>
  <c r="AM116" i="15"/>
  <c r="AN116" i="15"/>
  <c r="AO116" i="15"/>
  <c r="AP116" i="15"/>
  <c r="AQ116" i="15"/>
  <c r="AR116" i="15"/>
  <c r="AS116" i="15"/>
  <c r="AT116" i="15"/>
  <c r="AU116" i="15"/>
  <c r="AV116" i="15"/>
  <c r="AW116" i="15"/>
  <c r="AX116" i="15"/>
  <c r="AY116" i="15"/>
  <c r="AB117" i="15"/>
  <c r="AC117" i="15"/>
  <c r="AD117" i="15"/>
  <c r="AE117" i="15"/>
  <c r="AF117" i="15"/>
  <c r="AG117" i="15"/>
  <c r="AH117" i="15"/>
  <c r="AI117" i="15"/>
  <c r="AJ117" i="15"/>
  <c r="AK117" i="15"/>
  <c r="AL117" i="15"/>
  <c r="AM117" i="15"/>
  <c r="AN117" i="15"/>
  <c r="AO117" i="15"/>
  <c r="AP117" i="15"/>
  <c r="AQ117" i="15"/>
  <c r="AR117" i="15"/>
  <c r="AS117" i="15"/>
  <c r="AT117" i="15"/>
  <c r="AU117" i="15"/>
  <c r="AV117" i="15"/>
  <c r="AW117" i="15"/>
  <c r="AX117" i="15"/>
  <c r="AY117" i="15"/>
  <c r="AB118" i="15"/>
  <c r="AC118" i="15"/>
  <c r="AD118" i="15"/>
  <c r="AE118" i="15"/>
  <c r="AF118" i="15"/>
  <c r="AG118" i="15"/>
  <c r="AH118" i="15"/>
  <c r="AI118" i="15"/>
  <c r="AJ118" i="15"/>
  <c r="AK118" i="15"/>
  <c r="AL118" i="15"/>
  <c r="AM118" i="15"/>
  <c r="AN118" i="15"/>
  <c r="AO118" i="15"/>
  <c r="AP118" i="15"/>
  <c r="AQ118" i="15"/>
  <c r="AR118" i="15"/>
  <c r="AS118" i="15"/>
  <c r="AT118" i="15"/>
  <c r="AU118" i="15"/>
  <c r="AV118" i="15"/>
  <c r="AW118" i="15"/>
  <c r="AX118" i="15"/>
  <c r="AY118" i="15"/>
  <c r="AB119" i="15"/>
  <c r="AC119" i="15"/>
  <c r="AD119" i="15"/>
  <c r="AE119" i="15"/>
  <c r="AF119" i="15"/>
  <c r="AG119" i="15"/>
  <c r="AH119" i="15"/>
  <c r="AI119" i="15"/>
  <c r="AJ119" i="15"/>
  <c r="AK119" i="15"/>
  <c r="AL119" i="15"/>
  <c r="AM119" i="15"/>
  <c r="AN119" i="15"/>
  <c r="AO119" i="15"/>
  <c r="AP119" i="15"/>
  <c r="AQ119" i="15"/>
  <c r="AR119" i="15"/>
  <c r="AS119" i="15"/>
  <c r="AT119" i="15"/>
  <c r="AU119" i="15"/>
  <c r="AV119" i="15"/>
  <c r="AW119" i="15"/>
  <c r="AX119" i="15"/>
  <c r="AY119" i="15"/>
  <c r="AB120" i="15"/>
  <c r="AC120" i="15"/>
  <c r="AD120" i="15"/>
  <c r="AE120" i="15"/>
  <c r="AF120" i="15"/>
  <c r="AG120" i="15"/>
  <c r="AH120" i="15"/>
  <c r="AI120" i="15"/>
  <c r="AJ120" i="15"/>
  <c r="AK120" i="15"/>
  <c r="AL120" i="15"/>
  <c r="AM120" i="15"/>
  <c r="AN120" i="15"/>
  <c r="AO120" i="15"/>
  <c r="AP120" i="15"/>
  <c r="AQ120" i="15"/>
  <c r="AR120" i="15"/>
  <c r="AS120" i="15"/>
  <c r="AT120" i="15"/>
  <c r="AU120" i="15"/>
  <c r="AV120" i="15"/>
  <c r="AW120" i="15"/>
  <c r="AX120" i="15"/>
  <c r="AY120" i="15"/>
  <c r="AB121" i="15"/>
  <c r="AC121" i="15"/>
  <c r="AD121" i="15"/>
  <c r="AE121" i="15"/>
  <c r="AF121" i="15"/>
  <c r="AG121" i="15"/>
  <c r="AH121" i="15"/>
  <c r="AI121" i="15"/>
  <c r="AJ121" i="15"/>
  <c r="AK121" i="15"/>
  <c r="AL121" i="15"/>
  <c r="AM121" i="15"/>
  <c r="AN121" i="15"/>
  <c r="AO121" i="15"/>
  <c r="AP121" i="15"/>
  <c r="AQ121" i="15"/>
  <c r="AR121" i="15"/>
  <c r="AS121" i="15"/>
  <c r="AT121" i="15"/>
  <c r="AU121" i="15"/>
  <c r="AV121" i="15"/>
  <c r="AW121" i="15"/>
  <c r="AX121" i="15"/>
  <c r="AY121" i="15"/>
  <c r="AB122" i="15"/>
  <c r="AC122" i="15"/>
  <c r="AD122" i="15"/>
  <c r="AE122" i="15"/>
  <c r="AF122" i="15"/>
  <c r="AG122" i="15"/>
  <c r="AH122" i="15"/>
  <c r="AI122" i="15"/>
  <c r="AJ122" i="15"/>
  <c r="AK122" i="15"/>
  <c r="AL122" i="15"/>
  <c r="AM122" i="15"/>
  <c r="AN122" i="15"/>
  <c r="AO122" i="15"/>
  <c r="AP122" i="15"/>
  <c r="AQ122" i="15"/>
  <c r="AR122" i="15"/>
  <c r="AS122" i="15"/>
  <c r="AT122" i="15"/>
  <c r="AU122" i="15"/>
  <c r="AV122" i="15"/>
  <c r="AW122" i="15"/>
  <c r="AX122" i="15"/>
  <c r="AY122" i="15"/>
  <c r="AB123" i="15"/>
  <c r="AC123" i="15"/>
  <c r="AD123" i="15"/>
  <c r="AE123" i="15"/>
  <c r="AF123" i="15"/>
  <c r="AG123" i="15"/>
  <c r="AH123" i="15"/>
  <c r="AI123" i="15"/>
  <c r="AJ123" i="15"/>
  <c r="AK123" i="15"/>
  <c r="AL123" i="15"/>
  <c r="AM123" i="15"/>
  <c r="AN123" i="15"/>
  <c r="AO123" i="15"/>
  <c r="AP123" i="15"/>
  <c r="AQ123" i="15"/>
  <c r="AR123" i="15"/>
  <c r="AS123" i="15"/>
  <c r="AT123" i="15"/>
  <c r="AU123" i="15"/>
  <c r="AV123" i="15"/>
  <c r="AW123" i="15"/>
  <c r="AX123" i="15"/>
  <c r="AY123" i="15"/>
  <c r="AB124" i="15"/>
  <c r="AC124" i="15"/>
  <c r="AD124" i="15"/>
  <c r="AE124" i="15"/>
  <c r="AF124" i="15"/>
  <c r="AG124" i="15"/>
  <c r="AH124" i="15"/>
  <c r="AI124" i="15"/>
  <c r="AJ124" i="15"/>
  <c r="AK124" i="15"/>
  <c r="AL124" i="15"/>
  <c r="AM124" i="15"/>
  <c r="AN124" i="15"/>
  <c r="AO124" i="15"/>
  <c r="AP124" i="15"/>
  <c r="AQ124" i="15"/>
  <c r="AR124" i="15"/>
  <c r="AS124" i="15"/>
  <c r="AT124" i="15"/>
  <c r="AU124" i="15"/>
  <c r="AV124" i="15"/>
  <c r="AW124" i="15"/>
  <c r="AX124" i="15"/>
  <c r="AY124" i="15"/>
  <c r="AB125" i="15"/>
  <c r="AC125" i="15"/>
  <c r="AD125" i="15"/>
  <c r="AE125" i="15"/>
  <c r="AF125" i="15"/>
  <c r="AG125" i="15"/>
  <c r="AH125" i="15"/>
  <c r="AI125" i="15"/>
  <c r="AJ125" i="15"/>
  <c r="AK125" i="15"/>
  <c r="AL125" i="15"/>
  <c r="AM125" i="15"/>
  <c r="AN125" i="15"/>
  <c r="AO125" i="15"/>
  <c r="AP125" i="15"/>
  <c r="AQ125" i="15"/>
  <c r="AR125" i="15"/>
  <c r="AS125" i="15"/>
  <c r="AT125" i="15"/>
  <c r="AU125" i="15"/>
  <c r="AV125" i="15"/>
  <c r="AW125" i="15"/>
  <c r="AX125" i="15"/>
  <c r="AY125" i="15"/>
  <c r="AB126" i="15"/>
  <c r="AC126" i="15"/>
  <c r="AD126" i="15"/>
  <c r="AE126" i="15"/>
  <c r="AF126" i="15"/>
  <c r="AG126" i="15"/>
  <c r="AH126" i="15"/>
  <c r="AI126" i="15"/>
  <c r="AJ126" i="15"/>
  <c r="AK126" i="15"/>
  <c r="AL126" i="15"/>
  <c r="AM126" i="15"/>
  <c r="AN126" i="15"/>
  <c r="AO126" i="15"/>
  <c r="AP126" i="15"/>
  <c r="AQ126" i="15"/>
  <c r="AR126" i="15"/>
  <c r="AS126" i="15"/>
  <c r="AT126" i="15"/>
  <c r="AU126" i="15"/>
  <c r="AV126" i="15"/>
  <c r="AW126" i="15"/>
  <c r="AX126" i="15"/>
  <c r="AY126" i="15"/>
  <c r="AB127" i="15"/>
  <c r="AC127" i="15"/>
  <c r="AD127" i="15"/>
  <c r="AE127" i="15"/>
  <c r="AF127" i="15"/>
  <c r="AG127" i="15"/>
  <c r="AH127" i="15"/>
  <c r="AI127" i="15"/>
  <c r="AJ127" i="15"/>
  <c r="AK127" i="15"/>
  <c r="AL127" i="15"/>
  <c r="AM127" i="15"/>
  <c r="AN127" i="15"/>
  <c r="AO127" i="15"/>
  <c r="AP127" i="15"/>
  <c r="AQ127" i="15"/>
  <c r="AR127" i="15"/>
  <c r="AS127" i="15"/>
  <c r="AT127" i="15"/>
  <c r="AU127" i="15"/>
  <c r="AV127" i="15"/>
  <c r="AW127" i="15"/>
  <c r="AX127" i="15"/>
  <c r="AY127" i="15"/>
  <c r="AB128" i="15"/>
  <c r="AC128" i="15"/>
  <c r="AD128" i="15"/>
  <c r="AE128" i="15"/>
  <c r="AF128" i="15"/>
  <c r="AG128" i="15"/>
  <c r="AH128" i="15"/>
  <c r="AI128" i="15"/>
  <c r="AJ128" i="15"/>
  <c r="AK128" i="15"/>
  <c r="AL128" i="15"/>
  <c r="AM128" i="15"/>
  <c r="AN128" i="15"/>
  <c r="AO128" i="15"/>
  <c r="AP128" i="15"/>
  <c r="AQ128" i="15"/>
  <c r="AR128" i="15"/>
  <c r="AS128" i="15"/>
  <c r="AT128" i="15"/>
  <c r="AU128" i="15"/>
  <c r="AV128" i="15"/>
  <c r="AW128" i="15"/>
  <c r="AX128" i="15"/>
  <c r="AY128" i="15"/>
  <c r="AB129" i="15"/>
  <c r="AC129" i="15"/>
  <c r="AD129" i="15"/>
  <c r="AE129" i="15"/>
  <c r="AF129" i="15"/>
  <c r="AG129" i="15"/>
  <c r="AH129" i="15"/>
  <c r="AI129" i="15"/>
  <c r="AJ129" i="15"/>
  <c r="AK129" i="15"/>
  <c r="AL129" i="15"/>
  <c r="AM129" i="15"/>
  <c r="AN129" i="15"/>
  <c r="AO129" i="15"/>
  <c r="AP129" i="15"/>
  <c r="AQ129" i="15"/>
  <c r="AR129" i="15"/>
  <c r="AS129" i="15"/>
  <c r="AT129" i="15"/>
  <c r="AU129" i="15"/>
  <c r="AV129" i="15"/>
  <c r="AW129" i="15"/>
  <c r="AX129" i="15"/>
  <c r="AY129" i="15"/>
  <c r="AB130" i="15"/>
  <c r="AC130" i="15"/>
  <c r="AD130" i="15"/>
  <c r="AE130" i="15"/>
  <c r="AF130" i="15"/>
  <c r="AG130" i="15"/>
  <c r="AH130" i="15"/>
  <c r="AI130" i="15"/>
  <c r="AJ130" i="15"/>
  <c r="AK130" i="15"/>
  <c r="AL130" i="15"/>
  <c r="AM130" i="15"/>
  <c r="AN130" i="15"/>
  <c r="AO130" i="15"/>
  <c r="AP130" i="15"/>
  <c r="AQ130" i="15"/>
  <c r="AR130" i="15"/>
  <c r="AS130" i="15"/>
  <c r="AT130" i="15"/>
  <c r="AU130" i="15"/>
  <c r="AV130" i="15"/>
  <c r="AW130" i="15"/>
  <c r="AX130" i="15"/>
  <c r="AY130" i="15"/>
  <c r="AB131" i="15"/>
  <c r="AC131" i="15"/>
  <c r="AD131" i="15"/>
  <c r="AE131" i="15"/>
  <c r="AF131" i="15"/>
  <c r="AG131" i="15"/>
  <c r="AH131" i="15"/>
  <c r="AI131" i="15"/>
  <c r="AJ131" i="15"/>
  <c r="AK131" i="15"/>
  <c r="AL131" i="15"/>
  <c r="AM131" i="15"/>
  <c r="AN131" i="15"/>
  <c r="AO131" i="15"/>
  <c r="AP131" i="15"/>
  <c r="AQ131" i="15"/>
  <c r="AR131" i="15"/>
  <c r="AS131" i="15"/>
  <c r="AT131" i="15"/>
  <c r="AU131" i="15"/>
  <c r="AV131" i="15"/>
  <c r="AW131" i="15"/>
  <c r="AX131" i="15"/>
  <c r="AY131" i="15"/>
  <c r="AB132" i="15"/>
  <c r="AC132" i="15"/>
  <c r="AD132" i="15"/>
  <c r="AE132" i="15"/>
  <c r="AF132" i="15"/>
  <c r="AG132" i="15"/>
  <c r="AH132" i="15"/>
  <c r="AI132" i="15"/>
  <c r="AJ132" i="15"/>
  <c r="AK132" i="15"/>
  <c r="AL132" i="15"/>
  <c r="AM132" i="15"/>
  <c r="AN132" i="15"/>
  <c r="AO132" i="15"/>
  <c r="AP132" i="15"/>
  <c r="AQ132" i="15"/>
  <c r="AR132" i="15"/>
  <c r="AS132" i="15"/>
  <c r="AT132" i="15"/>
  <c r="AU132" i="15"/>
  <c r="AV132" i="15"/>
  <c r="AW132" i="15"/>
  <c r="AX132" i="15"/>
  <c r="AY132" i="15"/>
  <c r="AB133" i="15"/>
  <c r="AC133" i="15"/>
  <c r="AD133" i="15"/>
  <c r="AE133" i="15"/>
  <c r="AF133" i="15"/>
  <c r="AG133" i="15"/>
  <c r="AH133" i="15"/>
  <c r="AI133" i="15"/>
  <c r="AJ133" i="15"/>
  <c r="AK133" i="15"/>
  <c r="AL133" i="15"/>
  <c r="AM133" i="15"/>
  <c r="AN133" i="15"/>
  <c r="AO133" i="15"/>
  <c r="AP133" i="15"/>
  <c r="AQ133" i="15"/>
  <c r="AR133" i="15"/>
  <c r="AS133" i="15"/>
  <c r="AT133" i="15"/>
  <c r="AU133" i="15"/>
  <c r="AV133" i="15"/>
  <c r="AW133" i="15"/>
  <c r="AX133" i="15"/>
  <c r="AY133" i="15"/>
  <c r="AB134" i="15"/>
  <c r="AC134" i="15"/>
  <c r="AD134" i="15"/>
  <c r="AE134" i="15"/>
  <c r="AF134" i="15"/>
  <c r="AG134" i="15"/>
  <c r="AH134" i="15"/>
  <c r="AI134" i="15"/>
  <c r="AJ134" i="15"/>
  <c r="AK134" i="15"/>
  <c r="AL134" i="15"/>
  <c r="AM134" i="15"/>
  <c r="AN134" i="15"/>
  <c r="AO134" i="15"/>
  <c r="AP134" i="15"/>
  <c r="AQ134" i="15"/>
  <c r="AR134" i="15"/>
  <c r="AS134" i="15"/>
  <c r="AT134" i="15"/>
  <c r="AU134" i="15"/>
  <c r="AV134" i="15"/>
  <c r="AW134" i="15"/>
  <c r="AX134" i="15"/>
  <c r="AY134" i="15"/>
  <c r="AB135" i="15"/>
  <c r="AC135" i="15"/>
  <c r="AD135" i="15"/>
  <c r="AE135" i="15"/>
  <c r="AF135" i="15"/>
  <c r="AG135" i="15"/>
  <c r="AH135" i="15"/>
  <c r="AI135" i="15"/>
  <c r="AJ135" i="15"/>
  <c r="AK135" i="15"/>
  <c r="AL135" i="15"/>
  <c r="AM135" i="15"/>
  <c r="AN135" i="15"/>
  <c r="AO135" i="15"/>
  <c r="AP135" i="15"/>
  <c r="AQ135" i="15"/>
  <c r="AR135" i="15"/>
  <c r="AS135" i="15"/>
  <c r="AT135" i="15"/>
  <c r="AU135" i="15"/>
  <c r="AV135" i="15"/>
  <c r="AW135" i="15"/>
  <c r="AX135" i="15"/>
  <c r="AY135" i="15"/>
  <c r="AB136" i="15"/>
  <c r="AC136" i="15"/>
  <c r="AD136" i="15"/>
  <c r="AE136" i="15"/>
  <c r="AF136" i="15"/>
  <c r="AG136" i="15"/>
  <c r="AH136" i="15"/>
  <c r="AI136" i="15"/>
  <c r="AJ136" i="15"/>
  <c r="AK136" i="15"/>
  <c r="AL136" i="15"/>
  <c r="AM136" i="15"/>
  <c r="AN136" i="15"/>
  <c r="AO136" i="15"/>
  <c r="AP136" i="15"/>
  <c r="AQ136" i="15"/>
  <c r="AR136" i="15"/>
  <c r="AS136" i="15"/>
  <c r="AT136" i="15"/>
  <c r="AU136" i="15"/>
  <c r="AV136" i="15"/>
  <c r="AW136" i="15"/>
  <c r="AX136" i="15"/>
  <c r="AY136" i="15"/>
  <c r="AB137" i="15"/>
  <c r="AC137" i="15"/>
  <c r="AD137" i="15"/>
  <c r="AE137" i="15"/>
  <c r="AF137" i="15"/>
  <c r="AG137" i="15"/>
  <c r="AH137" i="15"/>
  <c r="AI137" i="15"/>
  <c r="AJ137" i="15"/>
  <c r="AK137" i="15"/>
  <c r="AL137" i="15"/>
  <c r="AM137" i="15"/>
  <c r="AN137" i="15"/>
  <c r="AO137" i="15"/>
  <c r="AP137" i="15"/>
  <c r="AQ137" i="15"/>
  <c r="AR137" i="15"/>
  <c r="AS137" i="15"/>
  <c r="AT137" i="15"/>
  <c r="AU137" i="15"/>
  <c r="AV137" i="15"/>
  <c r="AW137" i="15"/>
  <c r="AX137" i="15"/>
  <c r="AY137" i="15"/>
  <c r="AB138" i="15"/>
  <c r="AC138" i="15"/>
  <c r="AD138" i="15"/>
  <c r="AE138" i="15"/>
  <c r="AF138" i="15"/>
  <c r="AG138" i="15"/>
  <c r="AH138" i="15"/>
  <c r="AI138" i="15"/>
  <c r="AJ138" i="15"/>
  <c r="AK138" i="15"/>
  <c r="AL138" i="15"/>
  <c r="AM138" i="15"/>
  <c r="AN138" i="15"/>
  <c r="AO138" i="15"/>
  <c r="AP138" i="15"/>
  <c r="AQ138" i="15"/>
  <c r="AR138" i="15"/>
  <c r="AS138" i="15"/>
  <c r="AT138" i="15"/>
  <c r="AU138" i="15"/>
  <c r="AV138" i="15"/>
  <c r="AW138" i="15"/>
  <c r="AX138" i="15"/>
  <c r="AY138" i="15"/>
  <c r="AB139" i="15"/>
  <c r="AC139" i="15"/>
  <c r="AD139" i="15"/>
  <c r="AE139" i="15"/>
  <c r="AF139" i="15"/>
  <c r="AG139" i="15"/>
  <c r="AH139" i="15"/>
  <c r="AI139" i="15"/>
  <c r="AJ139" i="15"/>
  <c r="AK139" i="15"/>
  <c r="AL139" i="15"/>
  <c r="AM139" i="15"/>
  <c r="AN139" i="15"/>
  <c r="AO139" i="15"/>
  <c r="AP139" i="15"/>
  <c r="AQ139" i="15"/>
  <c r="AR139" i="15"/>
  <c r="AS139" i="15"/>
  <c r="AT139" i="15"/>
  <c r="AU139" i="15"/>
  <c r="AV139" i="15"/>
  <c r="AW139" i="15"/>
  <c r="AX139" i="15"/>
  <c r="AY139" i="15"/>
  <c r="AB140" i="15"/>
  <c r="AC140" i="15"/>
  <c r="AD140" i="15"/>
  <c r="AE140" i="15"/>
  <c r="AF140" i="15"/>
  <c r="AG140" i="15"/>
  <c r="AH140" i="15"/>
  <c r="AI140" i="15"/>
  <c r="AJ140" i="15"/>
  <c r="AK140" i="15"/>
  <c r="AL140" i="15"/>
  <c r="AM140" i="15"/>
  <c r="AN140" i="15"/>
  <c r="AO140" i="15"/>
  <c r="AP140" i="15"/>
  <c r="AQ140" i="15"/>
  <c r="AR140" i="15"/>
  <c r="AS140" i="15"/>
  <c r="AT140" i="15"/>
  <c r="AU140" i="15"/>
  <c r="AV140" i="15"/>
  <c r="AW140" i="15"/>
  <c r="AX140" i="15"/>
  <c r="AY140" i="15"/>
  <c r="AB141" i="15"/>
  <c r="AC141" i="15"/>
  <c r="AD141" i="15"/>
  <c r="AE141" i="15"/>
  <c r="AF141" i="15"/>
  <c r="AG141" i="15"/>
  <c r="AH141" i="15"/>
  <c r="AI141" i="15"/>
  <c r="AJ141" i="15"/>
  <c r="AK141" i="15"/>
  <c r="AL141" i="15"/>
  <c r="AM141" i="15"/>
  <c r="AN141" i="15"/>
  <c r="AO141" i="15"/>
  <c r="AP141" i="15"/>
  <c r="AQ141" i="15"/>
  <c r="AR141" i="15"/>
  <c r="AS141" i="15"/>
  <c r="AT141" i="15"/>
  <c r="AU141" i="15"/>
  <c r="AV141" i="15"/>
  <c r="AW141" i="15"/>
  <c r="AX141" i="15"/>
  <c r="AY141" i="15"/>
  <c r="AB142" i="15"/>
  <c r="AC142" i="15"/>
  <c r="AD142" i="15"/>
  <c r="AE142" i="15"/>
  <c r="AF142" i="15"/>
  <c r="AG142" i="15"/>
  <c r="AH142" i="15"/>
  <c r="AI142" i="15"/>
  <c r="AJ142" i="15"/>
  <c r="AK142" i="15"/>
  <c r="AL142" i="15"/>
  <c r="AM142" i="15"/>
  <c r="AN142" i="15"/>
  <c r="AO142" i="15"/>
  <c r="AP142" i="15"/>
  <c r="AQ142" i="15"/>
  <c r="AR142" i="15"/>
  <c r="AS142" i="15"/>
  <c r="AT142" i="15"/>
  <c r="AU142" i="15"/>
  <c r="AV142" i="15"/>
  <c r="AW142" i="15"/>
  <c r="AX142" i="15"/>
  <c r="AY142" i="15"/>
  <c r="AB143" i="15"/>
  <c r="AC143" i="15"/>
  <c r="AD143" i="15"/>
  <c r="AE143" i="15"/>
  <c r="AF143" i="15"/>
  <c r="AG143" i="15"/>
  <c r="AH143" i="15"/>
  <c r="AI143" i="15"/>
  <c r="AJ143" i="15"/>
  <c r="AK143" i="15"/>
  <c r="AL143" i="15"/>
  <c r="AM143" i="15"/>
  <c r="AN143" i="15"/>
  <c r="AO143" i="15"/>
  <c r="AP143" i="15"/>
  <c r="AQ143" i="15"/>
  <c r="AR143" i="15"/>
  <c r="AS143" i="15"/>
  <c r="AT143" i="15"/>
  <c r="AU143" i="15"/>
  <c r="AV143" i="15"/>
  <c r="AW143" i="15"/>
  <c r="AX143" i="15"/>
  <c r="AY143" i="15"/>
  <c r="AB144" i="15"/>
  <c r="AC144" i="15"/>
  <c r="AD144" i="15"/>
  <c r="AE144" i="15"/>
  <c r="AF144" i="15"/>
  <c r="AG144" i="15"/>
  <c r="AH144" i="15"/>
  <c r="AI144" i="15"/>
  <c r="AJ144" i="15"/>
  <c r="AK144" i="15"/>
  <c r="AL144" i="15"/>
  <c r="AM144" i="15"/>
  <c r="AN144" i="15"/>
  <c r="AO144" i="15"/>
  <c r="AP144" i="15"/>
  <c r="AQ144" i="15"/>
  <c r="AR144" i="15"/>
  <c r="AS144" i="15"/>
  <c r="AT144" i="15"/>
  <c r="AU144" i="15"/>
  <c r="AV144" i="15"/>
  <c r="AW144" i="15"/>
  <c r="AX144" i="15"/>
  <c r="AY144" i="15"/>
  <c r="AB145" i="15"/>
  <c r="AC145" i="15"/>
  <c r="AD145" i="15"/>
  <c r="AE145" i="15"/>
  <c r="AF145" i="15"/>
  <c r="AG145" i="15"/>
  <c r="AH145" i="15"/>
  <c r="AI145" i="15"/>
  <c r="AJ145" i="15"/>
  <c r="AK145" i="15"/>
  <c r="AL145" i="15"/>
  <c r="AM145" i="15"/>
  <c r="AN145" i="15"/>
  <c r="AO145" i="15"/>
  <c r="AP145" i="15"/>
  <c r="AQ145" i="15"/>
  <c r="AR145" i="15"/>
  <c r="AS145" i="15"/>
  <c r="AT145" i="15"/>
  <c r="AU145" i="15"/>
  <c r="AV145" i="15"/>
  <c r="AW145" i="15"/>
  <c r="AX145" i="15"/>
  <c r="AY145" i="15"/>
  <c r="AB146" i="15"/>
  <c r="AC146" i="15"/>
  <c r="AD146" i="15"/>
  <c r="AE146" i="15"/>
  <c r="AF146" i="15"/>
  <c r="AG146" i="15"/>
  <c r="AH146" i="15"/>
  <c r="AI146" i="15"/>
  <c r="AJ146" i="15"/>
  <c r="AK146" i="15"/>
  <c r="AL146" i="15"/>
  <c r="AM146" i="15"/>
  <c r="AN146" i="15"/>
  <c r="AO146" i="15"/>
  <c r="AP146" i="15"/>
  <c r="AQ146" i="15"/>
  <c r="AR146" i="15"/>
  <c r="AS146" i="15"/>
  <c r="AT146" i="15"/>
  <c r="AU146" i="15"/>
  <c r="AV146" i="15"/>
  <c r="AW146" i="15"/>
  <c r="AX146" i="15"/>
  <c r="AY146" i="15"/>
  <c r="AB147" i="15"/>
  <c r="AC147" i="15"/>
  <c r="AD147" i="15"/>
  <c r="AE147" i="15"/>
  <c r="AF147" i="15"/>
  <c r="AG147" i="15"/>
  <c r="AH147" i="15"/>
  <c r="AI147" i="15"/>
  <c r="AJ147" i="15"/>
  <c r="AK147" i="15"/>
  <c r="AL147" i="15"/>
  <c r="AM147" i="15"/>
  <c r="AN147" i="15"/>
  <c r="AO147" i="15"/>
  <c r="AP147" i="15"/>
  <c r="AQ147" i="15"/>
  <c r="AR147" i="15"/>
  <c r="AS147" i="15"/>
  <c r="AT147" i="15"/>
  <c r="AU147" i="15"/>
  <c r="AV147" i="15"/>
  <c r="AW147" i="15"/>
  <c r="AX147" i="15"/>
  <c r="AY147" i="15"/>
  <c r="AB148" i="15"/>
  <c r="AC148" i="15"/>
  <c r="AD148" i="15"/>
  <c r="AE148" i="15"/>
  <c r="AF148" i="15"/>
  <c r="AG148" i="15"/>
  <c r="AH148" i="15"/>
  <c r="AI148" i="15"/>
  <c r="AJ148" i="15"/>
  <c r="AK148" i="15"/>
  <c r="AL148" i="15"/>
  <c r="AM148" i="15"/>
  <c r="AN148" i="15"/>
  <c r="AO148" i="15"/>
  <c r="AP148" i="15"/>
  <c r="AQ148" i="15"/>
  <c r="AR148" i="15"/>
  <c r="AS148" i="15"/>
  <c r="AT148" i="15"/>
  <c r="AU148" i="15"/>
  <c r="AV148" i="15"/>
  <c r="AW148" i="15"/>
  <c r="AX148" i="15"/>
  <c r="AY148" i="15"/>
  <c r="AB149" i="15"/>
  <c r="AC149" i="15"/>
  <c r="AD149" i="15"/>
  <c r="AE149" i="15"/>
  <c r="AF149" i="15"/>
  <c r="AG149" i="15"/>
  <c r="AH149" i="15"/>
  <c r="AI149" i="15"/>
  <c r="AJ149" i="15"/>
  <c r="AK149" i="15"/>
  <c r="AL149" i="15"/>
  <c r="AM149" i="15"/>
  <c r="AN149" i="15"/>
  <c r="AO149" i="15"/>
  <c r="AP149" i="15"/>
  <c r="AQ149" i="15"/>
  <c r="AR149" i="15"/>
  <c r="AS149" i="15"/>
  <c r="AT149" i="15"/>
  <c r="AU149" i="15"/>
  <c r="AV149" i="15"/>
  <c r="AW149" i="15"/>
  <c r="AX149" i="15"/>
  <c r="AY149" i="15"/>
  <c r="AB150" i="15"/>
  <c r="AC150" i="15"/>
  <c r="AD150" i="15"/>
  <c r="AE150" i="15"/>
  <c r="AF150" i="15"/>
  <c r="AG150" i="15"/>
  <c r="AH150" i="15"/>
  <c r="AI150" i="15"/>
  <c r="AJ150" i="15"/>
  <c r="AK150" i="15"/>
  <c r="AL150" i="15"/>
  <c r="AM150" i="15"/>
  <c r="AN150" i="15"/>
  <c r="AO150" i="15"/>
  <c r="AP150" i="15"/>
  <c r="AQ150" i="15"/>
  <c r="AR150" i="15"/>
  <c r="AS150" i="15"/>
  <c r="AT150" i="15"/>
  <c r="AU150" i="15"/>
  <c r="AV150" i="15"/>
  <c r="AW150" i="15"/>
  <c r="AX150" i="15"/>
  <c r="AY150" i="15"/>
  <c r="AB151" i="15"/>
  <c r="AC151" i="15"/>
  <c r="AD151" i="15"/>
  <c r="AE151" i="15"/>
  <c r="AF151" i="15"/>
  <c r="AG151" i="15"/>
  <c r="AH151" i="15"/>
  <c r="AI151" i="15"/>
  <c r="AJ151" i="15"/>
  <c r="AK151" i="15"/>
  <c r="AL151" i="15"/>
  <c r="AM151" i="15"/>
  <c r="AN151" i="15"/>
  <c r="AO151" i="15"/>
  <c r="AP151" i="15"/>
  <c r="AQ151" i="15"/>
  <c r="AR151" i="15"/>
  <c r="AS151" i="15"/>
  <c r="AT151" i="15"/>
  <c r="AU151" i="15"/>
  <c r="AV151" i="15"/>
  <c r="AW151" i="15"/>
  <c r="AX151" i="15"/>
  <c r="AY151" i="15"/>
  <c r="AB152" i="15"/>
  <c r="AC152" i="15"/>
  <c r="AD152" i="15"/>
  <c r="AE152" i="15"/>
  <c r="AF152" i="15"/>
  <c r="AG152" i="15"/>
  <c r="AH152" i="15"/>
  <c r="AI152" i="15"/>
  <c r="AJ152" i="15"/>
  <c r="AK152" i="15"/>
  <c r="AL152" i="15"/>
  <c r="AM152" i="15"/>
  <c r="AN152" i="15"/>
  <c r="AO152" i="15"/>
  <c r="AP152" i="15"/>
  <c r="AQ152" i="15"/>
  <c r="AR152" i="15"/>
  <c r="AS152" i="15"/>
  <c r="AT152" i="15"/>
  <c r="AU152" i="15"/>
  <c r="AV152" i="15"/>
  <c r="AW152" i="15"/>
  <c r="AX152" i="15"/>
  <c r="AY152" i="15"/>
  <c r="AB153" i="15"/>
  <c r="AC153" i="15"/>
  <c r="AD153" i="15"/>
  <c r="AE153" i="15"/>
  <c r="AF153" i="15"/>
  <c r="AG153" i="15"/>
  <c r="AH153" i="15"/>
  <c r="AI153" i="15"/>
  <c r="AJ153" i="15"/>
  <c r="AK153" i="15"/>
  <c r="AL153" i="15"/>
  <c r="AM153" i="15"/>
  <c r="AN153" i="15"/>
  <c r="AO153" i="15"/>
  <c r="AP153" i="15"/>
  <c r="AQ153" i="15"/>
  <c r="AR153" i="15"/>
  <c r="AS153" i="15"/>
  <c r="AT153" i="15"/>
  <c r="AU153" i="15"/>
  <c r="AV153" i="15"/>
  <c r="AW153" i="15"/>
  <c r="AX153" i="15"/>
  <c r="AY153" i="15"/>
  <c r="AB154" i="15"/>
  <c r="AC154" i="15"/>
  <c r="AD154" i="15"/>
  <c r="AE154" i="15"/>
  <c r="AF154" i="15"/>
  <c r="AG154" i="15"/>
  <c r="AH154" i="15"/>
  <c r="AI154" i="15"/>
  <c r="AJ154" i="15"/>
  <c r="AK154" i="15"/>
  <c r="AL154" i="15"/>
  <c r="AM154" i="15"/>
  <c r="AN154" i="15"/>
  <c r="AO154" i="15"/>
  <c r="AP154" i="15"/>
  <c r="AQ154" i="15"/>
  <c r="AR154" i="15"/>
  <c r="AS154" i="15"/>
  <c r="AT154" i="15"/>
  <c r="AU154" i="15"/>
  <c r="AV154" i="15"/>
  <c r="AW154" i="15"/>
  <c r="AX154" i="15"/>
  <c r="AY154" i="15"/>
  <c r="AB155" i="15"/>
  <c r="AC155" i="15"/>
  <c r="AD155" i="15"/>
  <c r="AE155" i="15"/>
  <c r="AF155" i="15"/>
  <c r="AG155" i="15"/>
  <c r="AH155" i="15"/>
  <c r="AI155" i="15"/>
  <c r="AJ155" i="15"/>
  <c r="AK155" i="15"/>
  <c r="AL155" i="15"/>
  <c r="AM155" i="15"/>
  <c r="AN155" i="15"/>
  <c r="AO155" i="15"/>
  <c r="AP155" i="15"/>
  <c r="AQ155" i="15"/>
  <c r="AR155" i="15"/>
  <c r="AS155" i="15"/>
  <c r="AT155" i="15"/>
  <c r="AU155" i="15"/>
  <c r="AV155" i="15"/>
  <c r="AW155" i="15"/>
  <c r="AX155" i="15"/>
  <c r="AY155" i="15"/>
  <c r="AB156" i="15"/>
  <c r="AC156" i="15"/>
  <c r="AD156" i="15"/>
  <c r="AE156" i="15"/>
  <c r="AF156" i="15"/>
  <c r="AG156" i="15"/>
  <c r="AH156" i="15"/>
  <c r="AI156" i="15"/>
  <c r="AJ156" i="15"/>
  <c r="AK156" i="15"/>
  <c r="AL156" i="15"/>
  <c r="AM156" i="15"/>
  <c r="AN156" i="15"/>
  <c r="AO156" i="15"/>
  <c r="AP156" i="15"/>
  <c r="AQ156" i="15"/>
  <c r="AR156" i="15"/>
  <c r="AS156" i="15"/>
  <c r="AT156" i="15"/>
  <c r="AU156" i="15"/>
  <c r="AV156" i="15"/>
  <c r="AW156" i="15"/>
  <c r="AX156" i="15"/>
  <c r="AY156" i="15"/>
  <c r="AB157" i="15"/>
  <c r="AC157" i="15"/>
  <c r="AD157" i="15"/>
  <c r="AE157" i="15"/>
  <c r="AF157" i="15"/>
  <c r="AG157" i="15"/>
  <c r="AH157" i="15"/>
  <c r="AI157" i="15"/>
  <c r="AJ157" i="15"/>
  <c r="AK157" i="15"/>
  <c r="AL157" i="15"/>
  <c r="AM157" i="15"/>
  <c r="AN157" i="15"/>
  <c r="AO157" i="15"/>
  <c r="AP157" i="15"/>
  <c r="AQ157" i="15"/>
  <c r="AR157" i="15"/>
  <c r="AS157" i="15"/>
  <c r="AT157" i="15"/>
  <c r="AU157" i="15"/>
  <c r="AV157" i="15"/>
  <c r="AW157" i="15"/>
  <c r="AX157" i="15"/>
  <c r="AY157" i="15"/>
  <c r="AB158" i="15"/>
  <c r="AC158" i="15"/>
  <c r="AD158" i="15"/>
  <c r="AE158" i="15"/>
  <c r="AF158" i="15"/>
  <c r="AG158" i="15"/>
  <c r="AH158" i="15"/>
  <c r="AI158" i="15"/>
  <c r="AJ158" i="15"/>
  <c r="AK158" i="15"/>
  <c r="AL158" i="15"/>
  <c r="AM158" i="15"/>
  <c r="AN158" i="15"/>
  <c r="AO158" i="15"/>
  <c r="AP158" i="15"/>
  <c r="AQ158" i="15"/>
  <c r="AR158" i="15"/>
  <c r="AS158" i="15"/>
  <c r="AT158" i="15"/>
  <c r="AU158" i="15"/>
  <c r="AV158" i="15"/>
  <c r="AW158" i="15"/>
  <c r="AX158" i="15"/>
  <c r="AY158"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B160" i="15"/>
  <c r="AC160" i="15"/>
  <c r="AD160" i="15"/>
  <c r="AE160" i="15"/>
  <c r="AF160" i="15"/>
  <c r="AG160" i="15"/>
  <c r="AH160" i="15"/>
  <c r="AI160" i="15"/>
  <c r="AJ160" i="15"/>
  <c r="AK160" i="15"/>
  <c r="AL160" i="15"/>
  <c r="AM160" i="15"/>
  <c r="AN160" i="15"/>
  <c r="AO160" i="15"/>
  <c r="AP160" i="15"/>
  <c r="AQ160" i="15"/>
  <c r="AR160" i="15"/>
  <c r="AS160" i="15"/>
  <c r="AT160" i="15"/>
  <c r="AU160" i="15"/>
  <c r="AV160" i="15"/>
  <c r="AW160" i="15"/>
  <c r="AX160" i="15"/>
  <c r="AY160" i="15"/>
  <c r="AB161" i="15"/>
  <c r="AC161" i="15"/>
  <c r="AD161" i="15"/>
  <c r="AE161" i="15"/>
  <c r="AF161" i="15"/>
  <c r="AG161" i="15"/>
  <c r="AH161" i="15"/>
  <c r="AI161" i="15"/>
  <c r="AJ161" i="15"/>
  <c r="AK161" i="15"/>
  <c r="AL161" i="15"/>
  <c r="AM161" i="15"/>
  <c r="AN161" i="15"/>
  <c r="AO161" i="15"/>
  <c r="AP161" i="15"/>
  <c r="AQ161" i="15"/>
  <c r="AR161" i="15"/>
  <c r="AS161" i="15"/>
  <c r="AT161" i="15"/>
  <c r="AU161" i="15"/>
  <c r="AV161" i="15"/>
  <c r="AW161" i="15"/>
  <c r="AX161" i="15"/>
  <c r="AY161" i="15"/>
  <c r="AB162" i="15"/>
  <c r="AC162" i="15"/>
  <c r="AD162" i="15"/>
  <c r="AE162" i="15"/>
  <c r="AF162" i="15"/>
  <c r="AG162" i="15"/>
  <c r="AH162" i="15"/>
  <c r="AI162" i="15"/>
  <c r="AJ162" i="15"/>
  <c r="AK162" i="15"/>
  <c r="AL162" i="15"/>
  <c r="AM162" i="15"/>
  <c r="AN162" i="15"/>
  <c r="AO162" i="15"/>
  <c r="AP162" i="15"/>
  <c r="AQ162" i="15"/>
  <c r="AR162" i="15"/>
  <c r="AS162" i="15"/>
  <c r="AT162" i="15"/>
  <c r="AU162" i="15"/>
  <c r="AV162" i="15"/>
  <c r="AW162" i="15"/>
  <c r="AX162" i="15"/>
  <c r="AY162" i="15"/>
  <c r="AB163" i="15"/>
  <c r="AC163" i="15"/>
  <c r="AD163" i="15"/>
  <c r="AE163" i="15"/>
  <c r="AF163" i="15"/>
  <c r="AG163" i="15"/>
  <c r="AH163" i="15"/>
  <c r="AI163" i="15"/>
  <c r="AJ163" i="15"/>
  <c r="AK163" i="15"/>
  <c r="AL163" i="15"/>
  <c r="AM163" i="15"/>
  <c r="AN163" i="15"/>
  <c r="AO163" i="15"/>
  <c r="AP163" i="15"/>
  <c r="AQ163" i="15"/>
  <c r="AR163" i="15"/>
  <c r="AS163" i="15"/>
  <c r="AT163" i="15"/>
  <c r="AU163" i="15"/>
  <c r="AV163" i="15"/>
  <c r="AW163" i="15"/>
  <c r="AX163" i="15"/>
  <c r="AY163" i="15"/>
  <c r="AB164" i="15"/>
  <c r="AC164" i="15"/>
  <c r="AD164" i="15"/>
  <c r="AE164" i="15"/>
  <c r="AF164" i="15"/>
  <c r="AG164" i="15"/>
  <c r="AH164" i="15"/>
  <c r="AI164" i="15"/>
  <c r="AJ164" i="15"/>
  <c r="AK164" i="15"/>
  <c r="AL164" i="15"/>
  <c r="AM164" i="15"/>
  <c r="AN164" i="15"/>
  <c r="AO164" i="15"/>
  <c r="AP164" i="15"/>
  <c r="AQ164" i="15"/>
  <c r="AR164" i="15"/>
  <c r="AS164" i="15"/>
  <c r="AT164" i="15"/>
  <c r="AU164" i="15"/>
  <c r="AV164" i="15"/>
  <c r="AW164" i="15"/>
  <c r="AX164" i="15"/>
  <c r="AY164" i="15"/>
  <c r="AB165" i="15"/>
  <c r="AC165" i="15"/>
  <c r="AD165" i="15"/>
  <c r="AE165" i="15"/>
  <c r="AF165" i="15"/>
  <c r="AG165" i="15"/>
  <c r="AH165" i="15"/>
  <c r="AI165" i="15"/>
  <c r="AJ165" i="15"/>
  <c r="AK165" i="15"/>
  <c r="AL165" i="15"/>
  <c r="AM165" i="15"/>
  <c r="AN165" i="15"/>
  <c r="AO165" i="15"/>
  <c r="AP165" i="15"/>
  <c r="AQ165" i="15"/>
  <c r="AR165" i="15"/>
  <c r="AS165" i="15"/>
  <c r="AT165" i="15"/>
  <c r="AU165" i="15"/>
  <c r="AV165" i="15"/>
  <c r="AW165" i="15"/>
  <c r="AX165" i="15"/>
  <c r="AY165" i="15"/>
  <c r="AB166" i="15"/>
  <c r="AC166" i="15"/>
  <c r="AD166" i="15"/>
  <c r="AE166" i="15"/>
  <c r="AF166" i="15"/>
  <c r="AG166" i="15"/>
  <c r="AH166" i="15"/>
  <c r="AI166" i="15"/>
  <c r="AJ166" i="15"/>
  <c r="AK166" i="15"/>
  <c r="AL166" i="15"/>
  <c r="AM166" i="15"/>
  <c r="AN166" i="15"/>
  <c r="AO166" i="15"/>
  <c r="AP166" i="15"/>
  <c r="AQ166" i="15"/>
  <c r="AR166" i="15"/>
  <c r="AS166" i="15"/>
  <c r="AT166" i="15"/>
  <c r="AU166" i="15"/>
  <c r="AV166" i="15"/>
  <c r="AW166" i="15"/>
  <c r="AX166" i="15"/>
  <c r="AY166" i="15"/>
  <c r="AB167" i="15"/>
  <c r="AC167" i="15"/>
  <c r="AD167" i="15"/>
  <c r="AE167" i="15"/>
  <c r="AF167" i="15"/>
  <c r="AG167" i="15"/>
  <c r="AH167" i="15"/>
  <c r="AI167" i="15"/>
  <c r="AJ167" i="15"/>
  <c r="AK167" i="15"/>
  <c r="AL167" i="15"/>
  <c r="AM167" i="15"/>
  <c r="AN167" i="15"/>
  <c r="AO167" i="15"/>
  <c r="AP167" i="15"/>
  <c r="AQ167" i="15"/>
  <c r="AR167" i="15"/>
  <c r="AS167" i="15"/>
  <c r="AT167" i="15"/>
  <c r="AU167" i="15"/>
  <c r="AV167" i="15"/>
  <c r="AW167" i="15"/>
  <c r="AX167" i="15"/>
  <c r="AY167" i="15"/>
  <c r="AB168" i="15"/>
  <c r="AC168" i="15"/>
  <c r="AD168" i="15"/>
  <c r="AE168" i="15"/>
  <c r="AF168" i="15"/>
  <c r="AG168" i="15"/>
  <c r="AH168" i="15"/>
  <c r="AI168" i="15"/>
  <c r="AJ168" i="15"/>
  <c r="AK168" i="15"/>
  <c r="AL168" i="15"/>
  <c r="AM168" i="15"/>
  <c r="AN168" i="15"/>
  <c r="AO168" i="15"/>
  <c r="AP168" i="15"/>
  <c r="AQ168" i="15"/>
  <c r="AR168" i="15"/>
  <c r="AS168" i="15"/>
  <c r="AT168" i="15"/>
  <c r="AU168" i="15"/>
  <c r="AV168" i="15"/>
  <c r="AW168" i="15"/>
  <c r="AX168" i="15"/>
  <c r="AY168" i="15"/>
  <c r="AB169" i="15"/>
  <c r="AC169" i="15"/>
  <c r="AD169" i="15"/>
  <c r="AE169" i="15"/>
  <c r="AF169" i="15"/>
  <c r="AG169" i="15"/>
  <c r="AH169" i="15"/>
  <c r="AI169" i="15"/>
  <c r="AJ169" i="15"/>
  <c r="AK169" i="15"/>
  <c r="AL169" i="15"/>
  <c r="AM169" i="15"/>
  <c r="AN169" i="15"/>
  <c r="AO169" i="15"/>
  <c r="AP169" i="15"/>
  <c r="AQ169" i="15"/>
  <c r="AR169" i="15"/>
  <c r="AS169" i="15"/>
  <c r="AT169" i="15"/>
  <c r="AU169" i="15"/>
  <c r="AV169" i="15"/>
  <c r="AW169" i="15"/>
  <c r="AX169" i="15"/>
  <c r="AY169" i="15"/>
  <c r="AB170" i="15"/>
  <c r="AC170" i="15"/>
  <c r="AD170" i="15"/>
  <c r="AE170" i="15"/>
  <c r="AF170" i="15"/>
  <c r="AG170" i="15"/>
  <c r="AH170" i="15"/>
  <c r="AI170" i="15"/>
  <c r="AJ170" i="15"/>
  <c r="AK170" i="15"/>
  <c r="AL170" i="15"/>
  <c r="AM170" i="15"/>
  <c r="AN170" i="15"/>
  <c r="AO170" i="15"/>
  <c r="AP170" i="15"/>
  <c r="AQ170" i="15"/>
  <c r="AR170" i="15"/>
  <c r="AS170" i="15"/>
  <c r="AT170" i="15"/>
  <c r="AU170" i="15"/>
  <c r="AV170" i="15"/>
  <c r="AW170" i="15"/>
  <c r="AX170" i="15"/>
  <c r="AY170" i="15"/>
  <c r="AB171" i="15"/>
  <c r="AC171" i="15"/>
  <c r="AD171" i="15"/>
  <c r="AE171" i="15"/>
  <c r="AF171" i="15"/>
  <c r="AG171" i="15"/>
  <c r="AH171" i="15"/>
  <c r="AI171" i="15"/>
  <c r="AJ171" i="15"/>
  <c r="AK171" i="15"/>
  <c r="AL171" i="15"/>
  <c r="AM171" i="15"/>
  <c r="AN171" i="15"/>
  <c r="AO171" i="15"/>
  <c r="AP171" i="15"/>
  <c r="AQ171" i="15"/>
  <c r="AR171" i="15"/>
  <c r="AS171" i="15"/>
  <c r="AT171" i="15"/>
  <c r="AU171" i="15"/>
  <c r="AV171" i="15"/>
  <c r="AW171" i="15"/>
  <c r="AX171" i="15"/>
  <c r="AY171" i="15"/>
  <c r="AB172" i="15"/>
  <c r="AC172" i="15"/>
  <c r="AD172" i="15"/>
  <c r="AE172" i="15"/>
  <c r="AF172" i="15"/>
  <c r="AG172" i="15"/>
  <c r="AH172" i="15"/>
  <c r="AI172" i="15"/>
  <c r="AJ172" i="15"/>
  <c r="AK172" i="15"/>
  <c r="AL172" i="15"/>
  <c r="AM172" i="15"/>
  <c r="AN172" i="15"/>
  <c r="AO172" i="15"/>
  <c r="AP172" i="15"/>
  <c r="AQ172" i="15"/>
  <c r="AR172" i="15"/>
  <c r="AS172" i="15"/>
  <c r="AT172" i="15"/>
  <c r="AU172" i="15"/>
  <c r="AV172" i="15"/>
  <c r="AW172" i="15"/>
  <c r="AX172" i="15"/>
  <c r="AY172" i="15"/>
  <c r="AB173" i="15"/>
  <c r="AC173" i="15"/>
  <c r="AD173" i="15"/>
  <c r="AE173" i="15"/>
  <c r="AF173" i="15"/>
  <c r="AG173" i="15"/>
  <c r="AH173" i="15"/>
  <c r="AI173" i="15"/>
  <c r="AJ173" i="15"/>
  <c r="AK173" i="15"/>
  <c r="AL173" i="15"/>
  <c r="AM173" i="15"/>
  <c r="AN173" i="15"/>
  <c r="AO173" i="15"/>
  <c r="AP173" i="15"/>
  <c r="AQ173" i="15"/>
  <c r="AR173" i="15"/>
  <c r="AS173" i="15"/>
  <c r="AT173" i="15"/>
  <c r="AU173" i="15"/>
  <c r="AV173" i="15"/>
  <c r="AW173" i="15"/>
  <c r="AX173" i="15"/>
  <c r="AY173" i="15"/>
  <c r="AB174" i="15"/>
  <c r="AC174" i="15"/>
  <c r="AD174" i="15"/>
  <c r="AE174" i="15"/>
  <c r="AF174" i="15"/>
  <c r="AG174" i="15"/>
  <c r="AH174" i="15"/>
  <c r="AI174" i="15"/>
  <c r="AJ174" i="15"/>
  <c r="AK174" i="15"/>
  <c r="AL174" i="15"/>
  <c r="AM174" i="15"/>
  <c r="AN174" i="15"/>
  <c r="AO174" i="15"/>
  <c r="AP174" i="15"/>
  <c r="AQ174" i="15"/>
  <c r="AR174" i="15"/>
  <c r="AS174" i="15"/>
  <c r="AT174" i="15"/>
  <c r="AU174" i="15"/>
  <c r="AV174" i="15"/>
  <c r="AW174" i="15"/>
  <c r="AX174" i="15"/>
  <c r="AY174" i="15"/>
  <c r="AB175" i="15"/>
  <c r="AC175" i="15"/>
  <c r="AD175" i="15"/>
  <c r="AE175" i="15"/>
  <c r="AF175" i="15"/>
  <c r="AG175" i="15"/>
  <c r="AH175" i="15"/>
  <c r="AI175" i="15"/>
  <c r="AJ175" i="15"/>
  <c r="AK175" i="15"/>
  <c r="AL175" i="15"/>
  <c r="AM175" i="15"/>
  <c r="AN175" i="15"/>
  <c r="AO175" i="15"/>
  <c r="AP175" i="15"/>
  <c r="AQ175" i="15"/>
  <c r="AR175" i="15"/>
  <c r="AS175" i="15"/>
  <c r="AT175" i="15"/>
  <c r="AU175" i="15"/>
  <c r="AV175" i="15"/>
  <c r="AW175" i="15"/>
  <c r="AX175" i="15"/>
  <c r="AY175" i="15"/>
  <c r="AB176" i="15"/>
  <c r="AC176" i="15"/>
  <c r="AD176" i="15"/>
  <c r="AE176" i="15"/>
  <c r="AF176" i="15"/>
  <c r="AG176" i="15"/>
  <c r="AH176" i="15"/>
  <c r="AI176" i="15"/>
  <c r="AJ176" i="15"/>
  <c r="AK176" i="15"/>
  <c r="AL176" i="15"/>
  <c r="AM176" i="15"/>
  <c r="AN176" i="15"/>
  <c r="AO176" i="15"/>
  <c r="AP176" i="15"/>
  <c r="AQ176" i="15"/>
  <c r="AR176" i="15"/>
  <c r="AS176" i="15"/>
  <c r="AT176" i="15"/>
  <c r="AU176" i="15"/>
  <c r="AV176" i="15"/>
  <c r="AW176" i="15"/>
  <c r="AX176" i="15"/>
  <c r="AY176" i="15"/>
  <c r="AB177" i="15"/>
  <c r="AC177" i="15"/>
  <c r="AD177" i="15"/>
  <c r="AE177" i="15"/>
  <c r="AF177" i="15"/>
  <c r="AG177" i="15"/>
  <c r="AH177" i="15"/>
  <c r="AI177" i="15"/>
  <c r="AJ177" i="15"/>
  <c r="AK177" i="15"/>
  <c r="AL177" i="15"/>
  <c r="AM177" i="15"/>
  <c r="AN177" i="15"/>
  <c r="AO177" i="15"/>
  <c r="AP177" i="15"/>
  <c r="AQ177" i="15"/>
  <c r="AR177" i="15"/>
  <c r="AS177" i="15"/>
  <c r="AT177" i="15"/>
  <c r="AU177" i="15"/>
  <c r="AV177" i="15"/>
  <c r="AW177" i="15"/>
  <c r="AX177" i="15"/>
  <c r="AY177" i="15"/>
  <c r="AB178" i="15"/>
  <c r="AC178" i="15"/>
  <c r="AD178" i="15"/>
  <c r="AE178" i="15"/>
  <c r="AF178" i="15"/>
  <c r="AG178" i="15"/>
  <c r="AH178" i="15"/>
  <c r="AI178" i="15"/>
  <c r="AJ178" i="15"/>
  <c r="AK178" i="15"/>
  <c r="AL178" i="15"/>
  <c r="AM178" i="15"/>
  <c r="AN178" i="15"/>
  <c r="AO178" i="15"/>
  <c r="AP178" i="15"/>
  <c r="AQ178" i="15"/>
  <c r="AR178" i="15"/>
  <c r="AS178" i="15"/>
  <c r="AT178" i="15"/>
  <c r="AU178" i="15"/>
  <c r="AV178" i="15"/>
  <c r="AW178" i="15"/>
  <c r="AX178" i="15"/>
  <c r="AY178" i="15"/>
  <c r="AB179" i="15"/>
  <c r="AC179" i="15"/>
  <c r="AD179" i="15"/>
  <c r="AE179" i="15"/>
  <c r="AF179" i="15"/>
  <c r="AG179" i="15"/>
  <c r="AH179" i="15"/>
  <c r="AI179" i="15"/>
  <c r="AJ179" i="15"/>
  <c r="AK179" i="15"/>
  <c r="AL179" i="15"/>
  <c r="AM179" i="15"/>
  <c r="AN179" i="15"/>
  <c r="AO179" i="15"/>
  <c r="AP179" i="15"/>
  <c r="AQ179" i="15"/>
  <c r="AR179" i="15"/>
  <c r="AS179" i="15"/>
  <c r="AT179" i="15"/>
  <c r="AU179" i="15"/>
  <c r="AV179" i="15"/>
  <c r="AW179" i="15"/>
  <c r="AX179" i="15"/>
  <c r="AY179" i="15"/>
  <c r="AB180" i="15"/>
  <c r="AC180" i="15"/>
  <c r="AD180" i="15"/>
  <c r="AE180" i="15"/>
  <c r="AF180" i="15"/>
  <c r="AG180" i="15"/>
  <c r="AH180" i="15"/>
  <c r="AI180" i="15"/>
  <c r="AJ180" i="15"/>
  <c r="AK180" i="15"/>
  <c r="AL180" i="15"/>
  <c r="AM180" i="15"/>
  <c r="AN180" i="15"/>
  <c r="AO180" i="15"/>
  <c r="AP180" i="15"/>
  <c r="AQ180" i="15"/>
  <c r="AR180" i="15"/>
  <c r="AS180" i="15"/>
  <c r="AT180" i="15"/>
  <c r="AU180" i="15"/>
  <c r="AV180" i="15"/>
  <c r="AW180" i="15"/>
  <c r="AX180" i="15"/>
  <c r="AY180" i="15"/>
  <c r="AB181" i="15"/>
  <c r="AC181" i="15"/>
  <c r="AD181" i="15"/>
  <c r="AE181" i="15"/>
  <c r="AF181" i="15"/>
  <c r="AG181" i="15"/>
  <c r="AH181" i="15"/>
  <c r="AI181" i="15"/>
  <c r="AJ181" i="15"/>
  <c r="AK181" i="15"/>
  <c r="AL181" i="15"/>
  <c r="AM181" i="15"/>
  <c r="AN181" i="15"/>
  <c r="AO181" i="15"/>
  <c r="AP181" i="15"/>
  <c r="AQ181" i="15"/>
  <c r="AR181" i="15"/>
  <c r="AS181" i="15"/>
  <c r="AT181" i="15"/>
  <c r="AU181" i="15"/>
  <c r="AV181" i="15"/>
  <c r="AW181" i="15"/>
  <c r="AX181" i="15"/>
  <c r="AY181" i="15"/>
  <c r="AB182" i="15"/>
  <c r="AC182" i="15"/>
  <c r="AD182" i="15"/>
  <c r="AE182" i="15"/>
  <c r="AF182" i="15"/>
  <c r="AG182" i="15"/>
  <c r="AH182" i="15"/>
  <c r="AI182" i="15"/>
  <c r="AJ182" i="15"/>
  <c r="AK182" i="15"/>
  <c r="AL182" i="15"/>
  <c r="AM182" i="15"/>
  <c r="AN182" i="15"/>
  <c r="AO182" i="15"/>
  <c r="AP182" i="15"/>
  <c r="AQ182" i="15"/>
  <c r="AR182" i="15"/>
  <c r="AS182" i="15"/>
  <c r="AT182" i="15"/>
  <c r="AU182" i="15"/>
  <c r="AV182" i="15"/>
  <c r="AW182" i="15"/>
  <c r="AX182" i="15"/>
  <c r="AY182" i="15"/>
  <c r="AB183" i="15"/>
  <c r="AC183" i="15"/>
  <c r="AD183" i="15"/>
  <c r="AE183" i="15"/>
  <c r="AF183" i="15"/>
  <c r="AG183" i="15"/>
  <c r="AH183" i="15"/>
  <c r="AI183" i="15"/>
  <c r="AJ183" i="15"/>
  <c r="AK183" i="15"/>
  <c r="AL183" i="15"/>
  <c r="AM183" i="15"/>
  <c r="AN183" i="15"/>
  <c r="AO183" i="15"/>
  <c r="AP183" i="15"/>
  <c r="AQ183" i="15"/>
  <c r="AR183" i="15"/>
  <c r="AS183" i="15"/>
  <c r="AT183" i="15"/>
  <c r="AU183" i="15"/>
  <c r="AV183" i="15"/>
  <c r="AW183" i="15"/>
  <c r="AX183" i="15"/>
  <c r="AY183" i="15"/>
  <c r="AB184" i="15"/>
  <c r="AC184" i="15"/>
  <c r="AD184" i="15"/>
  <c r="AE184" i="15"/>
  <c r="AF184" i="15"/>
  <c r="AG184" i="15"/>
  <c r="AH184" i="15"/>
  <c r="AI184" i="15"/>
  <c r="AJ184" i="15"/>
  <c r="AK184" i="15"/>
  <c r="AL184" i="15"/>
  <c r="AM184" i="15"/>
  <c r="AN184" i="15"/>
  <c r="AO184" i="15"/>
  <c r="AP184" i="15"/>
  <c r="AQ184" i="15"/>
  <c r="AR184" i="15"/>
  <c r="AS184" i="15"/>
  <c r="AT184" i="15"/>
  <c r="AU184" i="15"/>
  <c r="AV184" i="15"/>
  <c r="AW184" i="15"/>
  <c r="AX184" i="15"/>
  <c r="AY184" i="15"/>
  <c r="AB185" i="15"/>
  <c r="AC185" i="15"/>
  <c r="AD185" i="15"/>
  <c r="AE185" i="15"/>
  <c r="AF185" i="15"/>
  <c r="AG185" i="15"/>
  <c r="AH185" i="15"/>
  <c r="AI185" i="15"/>
  <c r="AJ185" i="15"/>
  <c r="AK185" i="15"/>
  <c r="AL185" i="15"/>
  <c r="AM185" i="15"/>
  <c r="AN185" i="15"/>
  <c r="AO185" i="15"/>
  <c r="AP185" i="15"/>
  <c r="AQ185" i="15"/>
  <c r="AR185" i="15"/>
  <c r="AS185" i="15"/>
  <c r="AT185" i="15"/>
  <c r="AU185" i="15"/>
  <c r="AV185" i="15"/>
  <c r="AW185" i="15"/>
  <c r="AX185" i="15"/>
  <c r="AY185" i="15"/>
  <c r="AB186" i="15"/>
  <c r="AC186" i="15"/>
  <c r="AD186" i="15"/>
  <c r="AE186" i="15"/>
  <c r="AF186" i="15"/>
  <c r="AG186" i="15"/>
  <c r="AH186" i="15"/>
  <c r="AI186" i="15"/>
  <c r="AJ186" i="15"/>
  <c r="AK186" i="15"/>
  <c r="AL186" i="15"/>
  <c r="AM186" i="15"/>
  <c r="AN186" i="15"/>
  <c r="AO186" i="15"/>
  <c r="AP186" i="15"/>
  <c r="AQ186" i="15"/>
  <c r="AR186" i="15"/>
  <c r="AS186" i="15"/>
  <c r="AT186" i="15"/>
  <c r="AU186" i="15"/>
  <c r="AV186" i="15"/>
  <c r="AW186" i="15"/>
  <c r="AX186" i="15"/>
  <c r="AY186" i="15"/>
  <c r="AB187" i="15"/>
  <c r="AC187" i="15"/>
  <c r="AD187" i="15"/>
  <c r="AE187" i="15"/>
  <c r="AF187" i="15"/>
  <c r="AG187" i="15"/>
  <c r="AH187" i="15"/>
  <c r="AI187" i="15"/>
  <c r="AJ187" i="15"/>
  <c r="AK187" i="15"/>
  <c r="AL187" i="15"/>
  <c r="AM187" i="15"/>
  <c r="AN187" i="15"/>
  <c r="AO187" i="15"/>
  <c r="AP187" i="15"/>
  <c r="AQ187" i="15"/>
  <c r="AR187" i="15"/>
  <c r="AS187" i="15"/>
  <c r="AT187" i="15"/>
  <c r="AU187" i="15"/>
  <c r="AV187" i="15"/>
  <c r="AW187" i="15"/>
  <c r="AX187" i="15"/>
  <c r="AY187" i="15"/>
  <c r="AB188" i="15"/>
  <c r="AC188" i="15"/>
  <c r="AD188" i="15"/>
  <c r="AE188" i="15"/>
  <c r="AF188" i="15"/>
  <c r="AG188" i="15"/>
  <c r="AH188" i="15"/>
  <c r="AI188" i="15"/>
  <c r="AJ188" i="15"/>
  <c r="AK188" i="15"/>
  <c r="AL188" i="15"/>
  <c r="AM188" i="15"/>
  <c r="AN188" i="15"/>
  <c r="AO188" i="15"/>
  <c r="AP188" i="15"/>
  <c r="AQ188" i="15"/>
  <c r="AR188" i="15"/>
  <c r="AS188" i="15"/>
  <c r="AT188" i="15"/>
  <c r="AU188" i="15"/>
  <c r="AV188" i="15"/>
  <c r="AW188" i="15"/>
  <c r="AX188" i="15"/>
  <c r="AY188" i="15"/>
  <c r="AB189" i="15"/>
  <c r="AC189" i="15"/>
  <c r="AD189" i="15"/>
  <c r="AE189" i="15"/>
  <c r="AF189" i="15"/>
  <c r="AG189" i="15"/>
  <c r="AH189" i="15"/>
  <c r="AI189" i="15"/>
  <c r="AJ189" i="15"/>
  <c r="AK189" i="15"/>
  <c r="AL189" i="15"/>
  <c r="AM189" i="15"/>
  <c r="AN189" i="15"/>
  <c r="AO189" i="15"/>
  <c r="AP189" i="15"/>
  <c r="AQ189" i="15"/>
  <c r="AR189" i="15"/>
  <c r="AS189" i="15"/>
  <c r="AT189" i="15"/>
  <c r="AU189" i="15"/>
  <c r="AV189" i="15"/>
  <c r="AW189" i="15"/>
  <c r="AX189" i="15"/>
  <c r="AY189" i="15"/>
  <c r="AB190" i="15"/>
  <c r="AC190" i="15"/>
  <c r="AD190" i="15"/>
  <c r="AE190" i="15"/>
  <c r="AF190" i="15"/>
  <c r="AG190" i="15"/>
  <c r="AH190" i="15"/>
  <c r="AI190" i="15"/>
  <c r="AJ190" i="15"/>
  <c r="AK190" i="15"/>
  <c r="AL190" i="15"/>
  <c r="AM190" i="15"/>
  <c r="AN190" i="15"/>
  <c r="AO190" i="15"/>
  <c r="AP190" i="15"/>
  <c r="AQ190" i="15"/>
  <c r="AR190" i="15"/>
  <c r="AS190" i="15"/>
  <c r="AT190" i="15"/>
  <c r="AU190" i="15"/>
  <c r="AV190" i="15"/>
  <c r="AW190" i="15"/>
  <c r="AX190" i="15"/>
  <c r="AY190" i="15"/>
  <c r="AB191" i="15"/>
  <c r="AC191" i="15"/>
  <c r="AD191" i="15"/>
  <c r="AE191" i="15"/>
  <c r="AF191" i="15"/>
  <c r="AG191" i="15"/>
  <c r="AH191" i="15"/>
  <c r="AI191" i="15"/>
  <c r="AJ191" i="15"/>
  <c r="AK191" i="15"/>
  <c r="AL191" i="15"/>
  <c r="AM191" i="15"/>
  <c r="AN191" i="15"/>
  <c r="AO191" i="15"/>
  <c r="AP191" i="15"/>
  <c r="AQ191" i="15"/>
  <c r="AR191" i="15"/>
  <c r="AS191" i="15"/>
  <c r="AT191" i="15"/>
  <c r="AU191" i="15"/>
  <c r="AV191" i="15"/>
  <c r="AW191" i="15"/>
  <c r="AX191" i="15"/>
  <c r="AY191" i="15"/>
  <c r="AB192" i="15"/>
  <c r="AC192" i="15"/>
  <c r="AD192" i="15"/>
  <c r="AE192" i="15"/>
  <c r="AF192" i="15"/>
  <c r="AG192" i="15"/>
  <c r="AH192" i="15"/>
  <c r="AI192" i="15"/>
  <c r="AJ192" i="15"/>
  <c r="AK192" i="15"/>
  <c r="AL192" i="15"/>
  <c r="AM192" i="15"/>
  <c r="AN192" i="15"/>
  <c r="AO192" i="15"/>
  <c r="AP192" i="15"/>
  <c r="AQ192" i="15"/>
  <c r="AR192" i="15"/>
  <c r="AS192" i="15"/>
  <c r="AT192" i="15"/>
  <c r="AU192" i="15"/>
  <c r="AV192" i="15"/>
  <c r="AW192" i="15"/>
  <c r="AX192" i="15"/>
  <c r="AY192" i="15"/>
  <c r="AB193" i="15"/>
  <c r="AC193" i="15"/>
  <c r="AD193" i="15"/>
  <c r="AE193" i="15"/>
  <c r="AF193" i="15"/>
  <c r="AG193" i="15"/>
  <c r="AH193" i="15"/>
  <c r="AI193" i="15"/>
  <c r="AJ193" i="15"/>
  <c r="AK193" i="15"/>
  <c r="AL193" i="15"/>
  <c r="AM193" i="15"/>
  <c r="AN193" i="15"/>
  <c r="AO193" i="15"/>
  <c r="AP193" i="15"/>
  <c r="AQ193" i="15"/>
  <c r="AR193" i="15"/>
  <c r="AS193" i="15"/>
  <c r="AT193" i="15"/>
  <c r="AU193" i="15"/>
  <c r="AV193" i="15"/>
  <c r="AW193" i="15"/>
  <c r="AX193" i="15"/>
  <c r="AY193" i="15"/>
  <c r="AB194" i="15"/>
  <c r="AC194" i="15"/>
  <c r="AD194" i="15"/>
  <c r="AE194" i="15"/>
  <c r="AF194" i="15"/>
  <c r="AG194" i="15"/>
  <c r="AH194" i="15"/>
  <c r="AI194" i="15"/>
  <c r="AJ194" i="15"/>
  <c r="AK194" i="15"/>
  <c r="AL194" i="15"/>
  <c r="AM194" i="15"/>
  <c r="AN194" i="15"/>
  <c r="AO194" i="15"/>
  <c r="AP194" i="15"/>
  <c r="AQ194" i="15"/>
  <c r="AR194" i="15"/>
  <c r="AS194" i="15"/>
  <c r="AT194" i="15"/>
  <c r="AU194" i="15"/>
  <c r="AV194" i="15"/>
  <c r="AW194" i="15"/>
  <c r="AX194" i="15"/>
  <c r="AY194" i="15"/>
  <c r="AB195" i="15"/>
  <c r="AC195" i="15"/>
  <c r="AD195" i="15"/>
  <c r="AE195" i="15"/>
  <c r="AF195" i="15"/>
  <c r="AG195" i="15"/>
  <c r="AH195" i="15"/>
  <c r="AI195" i="15"/>
  <c r="AJ195" i="15"/>
  <c r="AK195" i="15"/>
  <c r="AL195" i="15"/>
  <c r="AM195" i="15"/>
  <c r="AN195" i="15"/>
  <c r="AO195" i="15"/>
  <c r="AP195" i="15"/>
  <c r="AQ195" i="15"/>
  <c r="AR195" i="15"/>
  <c r="AS195" i="15"/>
  <c r="AT195" i="15"/>
  <c r="AU195" i="15"/>
  <c r="AV195" i="15"/>
  <c r="AW195" i="15"/>
  <c r="AX195" i="15"/>
  <c r="AY195" i="15"/>
  <c r="AB196" i="15"/>
  <c r="AC196" i="15"/>
  <c r="AD196" i="15"/>
  <c r="AE196" i="15"/>
  <c r="AF196" i="15"/>
  <c r="AG196" i="15"/>
  <c r="AH196" i="15"/>
  <c r="AI196" i="15"/>
  <c r="AJ196" i="15"/>
  <c r="AK196" i="15"/>
  <c r="AL196" i="15"/>
  <c r="AM196" i="15"/>
  <c r="AN196" i="15"/>
  <c r="AO196" i="15"/>
  <c r="AP196" i="15"/>
  <c r="AQ196" i="15"/>
  <c r="AR196" i="15"/>
  <c r="AS196" i="15"/>
  <c r="AT196" i="15"/>
  <c r="AU196" i="15"/>
  <c r="AV196" i="15"/>
  <c r="AW196" i="15"/>
  <c r="AX196" i="15"/>
  <c r="AY196" i="15"/>
  <c r="AB197" i="15"/>
  <c r="AC197" i="15"/>
  <c r="AD197" i="15"/>
  <c r="AE197" i="15"/>
  <c r="AF197" i="15"/>
  <c r="AG197" i="15"/>
  <c r="AH197" i="15"/>
  <c r="AI197" i="15"/>
  <c r="AJ197" i="15"/>
  <c r="AK197" i="15"/>
  <c r="AL197" i="15"/>
  <c r="AM197" i="15"/>
  <c r="AN197" i="15"/>
  <c r="AO197" i="15"/>
  <c r="AP197" i="15"/>
  <c r="AQ197" i="15"/>
  <c r="AR197" i="15"/>
  <c r="AS197" i="15"/>
  <c r="AT197" i="15"/>
  <c r="AU197" i="15"/>
  <c r="AV197" i="15"/>
  <c r="AW197" i="15"/>
  <c r="AX197" i="15"/>
  <c r="AY197" i="15"/>
  <c r="AB198" i="15"/>
  <c r="AC198" i="15"/>
  <c r="AD198" i="15"/>
  <c r="AE198" i="15"/>
  <c r="AF198" i="15"/>
  <c r="AG198" i="15"/>
  <c r="AH198" i="15"/>
  <c r="AI198" i="15"/>
  <c r="AJ198" i="15"/>
  <c r="AK198" i="15"/>
  <c r="AL198" i="15"/>
  <c r="AM198" i="15"/>
  <c r="AN198" i="15"/>
  <c r="AO198" i="15"/>
  <c r="AP198" i="15"/>
  <c r="AQ198" i="15"/>
  <c r="AR198" i="15"/>
  <c r="AS198" i="15"/>
  <c r="AT198" i="15"/>
  <c r="AU198" i="15"/>
  <c r="AV198" i="15"/>
  <c r="AW198" i="15"/>
  <c r="AX198" i="15"/>
  <c r="AY198" i="15"/>
  <c r="AB199" i="15"/>
  <c r="AC199" i="15"/>
  <c r="AD199" i="15"/>
  <c r="AE199" i="15"/>
  <c r="AF199" i="15"/>
  <c r="AG199" i="15"/>
  <c r="AH199" i="15"/>
  <c r="AI199" i="15"/>
  <c r="AJ199" i="15"/>
  <c r="AK199" i="15"/>
  <c r="AL199" i="15"/>
  <c r="AM199" i="15"/>
  <c r="AN199" i="15"/>
  <c r="AO199" i="15"/>
  <c r="AP199" i="15"/>
  <c r="AQ199" i="15"/>
  <c r="AR199" i="15"/>
  <c r="AS199" i="15"/>
  <c r="AT199" i="15"/>
  <c r="AU199" i="15"/>
  <c r="AV199" i="15"/>
  <c r="AW199" i="15"/>
  <c r="AX199" i="15"/>
  <c r="AY199" i="15"/>
  <c r="AB200" i="15"/>
  <c r="AC200" i="15"/>
  <c r="AD200" i="15"/>
  <c r="AE200" i="15"/>
  <c r="AF200" i="15"/>
  <c r="AG200" i="15"/>
  <c r="AH200" i="15"/>
  <c r="AI200" i="15"/>
  <c r="AJ200" i="15"/>
  <c r="AK200" i="15"/>
  <c r="AL200" i="15"/>
  <c r="AM200" i="15"/>
  <c r="AN200" i="15"/>
  <c r="AO200" i="15"/>
  <c r="AP200" i="15"/>
  <c r="AQ200" i="15"/>
  <c r="AR200" i="15"/>
  <c r="AS200" i="15"/>
  <c r="AT200" i="15"/>
  <c r="AU200" i="15"/>
  <c r="AV200" i="15"/>
  <c r="AW200" i="15"/>
  <c r="AX200" i="15"/>
  <c r="AY200" i="15"/>
  <c r="AB201" i="15"/>
  <c r="AC201" i="15"/>
  <c r="AD201" i="15"/>
  <c r="AE201" i="15"/>
  <c r="AF201" i="15"/>
  <c r="AG201" i="15"/>
  <c r="AH201" i="15"/>
  <c r="AI201" i="15"/>
  <c r="AJ201" i="15"/>
  <c r="AK201" i="15"/>
  <c r="AL201" i="15"/>
  <c r="AM201" i="15"/>
  <c r="AN201" i="15"/>
  <c r="AO201" i="15"/>
  <c r="AP201" i="15"/>
  <c r="AQ201" i="15"/>
  <c r="AR201" i="15"/>
  <c r="AS201" i="15"/>
  <c r="AT201" i="15"/>
  <c r="AU201" i="15"/>
  <c r="AV201" i="15"/>
  <c r="AW201" i="15"/>
  <c r="AX201" i="15"/>
  <c r="AY201" i="15"/>
  <c r="AB202" i="15"/>
  <c r="AC202" i="15"/>
  <c r="AD202" i="15"/>
  <c r="AE202" i="15"/>
  <c r="AF202" i="15"/>
  <c r="AG202" i="15"/>
  <c r="AH202" i="15"/>
  <c r="AI202" i="15"/>
  <c r="AJ202" i="15"/>
  <c r="AK202" i="15"/>
  <c r="AL202" i="15"/>
  <c r="AM202" i="15"/>
  <c r="AN202" i="15"/>
  <c r="AO202" i="15"/>
  <c r="AP202" i="15"/>
  <c r="AQ202" i="15"/>
  <c r="AR202" i="15"/>
  <c r="AS202" i="15"/>
  <c r="AT202" i="15"/>
  <c r="AU202" i="15"/>
  <c r="AV202" i="15"/>
  <c r="AW202" i="15"/>
  <c r="AX202" i="15"/>
  <c r="AY202" i="15"/>
  <c r="AB203" i="15"/>
  <c r="AC203" i="15"/>
  <c r="AD203" i="15"/>
  <c r="AE203" i="15"/>
  <c r="AF203" i="15"/>
  <c r="AG203" i="15"/>
  <c r="AH203" i="15"/>
  <c r="AI203" i="15"/>
  <c r="AJ203" i="15"/>
  <c r="AK203" i="15"/>
  <c r="AL203" i="15"/>
  <c r="AM203" i="15"/>
  <c r="AN203" i="15"/>
  <c r="AO203" i="15"/>
  <c r="AP203" i="15"/>
  <c r="AQ203" i="15"/>
  <c r="AR203" i="15"/>
  <c r="AS203" i="15"/>
  <c r="AT203" i="15"/>
  <c r="AU203" i="15"/>
  <c r="AV203" i="15"/>
  <c r="AW203" i="15"/>
  <c r="AX203" i="15"/>
  <c r="AY203" i="15"/>
  <c r="AB204" i="15"/>
  <c r="AC204" i="15"/>
  <c r="AD204" i="15"/>
  <c r="AE204" i="15"/>
  <c r="AF204" i="15"/>
  <c r="AG204" i="15"/>
  <c r="AH204" i="15"/>
  <c r="AI204" i="15"/>
  <c r="AJ204" i="15"/>
  <c r="AK204" i="15"/>
  <c r="AL204" i="15"/>
  <c r="AM204" i="15"/>
  <c r="AN204" i="15"/>
  <c r="AO204" i="15"/>
  <c r="AP204" i="15"/>
  <c r="AQ204" i="15"/>
  <c r="AR204" i="15"/>
  <c r="AS204" i="15"/>
  <c r="AT204" i="15"/>
  <c r="AU204" i="15"/>
  <c r="AV204" i="15"/>
  <c r="AW204" i="15"/>
  <c r="AX204" i="15"/>
  <c r="AY204" i="15"/>
  <c r="AB205" i="15"/>
  <c r="AC205" i="15"/>
  <c r="AD205" i="15"/>
  <c r="AE205" i="15"/>
  <c r="AF205" i="15"/>
  <c r="AG205" i="15"/>
  <c r="AH205" i="15"/>
  <c r="AI205" i="15"/>
  <c r="AJ205" i="15"/>
  <c r="AK205" i="15"/>
  <c r="AL205" i="15"/>
  <c r="AM205" i="15"/>
  <c r="AN205" i="15"/>
  <c r="AO205" i="15"/>
  <c r="AP205" i="15"/>
  <c r="AQ205" i="15"/>
  <c r="AR205" i="15"/>
  <c r="AS205" i="15"/>
  <c r="AT205" i="15"/>
  <c r="AU205" i="15"/>
  <c r="AV205" i="15"/>
  <c r="AW205" i="15"/>
  <c r="AX205" i="15"/>
  <c r="AY205" i="15"/>
  <c r="AB206" i="15"/>
  <c r="AC206" i="15"/>
  <c r="AD206" i="15"/>
  <c r="AE206" i="15"/>
  <c r="AF206" i="15"/>
  <c r="AG206" i="15"/>
  <c r="AH206" i="15"/>
  <c r="AI206" i="15"/>
  <c r="AJ206" i="15"/>
  <c r="AK206" i="15"/>
  <c r="AL206" i="15"/>
  <c r="AM206" i="15"/>
  <c r="AN206" i="15"/>
  <c r="AO206" i="15"/>
  <c r="AP206" i="15"/>
  <c r="AQ206" i="15"/>
  <c r="AR206" i="15"/>
  <c r="AS206" i="15"/>
  <c r="AT206" i="15"/>
  <c r="AU206" i="15"/>
  <c r="AV206" i="15"/>
  <c r="AW206" i="15"/>
  <c r="AX206" i="15"/>
  <c r="AY206" i="15"/>
  <c r="AB207" i="15"/>
  <c r="AC207" i="15"/>
  <c r="AD207" i="15"/>
  <c r="AE207" i="15"/>
  <c r="AF207" i="15"/>
  <c r="AG207" i="15"/>
  <c r="AH207" i="15"/>
  <c r="AI207" i="15"/>
  <c r="AJ207" i="15"/>
  <c r="AK207" i="15"/>
  <c r="AL207" i="15"/>
  <c r="AM207" i="15"/>
  <c r="AN207" i="15"/>
  <c r="AO207" i="15"/>
  <c r="AP207" i="15"/>
  <c r="AQ207" i="15"/>
  <c r="AR207" i="15"/>
  <c r="AS207" i="15"/>
  <c r="AT207" i="15"/>
  <c r="AU207" i="15"/>
  <c r="AV207" i="15"/>
  <c r="AW207" i="15"/>
  <c r="AX207" i="15"/>
  <c r="AY207" i="15"/>
  <c r="AB208" i="15"/>
  <c r="AC208" i="15"/>
  <c r="AD208" i="15"/>
  <c r="AE208" i="15"/>
  <c r="AF208" i="15"/>
  <c r="AG208" i="15"/>
  <c r="AH208" i="15"/>
  <c r="AI208" i="15"/>
  <c r="AJ208" i="15"/>
  <c r="AK208" i="15"/>
  <c r="AL208" i="15"/>
  <c r="AM208" i="15"/>
  <c r="AN208" i="15"/>
  <c r="AO208" i="15"/>
  <c r="AP208" i="15"/>
  <c r="AQ208" i="15"/>
  <c r="AR208" i="15"/>
  <c r="AS208" i="15"/>
  <c r="AT208" i="15"/>
  <c r="AU208" i="15"/>
  <c r="AV208" i="15"/>
  <c r="AW208" i="15"/>
  <c r="AX208" i="15"/>
  <c r="AY208" i="15"/>
  <c r="AB209" i="15"/>
  <c r="AC209" i="15"/>
  <c r="AD209" i="15"/>
  <c r="AE209" i="15"/>
  <c r="AF209" i="15"/>
  <c r="AG209" i="15"/>
  <c r="AH209" i="15"/>
  <c r="AI209" i="15"/>
  <c r="AJ209" i="15"/>
  <c r="AK209" i="15"/>
  <c r="AL209" i="15"/>
  <c r="AM209" i="15"/>
  <c r="AN209" i="15"/>
  <c r="AO209" i="15"/>
  <c r="AP209" i="15"/>
  <c r="AQ209" i="15"/>
  <c r="AR209" i="15"/>
  <c r="AS209" i="15"/>
  <c r="AT209" i="15"/>
  <c r="AU209" i="15"/>
  <c r="AV209" i="15"/>
  <c r="AW209" i="15"/>
  <c r="AX209" i="15"/>
  <c r="AY209" i="15"/>
  <c r="AB210" i="15"/>
  <c r="AC210" i="15"/>
  <c r="AD210" i="15"/>
  <c r="AE210" i="15"/>
  <c r="AF210" i="15"/>
  <c r="AG210" i="15"/>
  <c r="AH210" i="15"/>
  <c r="AI210" i="15"/>
  <c r="AJ210" i="15"/>
  <c r="AK210" i="15"/>
  <c r="AL210" i="15"/>
  <c r="AM210" i="15"/>
  <c r="AN210" i="15"/>
  <c r="AO210" i="15"/>
  <c r="AP210" i="15"/>
  <c r="AQ210" i="15"/>
  <c r="AR210" i="15"/>
  <c r="AS210" i="15"/>
  <c r="AT210" i="15"/>
  <c r="AU210" i="15"/>
  <c r="AV210" i="15"/>
  <c r="AW210" i="15"/>
  <c r="AX210" i="15"/>
  <c r="AY210" i="15"/>
  <c r="AB211" i="15"/>
  <c r="AC211" i="15"/>
  <c r="AD211" i="15"/>
  <c r="AE211" i="15"/>
  <c r="AF211" i="15"/>
  <c r="AG211" i="15"/>
  <c r="AH211" i="15"/>
  <c r="AI211" i="15"/>
  <c r="AJ211" i="15"/>
  <c r="AK211" i="15"/>
  <c r="AL211" i="15"/>
  <c r="AM211" i="15"/>
  <c r="AN211" i="15"/>
  <c r="AO211" i="15"/>
  <c r="AP211" i="15"/>
  <c r="AQ211" i="15"/>
  <c r="AR211" i="15"/>
  <c r="AS211" i="15"/>
  <c r="AT211" i="15"/>
  <c r="AU211" i="15"/>
  <c r="AV211" i="15"/>
  <c r="AW211" i="15"/>
  <c r="AX211" i="15"/>
  <c r="AY211" i="15"/>
  <c r="AB212" i="15"/>
  <c r="AC212" i="15"/>
  <c r="AD212" i="15"/>
  <c r="AE212" i="15"/>
  <c r="AF212" i="15"/>
  <c r="AG212" i="15"/>
  <c r="AH212" i="15"/>
  <c r="AI212" i="15"/>
  <c r="AJ212" i="15"/>
  <c r="AK212" i="15"/>
  <c r="AL212" i="15"/>
  <c r="AM212" i="15"/>
  <c r="AN212" i="15"/>
  <c r="AO212" i="15"/>
  <c r="AP212" i="15"/>
  <c r="AQ212" i="15"/>
  <c r="AR212" i="15"/>
  <c r="AS212" i="15"/>
  <c r="AT212" i="15"/>
  <c r="AU212" i="15"/>
  <c r="AV212" i="15"/>
  <c r="AW212" i="15"/>
  <c r="AX212" i="15"/>
  <c r="AY212" i="15"/>
  <c r="AB213" i="15"/>
  <c r="AC213" i="15"/>
  <c r="AD213" i="15"/>
  <c r="AE213" i="15"/>
  <c r="AF213" i="15"/>
  <c r="AG213" i="15"/>
  <c r="AH213" i="15"/>
  <c r="AI213" i="15"/>
  <c r="AJ213" i="15"/>
  <c r="AK213" i="15"/>
  <c r="AL213" i="15"/>
  <c r="AM213" i="15"/>
  <c r="AN213" i="15"/>
  <c r="AO213" i="15"/>
  <c r="AP213" i="15"/>
  <c r="AQ213" i="15"/>
  <c r="AR213" i="15"/>
  <c r="AS213" i="15"/>
  <c r="AT213" i="15"/>
  <c r="AU213" i="15"/>
  <c r="AV213" i="15"/>
  <c r="AW213" i="15"/>
  <c r="AX213" i="15"/>
  <c r="AY213" i="15"/>
  <c r="AB214" i="15"/>
  <c r="AC214" i="15"/>
  <c r="AD214" i="15"/>
  <c r="AE214" i="15"/>
  <c r="AF214" i="15"/>
  <c r="AG214" i="15"/>
  <c r="AH214" i="15"/>
  <c r="AI214" i="15"/>
  <c r="AJ214" i="15"/>
  <c r="AK214" i="15"/>
  <c r="AL214" i="15"/>
  <c r="AM214" i="15"/>
  <c r="AN214" i="15"/>
  <c r="AO214" i="15"/>
  <c r="AP214" i="15"/>
  <c r="AQ214" i="15"/>
  <c r="AR214" i="15"/>
  <c r="AS214" i="15"/>
  <c r="AT214" i="15"/>
  <c r="AU214" i="15"/>
  <c r="AV214" i="15"/>
  <c r="AW214" i="15"/>
  <c r="AX214" i="15"/>
  <c r="AY214" i="15"/>
  <c r="AB215" i="15"/>
  <c r="AC215" i="15"/>
  <c r="AD215" i="15"/>
  <c r="AE215" i="15"/>
  <c r="AF215" i="15"/>
  <c r="AG215" i="15"/>
  <c r="AH215" i="15"/>
  <c r="AI215" i="15"/>
  <c r="AJ215" i="15"/>
  <c r="AK215" i="15"/>
  <c r="AL215" i="15"/>
  <c r="AM215" i="15"/>
  <c r="AN215" i="15"/>
  <c r="AO215" i="15"/>
  <c r="AP215" i="15"/>
  <c r="AQ215" i="15"/>
  <c r="AR215" i="15"/>
  <c r="AS215" i="15"/>
  <c r="AT215" i="15"/>
  <c r="AU215" i="15"/>
  <c r="AV215" i="15"/>
  <c r="AW215" i="15"/>
  <c r="AX215" i="15"/>
  <c r="AY215" i="15"/>
  <c r="AB216" i="15"/>
  <c r="AC216" i="15"/>
  <c r="AD216" i="15"/>
  <c r="AE216" i="15"/>
  <c r="AF216" i="15"/>
  <c r="AG216" i="15"/>
  <c r="AH216" i="15"/>
  <c r="AI216" i="15"/>
  <c r="AJ216" i="15"/>
  <c r="AK216" i="15"/>
  <c r="AL216" i="15"/>
  <c r="AM216" i="15"/>
  <c r="AN216" i="15"/>
  <c r="AO216" i="15"/>
  <c r="AP216" i="15"/>
  <c r="AQ216" i="15"/>
  <c r="AR216" i="15"/>
  <c r="AS216" i="15"/>
  <c r="AT216" i="15"/>
  <c r="AU216" i="15"/>
  <c r="AV216" i="15"/>
  <c r="AW216" i="15"/>
  <c r="AX216" i="15"/>
  <c r="AY216" i="15"/>
  <c r="AB217" i="15"/>
  <c r="AC217" i="15"/>
  <c r="AD217" i="15"/>
  <c r="AE217" i="15"/>
  <c r="AF217" i="15"/>
  <c r="AG217" i="15"/>
  <c r="AH217" i="15"/>
  <c r="AI217" i="15"/>
  <c r="AJ217" i="15"/>
  <c r="AK217" i="15"/>
  <c r="AL217" i="15"/>
  <c r="AM217" i="15"/>
  <c r="AN217" i="15"/>
  <c r="AO217" i="15"/>
  <c r="AP217" i="15"/>
  <c r="AQ217" i="15"/>
  <c r="AR217" i="15"/>
  <c r="AS217" i="15"/>
  <c r="AT217" i="15"/>
  <c r="AU217" i="15"/>
  <c r="AV217" i="15"/>
  <c r="AW217" i="15"/>
  <c r="AX217" i="15"/>
  <c r="AY217" i="15"/>
  <c r="AB218" i="15"/>
  <c r="AC218" i="15"/>
  <c r="AD218" i="15"/>
  <c r="AE218" i="15"/>
  <c r="AF218" i="15"/>
  <c r="AG218" i="15"/>
  <c r="AH218" i="15"/>
  <c r="AI218" i="15"/>
  <c r="AJ218" i="15"/>
  <c r="AK218" i="15"/>
  <c r="AL218" i="15"/>
  <c r="AM218" i="15"/>
  <c r="AN218" i="15"/>
  <c r="AO218" i="15"/>
  <c r="AP218" i="15"/>
  <c r="AQ218" i="15"/>
  <c r="AR218" i="15"/>
  <c r="AS218" i="15"/>
  <c r="AT218" i="15"/>
  <c r="AU218" i="15"/>
  <c r="AV218" i="15"/>
  <c r="AW218" i="15"/>
  <c r="AX218" i="15"/>
  <c r="AY218" i="15"/>
  <c r="AB219" i="15"/>
  <c r="AC219" i="15"/>
  <c r="AD219" i="15"/>
  <c r="AE219" i="15"/>
  <c r="AF219" i="15"/>
  <c r="AG219" i="15"/>
  <c r="AH219" i="15"/>
  <c r="AI219" i="15"/>
  <c r="AJ219" i="15"/>
  <c r="AK219" i="15"/>
  <c r="AL219" i="15"/>
  <c r="AM219" i="15"/>
  <c r="AN219" i="15"/>
  <c r="AO219" i="15"/>
  <c r="AP219" i="15"/>
  <c r="AQ219" i="15"/>
  <c r="AR219" i="15"/>
  <c r="AS219" i="15"/>
  <c r="AT219" i="15"/>
  <c r="AU219" i="15"/>
  <c r="AV219" i="15"/>
  <c r="AW219" i="15"/>
  <c r="AX219" i="15"/>
  <c r="AY219" i="15"/>
  <c r="AB220" i="15"/>
  <c r="AC220" i="15"/>
  <c r="AD220" i="15"/>
  <c r="AE220" i="15"/>
  <c r="AF220" i="15"/>
  <c r="AG220" i="15"/>
  <c r="AH220" i="15"/>
  <c r="AI220" i="15"/>
  <c r="AJ220" i="15"/>
  <c r="AK220" i="15"/>
  <c r="AL220" i="15"/>
  <c r="AM220" i="15"/>
  <c r="AN220" i="15"/>
  <c r="AO220" i="15"/>
  <c r="AP220" i="15"/>
  <c r="AQ220" i="15"/>
  <c r="AR220" i="15"/>
  <c r="AS220" i="15"/>
  <c r="AT220" i="15"/>
  <c r="AU220" i="15"/>
  <c r="AV220" i="15"/>
  <c r="AW220" i="15"/>
  <c r="AX220" i="15"/>
  <c r="AY220" i="15"/>
  <c r="AB221" i="15"/>
  <c r="AC221" i="15"/>
  <c r="AD221" i="15"/>
  <c r="AE221" i="15"/>
  <c r="AF221" i="15"/>
  <c r="AG221" i="15"/>
  <c r="AH221" i="15"/>
  <c r="AI221" i="15"/>
  <c r="AJ221" i="15"/>
  <c r="AK221" i="15"/>
  <c r="AL221" i="15"/>
  <c r="AM221" i="15"/>
  <c r="AN221" i="15"/>
  <c r="AO221" i="15"/>
  <c r="AP221" i="15"/>
  <c r="AQ221" i="15"/>
  <c r="AR221" i="15"/>
  <c r="AS221" i="15"/>
  <c r="AT221" i="15"/>
  <c r="AU221" i="15"/>
  <c r="AV221" i="15"/>
  <c r="AW221" i="15"/>
  <c r="AX221" i="15"/>
  <c r="AY221" i="15"/>
  <c r="AB222" i="15"/>
  <c r="AC222" i="15"/>
  <c r="AD222" i="15"/>
  <c r="AE222" i="15"/>
  <c r="AF222" i="15"/>
  <c r="AG222" i="15"/>
  <c r="AH222" i="15"/>
  <c r="AI222" i="15"/>
  <c r="AJ222" i="15"/>
  <c r="AK222" i="15"/>
  <c r="AL222" i="15"/>
  <c r="AM222" i="15"/>
  <c r="AN222" i="15"/>
  <c r="AO222" i="15"/>
  <c r="AP222" i="15"/>
  <c r="AQ222" i="15"/>
  <c r="AR222" i="15"/>
  <c r="AS222" i="15"/>
  <c r="AT222" i="15"/>
  <c r="AU222" i="15"/>
  <c r="AV222" i="15"/>
  <c r="AW222" i="15"/>
  <c r="AX222" i="15"/>
  <c r="AY222" i="15"/>
  <c r="AB223" i="15"/>
  <c r="AC223" i="15"/>
  <c r="AD223" i="15"/>
  <c r="AE223" i="15"/>
  <c r="AF223" i="15"/>
  <c r="AG223" i="15"/>
  <c r="AH223" i="15"/>
  <c r="AI223" i="15"/>
  <c r="AJ223" i="15"/>
  <c r="AK223" i="15"/>
  <c r="AL223" i="15"/>
  <c r="AM223" i="15"/>
  <c r="AN223" i="15"/>
  <c r="AO223" i="15"/>
  <c r="AP223" i="15"/>
  <c r="AQ223" i="15"/>
  <c r="AR223" i="15"/>
  <c r="AS223" i="15"/>
  <c r="AT223" i="15"/>
  <c r="AU223" i="15"/>
  <c r="AV223" i="15"/>
  <c r="AW223" i="15"/>
  <c r="AX223" i="15"/>
  <c r="AY223" i="15"/>
  <c r="AB224" i="15"/>
  <c r="AC224" i="15"/>
  <c r="AD224" i="15"/>
  <c r="AE224" i="15"/>
  <c r="AF224" i="15"/>
  <c r="AG224" i="15"/>
  <c r="AH224" i="15"/>
  <c r="AI224" i="15"/>
  <c r="AJ224" i="15"/>
  <c r="AK224" i="15"/>
  <c r="AL224" i="15"/>
  <c r="AM224" i="15"/>
  <c r="AN224" i="15"/>
  <c r="AO224" i="15"/>
  <c r="AP224" i="15"/>
  <c r="AQ224" i="15"/>
  <c r="AR224" i="15"/>
  <c r="AS224" i="15"/>
  <c r="AT224" i="15"/>
  <c r="AU224" i="15"/>
  <c r="AV224" i="15"/>
  <c r="AW224" i="15"/>
  <c r="AX224" i="15"/>
  <c r="AY224" i="15"/>
  <c r="AB225" i="15"/>
  <c r="AC225" i="15"/>
  <c r="AD225" i="15"/>
  <c r="AE225" i="15"/>
  <c r="AF225" i="15"/>
  <c r="AG225" i="15"/>
  <c r="AH225" i="15"/>
  <c r="AI225" i="15"/>
  <c r="AJ225" i="15"/>
  <c r="AK225" i="15"/>
  <c r="AL225" i="15"/>
  <c r="AM225" i="15"/>
  <c r="AN225" i="15"/>
  <c r="AO225" i="15"/>
  <c r="AP225" i="15"/>
  <c r="AQ225" i="15"/>
  <c r="AR225" i="15"/>
  <c r="AS225" i="15"/>
  <c r="AT225" i="15"/>
  <c r="AU225" i="15"/>
  <c r="AV225" i="15"/>
  <c r="AW225" i="15"/>
  <c r="AX225" i="15"/>
  <c r="AY225" i="15"/>
  <c r="AB226" i="15"/>
  <c r="AC226" i="15"/>
  <c r="AD226" i="15"/>
  <c r="AE226" i="15"/>
  <c r="AF226" i="15"/>
  <c r="AG226" i="15"/>
  <c r="AH226" i="15"/>
  <c r="AI226" i="15"/>
  <c r="AJ226" i="15"/>
  <c r="AK226" i="15"/>
  <c r="AL226" i="15"/>
  <c r="AM226" i="15"/>
  <c r="AN226" i="15"/>
  <c r="AO226" i="15"/>
  <c r="AP226" i="15"/>
  <c r="AQ226" i="15"/>
  <c r="AR226" i="15"/>
  <c r="AS226" i="15"/>
  <c r="AT226" i="15"/>
  <c r="AU226" i="15"/>
  <c r="AV226" i="15"/>
  <c r="AW226" i="15"/>
  <c r="AX226" i="15"/>
  <c r="AY226" i="15"/>
  <c r="AB227" i="15"/>
  <c r="AC227" i="15"/>
  <c r="AD227" i="15"/>
  <c r="AE227" i="15"/>
  <c r="AF227" i="15"/>
  <c r="AG227" i="15"/>
  <c r="AH227" i="15"/>
  <c r="AI227" i="15"/>
  <c r="AJ227" i="15"/>
  <c r="AK227" i="15"/>
  <c r="AL227" i="15"/>
  <c r="AM227" i="15"/>
  <c r="AN227" i="15"/>
  <c r="AO227" i="15"/>
  <c r="AP227" i="15"/>
  <c r="AQ227" i="15"/>
  <c r="AR227" i="15"/>
  <c r="AS227" i="15"/>
  <c r="AT227" i="15"/>
  <c r="AU227" i="15"/>
  <c r="AV227" i="15"/>
  <c r="AW227" i="15"/>
  <c r="AX227" i="15"/>
  <c r="AY227" i="15"/>
  <c r="AB228" i="15"/>
  <c r="AC228" i="15"/>
  <c r="AD228" i="15"/>
  <c r="AE228" i="15"/>
  <c r="AF228" i="15"/>
  <c r="AG228" i="15"/>
  <c r="AH228" i="15"/>
  <c r="AI228" i="15"/>
  <c r="AJ228" i="15"/>
  <c r="AK228" i="15"/>
  <c r="AL228" i="15"/>
  <c r="AM228" i="15"/>
  <c r="AN228" i="15"/>
  <c r="AO228" i="15"/>
  <c r="AP228" i="15"/>
  <c r="AQ228" i="15"/>
  <c r="AR228" i="15"/>
  <c r="AS228" i="15"/>
  <c r="AT228" i="15"/>
  <c r="AU228" i="15"/>
  <c r="AV228" i="15"/>
  <c r="AW228" i="15"/>
  <c r="AX228" i="15"/>
  <c r="AY228" i="15"/>
  <c r="AB229" i="15"/>
  <c r="AC229" i="15"/>
  <c r="AD229" i="15"/>
  <c r="AE229" i="15"/>
  <c r="AF229" i="15"/>
  <c r="AG229" i="15"/>
  <c r="AH229" i="15"/>
  <c r="AI229" i="15"/>
  <c r="AJ229" i="15"/>
  <c r="AK229" i="15"/>
  <c r="AL229" i="15"/>
  <c r="AM229" i="15"/>
  <c r="AN229" i="15"/>
  <c r="AO229" i="15"/>
  <c r="AP229" i="15"/>
  <c r="AQ229" i="15"/>
  <c r="AR229" i="15"/>
  <c r="AS229" i="15"/>
  <c r="AT229" i="15"/>
  <c r="AU229" i="15"/>
  <c r="AV229" i="15"/>
  <c r="AW229" i="15"/>
  <c r="AX229" i="15"/>
  <c r="AY229" i="15"/>
  <c r="AB230" i="15"/>
  <c r="AC230" i="15"/>
  <c r="AD230" i="15"/>
  <c r="AE230" i="15"/>
  <c r="AF230" i="15"/>
  <c r="AG230" i="15"/>
  <c r="AH230" i="15"/>
  <c r="AI230" i="15"/>
  <c r="AJ230" i="15"/>
  <c r="AK230" i="15"/>
  <c r="AL230" i="15"/>
  <c r="AM230" i="15"/>
  <c r="AN230" i="15"/>
  <c r="AO230" i="15"/>
  <c r="AP230" i="15"/>
  <c r="AQ230" i="15"/>
  <c r="AR230" i="15"/>
  <c r="AS230" i="15"/>
  <c r="AT230" i="15"/>
  <c r="AU230" i="15"/>
  <c r="AV230" i="15"/>
  <c r="AW230" i="15"/>
  <c r="AX230" i="15"/>
  <c r="AY230" i="15"/>
  <c r="AB231" i="15"/>
  <c r="AC231" i="15"/>
  <c r="AD231" i="15"/>
  <c r="AE231" i="15"/>
  <c r="AF231" i="15"/>
  <c r="AG231" i="15"/>
  <c r="AH231" i="15"/>
  <c r="AI231" i="15"/>
  <c r="AJ231" i="15"/>
  <c r="AK231" i="15"/>
  <c r="AL231" i="15"/>
  <c r="AM231" i="15"/>
  <c r="AN231" i="15"/>
  <c r="AO231" i="15"/>
  <c r="AP231" i="15"/>
  <c r="AQ231" i="15"/>
  <c r="AR231" i="15"/>
  <c r="AS231" i="15"/>
  <c r="AT231" i="15"/>
  <c r="AU231" i="15"/>
  <c r="AV231" i="15"/>
  <c r="AW231" i="15"/>
  <c r="AX231" i="15"/>
  <c r="AY231" i="15"/>
  <c r="AB232" i="15"/>
  <c r="AC232" i="15"/>
  <c r="AD232" i="15"/>
  <c r="AE232" i="15"/>
  <c r="AF232" i="15"/>
  <c r="AG232" i="15"/>
  <c r="AH232" i="15"/>
  <c r="AI232" i="15"/>
  <c r="AJ232" i="15"/>
  <c r="AK232" i="15"/>
  <c r="AL232" i="15"/>
  <c r="AM232" i="15"/>
  <c r="AN232" i="15"/>
  <c r="AO232" i="15"/>
  <c r="AP232" i="15"/>
  <c r="AQ232" i="15"/>
  <c r="AR232" i="15"/>
  <c r="AS232" i="15"/>
  <c r="AT232" i="15"/>
  <c r="AU232" i="15"/>
  <c r="AV232" i="15"/>
  <c r="AW232" i="15"/>
  <c r="AX232" i="15"/>
  <c r="AY232" i="15"/>
  <c r="AB233" i="15"/>
  <c r="AC233" i="15"/>
  <c r="AD233" i="15"/>
  <c r="AE233" i="15"/>
  <c r="AF233" i="15"/>
  <c r="AG233" i="15"/>
  <c r="AH233" i="15"/>
  <c r="AI233" i="15"/>
  <c r="AJ233" i="15"/>
  <c r="AK233" i="15"/>
  <c r="AL233" i="15"/>
  <c r="AM233" i="15"/>
  <c r="AN233" i="15"/>
  <c r="AO233" i="15"/>
  <c r="AP233" i="15"/>
  <c r="AQ233" i="15"/>
  <c r="AR233" i="15"/>
  <c r="AS233" i="15"/>
  <c r="AT233" i="15"/>
  <c r="AU233" i="15"/>
  <c r="AV233" i="15"/>
  <c r="AW233" i="15"/>
  <c r="AX233" i="15"/>
  <c r="AY233" i="15"/>
  <c r="AB234" i="15"/>
  <c r="AC234" i="15"/>
  <c r="AD234" i="15"/>
  <c r="AE234" i="15"/>
  <c r="AF234" i="15"/>
  <c r="AG234" i="15"/>
  <c r="AH234" i="15"/>
  <c r="AI234" i="15"/>
  <c r="AJ234" i="15"/>
  <c r="AK234" i="15"/>
  <c r="AL234" i="15"/>
  <c r="AM234" i="15"/>
  <c r="AN234" i="15"/>
  <c r="AO234" i="15"/>
  <c r="AP234" i="15"/>
  <c r="AQ234" i="15"/>
  <c r="AR234" i="15"/>
  <c r="AS234" i="15"/>
  <c r="AT234" i="15"/>
  <c r="AU234" i="15"/>
  <c r="AV234" i="15"/>
  <c r="AW234" i="15"/>
  <c r="AX234" i="15"/>
  <c r="AY234" i="15"/>
  <c r="AB235" i="15"/>
  <c r="AC235" i="15"/>
  <c r="AD235" i="15"/>
  <c r="AE235" i="15"/>
  <c r="AF235" i="15"/>
  <c r="AG235" i="15"/>
  <c r="AH235" i="15"/>
  <c r="AI235" i="15"/>
  <c r="AJ235" i="15"/>
  <c r="AK235" i="15"/>
  <c r="AL235" i="15"/>
  <c r="AM235" i="15"/>
  <c r="AN235" i="15"/>
  <c r="AO235" i="15"/>
  <c r="AP235" i="15"/>
  <c r="AQ235" i="15"/>
  <c r="AR235" i="15"/>
  <c r="AS235" i="15"/>
  <c r="AT235" i="15"/>
  <c r="AU235" i="15"/>
  <c r="AV235" i="15"/>
  <c r="AW235" i="15"/>
  <c r="AX235" i="15"/>
  <c r="AY235" i="15"/>
  <c r="AB236" i="15"/>
  <c r="AC236" i="15"/>
  <c r="AD236" i="15"/>
  <c r="AE236" i="15"/>
  <c r="AF236" i="15"/>
  <c r="AG236" i="15"/>
  <c r="AH236" i="15"/>
  <c r="AI236" i="15"/>
  <c r="AJ236" i="15"/>
  <c r="AK236" i="15"/>
  <c r="AL236" i="15"/>
  <c r="AM236" i="15"/>
  <c r="AN236" i="15"/>
  <c r="AO236" i="15"/>
  <c r="AP236" i="15"/>
  <c r="AQ236" i="15"/>
  <c r="AR236" i="15"/>
  <c r="AS236" i="15"/>
  <c r="AT236" i="15"/>
  <c r="AU236" i="15"/>
  <c r="AV236" i="15"/>
  <c r="AW236" i="15"/>
  <c r="AX236" i="15"/>
  <c r="AY236" i="15"/>
  <c r="AB237" i="15"/>
  <c r="AC237" i="15"/>
  <c r="AD237" i="15"/>
  <c r="AE237" i="15"/>
  <c r="AF237" i="15"/>
  <c r="AG237" i="15"/>
  <c r="AH237" i="15"/>
  <c r="AI237" i="15"/>
  <c r="AJ237" i="15"/>
  <c r="AK237" i="15"/>
  <c r="AL237" i="15"/>
  <c r="AM237" i="15"/>
  <c r="AN237" i="15"/>
  <c r="AO237" i="15"/>
  <c r="AP237" i="15"/>
  <c r="AQ237" i="15"/>
  <c r="AR237" i="15"/>
  <c r="AS237" i="15"/>
  <c r="AT237" i="15"/>
  <c r="AU237" i="15"/>
  <c r="AV237" i="15"/>
  <c r="AW237" i="15"/>
  <c r="AX237" i="15"/>
  <c r="AY237" i="15"/>
  <c r="AB238" i="15"/>
  <c r="AC238" i="15"/>
  <c r="AD238" i="15"/>
  <c r="AE238" i="15"/>
  <c r="AF238" i="15"/>
  <c r="AG238" i="15"/>
  <c r="AH238" i="15"/>
  <c r="AI238" i="15"/>
  <c r="AJ238" i="15"/>
  <c r="AK238" i="15"/>
  <c r="AL238" i="15"/>
  <c r="AM238" i="15"/>
  <c r="AN238" i="15"/>
  <c r="AO238" i="15"/>
  <c r="AP238" i="15"/>
  <c r="AQ238" i="15"/>
  <c r="AR238" i="15"/>
  <c r="AS238" i="15"/>
  <c r="AT238" i="15"/>
  <c r="AU238" i="15"/>
  <c r="AV238" i="15"/>
  <c r="AW238" i="15"/>
  <c r="AX238" i="15"/>
  <c r="AY238" i="15"/>
  <c r="AB239" i="15"/>
  <c r="AC239" i="15"/>
  <c r="AD239" i="15"/>
  <c r="AE239" i="15"/>
  <c r="AF239" i="15"/>
  <c r="AG239" i="15"/>
  <c r="AH239" i="15"/>
  <c r="AI239" i="15"/>
  <c r="AJ239" i="15"/>
  <c r="AK239" i="15"/>
  <c r="AL239" i="15"/>
  <c r="AM239" i="15"/>
  <c r="AN239" i="15"/>
  <c r="AO239" i="15"/>
  <c r="AP239" i="15"/>
  <c r="AQ239" i="15"/>
  <c r="AR239" i="15"/>
  <c r="AS239" i="15"/>
  <c r="AT239" i="15"/>
  <c r="AU239" i="15"/>
  <c r="AV239" i="15"/>
  <c r="AW239" i="15"/>
  <c r="AX239" i="15"/>
  <c r="AY239" i="15"/>
  <c r="AB240" i="15"/>
  <c r="AC240" i="15"/>
  <c r="AD240" i="15"/>
  <c r="AE240" i="15"/>
  <c r="AF240" i="15"/>
  <c r="AG240" i="15"/>
  <c r="AH240" i="15"/>
  <c r="AI240" i="15"/>
  <c r="AJ240" i="15"/>
  <c r="AK240" i="15"/>
  <c r="AL240" i="15"/>
  <c r="AM240" i="15"/>
  <c r="AN240" i="15"/>
  <c r="AO240" i="15"/>
  <c r="AP240" i="15"/>
  <c r="AQ240" i="15"/>
  <c r="AR240" i="15"/>
  <c r="AS240" i="15"/>
  <c r="AT240" i="15"/>
  <c r="AU240" i="15"/>
  <c r="AV240" i="15"/>
  <c r="AW240" i="15"/>
  <c r="AX240" i="15"/>
  <c r="AY240" i="15"/>
  <c r="AB241" i="15"/>
  <c r="AC241" i="15"/>
  <c r="AD241" i="15"/>
  <c r="AE241" i="15"/>
  <c r="AF241" i="15"/>
  <c r="AG241" i="15"/>
  <c r="AH241" i="15"/>
  <c r="AI241" i="15"/>
  <c r="AJ241" i="15"/>
  <c r="AK241" i="15"/>
  <c r="AL241" i="15"/>
  <c r="AM241" i="15"/>
  <c r="AN241" i="15"/>
  <c r="AO241" i="15"/>
  <c r="AP241" i="15"/>
  <c r="AQ241" i="15"/>
  <c r="AR241" i="15"/>
  <c r="AS241" i="15"/>
  <c r="AT241" i="15"/>
  <c r="AU241" i="15"/>
  <c r="AV241" i="15"/>
  <c r="AW241" i="15"/>
  <c r="AX241" i="15"/>
  <c r="AY241" i="15"/>
  <c r="AB242" i="15"/>
  <c r="AC242" i="15"/>
  <c r="AD242" i="15"/>
  <c r="AE242" i="15"/>
  <c r="AF242" i="15"/>
  <c r="AG242" i="15"/>
  <c r="AH242" i="15"/>
  <c r="AI242" i="15"/>
  <c r="AJ242" i="15"/>
  <c r="AK242" i="15"/>
  <c r="AL242" i="15"/>
  <c r="AM242" i="15"/>
  <c r="AN242" i="15"/>
  <c r="AO242" i="15"/>
  <c r="AP242" i="15"/>
  <c r="AQ242" i="15"/>
  <c r="AR242" i="15"/>
  <c r="AS242" i="15"/>
  <c r="AT242" i="15"/>
  <c r="AU242" i="15"/>
  <c r="AV242" i="15"/>
  <c r="AW242" i="15"/>
  <c r="AX242" i="15"/>
  <c r="AY242" i="15"/>
  <c r="AB243" i="15"/>
  <c r="AC243" i="15"/>
  <c r="AD243" i="15"/>
  <c r="AE243" i="15"/>
  <c r="AF243" i="15"/>
  <c r="AG243" i="15"/>
  <c r="AH243" i="15"/>
  <c r="AI243" i="15"/>
  <c r="AJ243" i="15"/>
  <c r="AK243" i="15"/>
  <c r="AL243" i="15"/>
  <c r="AM243" i="15"/>
  <c r="AN243" i="15"/>
  <c r="AO243" i="15"/>
  <c r="AP243" i="15"/>
  <c r="AQ243" i="15"/>
  <c r="AR243" i="15"/>
  <c r="AS243" i="15"/>
  <c r="AT243" i="15"/>
  <c r="AU243" i="15"/>
  <c r="AV243" i="15"/>
  <c r="AW243" i="15"/>
  <c r="AX243" i="15"/>
  <c r="AY243" i="15"/>
  <c r="AB244" i="15"/>
  <c r="AC244" i="15"/>
  <c r="AD244" i="15"/>
  <c r="AE244" i="15"/>
  <c r="AF244" i="15"/>
  <c r="AG244" i="15"/>
  <c r="AH244" i="15"/>
  <c r="AI244" i="15"/>
  <c r="AJ244" i="15"/>
  <c r="AK244" i="15"/>
  <c r="AL244" i="15"/>
  <c r="AM244" i="15"/>
  <c r="AN244" i="15"/>
  <c r="AO244" i="15"/>
  <c r="AP244" i="15"/>
  <c r="AQ244" i="15"/>
  <c r="AR244" i="15"/>
  <c r="AS244" i="15"/>
  <c r="AT244" i="15"/>
  <c r="AU244" i="15"/>
  <c r="AV244" i="15"/>
  <c r="AW244" i="15"/>
  <c r="AX244" i="15"/>
  <c r="AY244" i="15"/>
  <c r="AB245" i="15"/>
  <c r="AC245" i="15"/>
  <c r="AD245" i="15"/>
  <c r="AE245" i="15"/>
  <c r="AF245" i="15"/>
  <c r="AG245" i="15"/>
  <c r="AH245" i="15"/>
  <c r="AI245" i="15"/>
  <c r="AJ245" i="15"/>
  <c r="AK245" i="15"/>
  <c r="AL245" i="15"/>
  <c r="AM245" i="15"/>
  <c r="AN245" i="15"/>
  <c r="AO245" i="15"/>
  <c r="AP245" i="15"/>
  <c r="AQ245" i="15"/>
  <c r="AR245" i="15"/>
  <c r="AS245" i="15"/>
  <c r="AT245" i="15"/>
  <c r="AU245" i="15"/>
  <c r="AV245" i="15"/>
  <c r="AW245" i="15"/>
  <c r="AX245" i="15"/>
  <c r="AY245" i="15"/>
  <c r="AB246" i="15"/>
  <c r="AC246" i="15"/>
  <c r="AD246" i="15"/>
  <c r="AE246" i="15"/>
  <c r="AF246" i="15"/>
  <c r="AG246" i="15"/>
  <c r="AH246" i="15"/>
  <c r="AI246" i="15"/>
  <c r="AJ246" i="15"/>
  <c r="AK246" i="15"/>
  <c r="AL246" i="15"/>
  <c r="AM246" i="15"/>
  <c r="AN246" i="15"/>
  <c r="AO246" i="15"/>
  <c r="AP246" i="15"/>
  <c r="AQ246" i="15"/>
  <c r="AR246" i="15"/>
  <c r="AS246" i="15"/>
  <c r="AT246" i="15"/>
  <c r="AU246" i="15"/>
  <c r="AV246" i="15"/>
  <c r="AW246" i="15"/>
  <c r="AX246" i="15"/>
  <c r="AY246" i="15"/>
  <c r="AB247" i="15"/>
  <c r="AC247" i="15"/>
  <c r="AD247" i="15"/>
  <c r="AE247" i="15"/>
  <c r="AF247" i="15"/>
  <c r="AG247" i="15"/>
  <c r="AH247" i="15"/>
  <c r="AI247" i="15"/>
  <c r="AJ247" i="15"/>
  <c r="AK247" i="15"/>
  <c r="AL247" i="15"/>
  <c r="AM247" i="15"/>
  <c r="AN247" i="15"/>
  <c r="AO247" i="15"/>
  <c r="AP247" i="15"/>
  <c r="AQ247" i="15"/>
  <c r="AR247" i="15"/>
  <c r="AS247" i="15"/>
  <c r="AT247" i="15"/>
  <c r="AU247" i="15"/>
  <c r="AV247" i="15"/>
  <c r="AW247" i="15"/>
  <c r="AX247" i="15"/>
  <c r="AY247" i="15"/>
  <c r="AB248" i="15"/>
  <c r="AC248" i="15"/>
  <c r="AD248" i="15"/>
  <c r="AE248" i="15"/>
  <c r="AF248" i="15"/>
  <c r="AG248" i="15"/>
  <c r="AH248" i="15"/>
  <c r="AI248" i="15"/>
  <c r="AJ248" i="15"/>
  <c r="AK248" i="15"/>
  <c r="AL248" i="15"/>
  <c r="AM248" i="15"/>
  <c r="AN248" i="15"/>
  <c r="AO248" i="15"/>
  <c r="AP248" i="15"/>
  <c r="AQ248" i="15"/>
  <c r="AR248" i="15"/>
  <c r="AS248" i="15"/>
  <c r="AT248" i="15"/>
  <c r="AU248" i="15"/>
  <c r="AV248" i="15"/>
  <c r="AW248" i="15"/>
  <c r="AX248" i="15"/>
  <c r="AY248" i="15"/>
  <c r="AB249" i="15"/>
  <c r="AC249" i="15"/>
  <c r="AD249" i="15"/>
  <c r="AE249" i="15"/>
  <c r="AF249" i="15"/>
  <c r="AG249" i="15"/>
  <c r="AH249" i="15"/>
  <c r="AI249" i="15"/>
  <c r="AJ249" i="15"/>
  <c r="AK249" i="15"/>
  <c r="AL249" i="15"/>
  <c r="AM249" i="15"/>
  <c r="AN249" i="15"/>
  <c r="AO249" i="15"/>
  <c r="AP249" i="15"/>
  <c r="AQ249" i="15"/>
  <c r="AR249" i="15"/>
  <c r="AS249" i="15"/>
  <c r="AT249" i="15"/>
  <c r="AU249" i="15"/>
  <c r="AV249" i="15"/>
  <c r="AW249" i="15"/>
  <c r="AX249" i="15"/>
  <c r="AY249" i="15"/>
  <c r="AB250" i="15"/>
  <c r="AC250" i="15"/>
  <c r="AD250" i="15"/>
  <c r="AE250" i="15"/>
  <c r="AF250" i="15"/>
  <c r="AG250" i="15"/>
  <c r="AH250" i="15"/>
  <c r="AI250" i="15"/>
  <c r="AJ250" i="15"/>
  <c r="AK250" i="15"/>
  <c r="AL250" i="15"/>
  <c r="AM250" i="15"/>
  <c r="AN250" i="15"/>
  <c r="AO250" i="15"/>
  <c r="AP250" i="15"/>
  <c r="AQ250" i="15"/>
  <c r="AR250" i="15"/>
  <c r="AS250" i="15"/>
  <c r="AT250" i="15"/>
  <c r="AU250" i="15"/>
  <c r="AV250" i="15"/>
  <c r="AW250" i="15"/>
  <c r="AX250" i="15"/>
  <c r="AY250" i="15"/>
  <c r="AB251" i="15"/>
  <c r="AC251" i="15"/>
  <c r="AD251" i="15"/>
  <c r="AE251" i="15"/>
  <c r="AF251" i="15"/>
  <c r="AG251" i="15"/>
  <c r="AH251" i="15"/>
  <c r="AI251" i="15"/>
  <c r="AJ251" i="15"/>
  <c r="AK251" i="15"/>
  <c r="AL251" i="15"/>
  <c r="AM251" i="15"/>
  <c r="AN251" i="15"/>
  <c r="AO251" i="15"/>
  <c r="AP251" i="15"/>
  <c r="AQ251" i="15"/>
  <c r="AR251" i="15"/>
  <c r="AS251" i="15"/>
  <c r="AT251" i="15"/>
  <c r="AU251" i="15"/>
  <c r="AV251" i="15"/>
  <c r="AW251" i="15"/>
  <c r="AX251" i="15"/>
  <c r="AY251" i="15"/>
  <c r="AB252" i="15"/>
  <c r="AC252" i="15"/>
  <c r="AD252" i="15"/>
  <c r="AE252" i="15"/>
  <c r="AF252" i="15"/>
  <c r="AG252" i="15"/>
  <c r="AH252" i="15"/>
  <c r="AI252" i="15"/>
  <c r="AJ252" i="15"/>
  <c r="AK252" i="15"/>
  <c r="AL252" i="15"/>
  <c r="AM252" i="15"/>
  <c r="AN252" i="15"/>
  <c r="AO252" i="15"/>
  <c r="AP252" i="15"/>
  <c r="AQ252" i="15"/>
  <c r="AR252" i="15"/>
  <c r="AS252" i="15"/>
  <c r="AT252" i="15"/>
  <c r="AU252" i="15"/>
  <c r="AV252" i="15"/>
  <c r="AW252" i="15"/>
  <c r="AX252" i="15"/>
  <c r="AY252" i="15"/>
  <c r="AB253" i="15"/>
  <c r="AC253" i="15"/>
  <c r="AD253" i="15"/>
  <c r="AE253" i="15"/>
  <c r="AF253" i="15"/>
  <c r="AG253" i="15"/>
  <c r="AH253" i="15"/>
  <c r="AI253" i="15"/>
  <c r="AJ253" i="15"/>
  <c r="AK253" i="15"/>
  <c r="AL253" i="15"/>
  <c r="AM253" i="15"/>
  <c r="AN253" i="15"/>
  <c r="AO253" i="15"/>
  <c r="AP253" i="15"/>
  <c r="AQ253" i="15"/>
  <c r="AR253" i="15"/>
  <c r="AS253" i="15"/>
  <c r="AT253" i="15"/>
  <c r="AU253" i="15"/>
  <c r="AV253" i="15"/>
  <c r="AW253" i="15"/>
  <c r="AX253" i="15"/>
  <c r="AY253" i="15"/>
  <c r="AB254" i="15"/>
  <c r="AC254" i="15"/>
  <c r="AD254" i="15"/>
  <c r="AE254" i="15"/>
  <c r="AF254" i="15"/>
  <c r="AG254" i="15"/>
  <c r="AH254" i="15"/>
  <c r="AI254" i="15"/>
  <c r="AJ254" i="15"/>
  <c r="AK254" i="15"/>
  <c r="AL254" i="15"/>
  <c r="AM254" i="15"/>
  <c r="AN254" i="15"/>
  <c r="AO254" i="15"/>
  <c r="AP254" i="15"/>
  <c r="AQ254" i="15"/>
  <c r="AR254" i="15"/>
  <c r="AS254" i="15"/>
  <c r="AT254" i="15"/>
  <c r="AU254" i="15"/>
  <c r="AV254" i="15"/>
  <c r="AW254" i="15"/>
  <c r="AX254" i="15"/>
  <c r="AY254" i="15"/>
  <c r="AB255" i="15"/>
  <c r="AC255" i="15"/>
  <c r="AD255" i="15"/>
  <c r="AE255" i="15"/>
  <c r="AF255" i="15"/>
  <c r="AG255" i="15"/>
  <c r="AH255" i="15"/>
  <c r="AI255" i="15"/>
  <c r="AJ255" i="15"/>
  <c r="AK255" i="15"/>
  <c r="AL255" i="15"/>
  <c r="AM255" i="15"/>
  <c r="AN255" i="15"/>
  <c r="AO255" i="15"/>
  <c r="AP255" i="15"/>
  <c r="AQ255" i="15"/>
  <c r="AR255" i="15"/>
  <c r="AS255" i="15"/>
  <c r="AT255" i="15"/>
  <c r="AU255" i="15"/>
  <c r="AV255" i="15"/>
  <c r="AW255" i="15"/>
  <c r="AX255" i="15"/>
  <c r="AY255" i="15"/>
  <c r="AB256" i="15"/>
  <c r="AC256" i="15"/>
  <c r="AD256" i="15"/>
  <c r="AE256" i="15"/>
  <c r="AF256" i="15"/>
  <c r="AG256" i="15"/>
  <c r="AH256" i="15"/>
  <c r="AI256" i="15"/>
  <c r="AJ256" i="15"/>
  <c r="AK256" i="15"/>
  <c r="AL256" i="15"/>
  <c r="AM256" i="15"/>
  <c r="AN256" i="15"/>
  <c r="AO256" i="15"/>
  <c r="AP256" i="15"/>
  <c r="AQ256" i="15"/>
  <c r="AR256" i="15"/>
  <c r="AS256" i="15"/>
  <c r="AT256" i="15"/>
  <c r="AU256" i="15"/>
  <c r="AV256" i="15"/>
  <c r="AW256" i="15"/>
  <c r="AX256" i="15"/>
  <c r="AY256" i="15"/>
  <c r="AB257" i="15"/>
  <c r="AC257" i="15"/>
  <c r="AD257" i="15"/>
  <c r="AE257" i="15"/>
  <c r="AF257" i="15"/>
  <c r="AG257" i="15"/>
  <c r="AH257" i="15"/>
  <c r="AI257" i="15"/>
  <c r="AJ257" i="15"/>
  <c r="AK257" i="15"/>
  <c r="AL257" i="15"/>
  <c r="AM257" i="15"/>
  <c r="AN257" i="15"/>
  <c r="AO257" i="15"/>
  <c r="AP257" i="15"/>
  <c r="AQ257" i="15"/>
  <c r="AR257" i="15"/>
  <c r="AS257" i="15"/>
  <c r="AT257" i="15"/>
  <c r="AU257" i="15"/>
  <c r="AV257" i="15"/>
  <c r="AW257" i="15"/>
  <c r="AX257" i="15"/>
  <c r="AY257" i="15"/>
  <c r="AB258" i="15"/>
  <c r="AC258" i="15"/>
  <c r="AD258" i="15"/>
  <c r="AE258" i="15"/>
  <c r="AF258" i="15"/>
  <c r="AG258" i="15"/>
  <c r="AH258" i="15"/>
  <c r="AI258" i="15"/>
  <c r="AJ258" i="15"/>
  <c r="AK258" i="15"/>
  <c r="AL258" i="15"/>
  <c r="AM258" i="15"/>
  <c r="AN258" i="15"/>
  <c r="AO258" i="15"/>
  <c r="AP258" i="15"/>
  <c r="AQ258" i="15"/>
  <c r="AR258" i="15"/>
  <c r="AS258" i="15"/>
  <c r="AT258" i="15"/>
  <c r="AU258" i="15"/>
  <c r="AV258" i="15"/>
  <c r="AW258" i="15"/>
  <c r="AX258" i="15"/>
  <c r="AY258" i="15"/>
  <c r="AB259" i="15"/>
  <c r="AC259" i="15"/>
  <c r="AD259" i="15"/>
  <c r="AE259" i="15"/>
  <c r="AF259" i="15"/>
  <c r="AG259" i="15"/>
  <c r="AH259" i="15"/>
  <c r="AI259" i="15"/>
  <c r="AJ259" i="15"/>
  <c r="AK259" i="15"/>
  <c r="AL259" i="15"/>
  <c r="AM259" i="15"/>
  <c r="AN259" i="15"/>
  <c r="AO259" i="15"/>
  <c r="AP259" i="15"/>
  <c r="AQ259" i="15"/>
  <c r="AR259" i="15"/>
  <c r="AS259" i="15"/>
  <c r="AT259" i="15"/>
  <c r="AU259" i="15"/>
  <c r="AV259" i="15"/>
  <c r="AW259" i="15"/>
  <c r="AX259" i="15"/>
  <c r="AY259" i="15"/>
  <c r="AB260" i="15"/>
  <c r="AC260" i="15"/>
  <c r="AD260" i="15"/>
  <c r="AE260" i="15"/>
  <c r="AF260" i="15"/>
  <c r="AG260" i="15"/>
  <c r="AH260" i="15"/>
  <c r="AI260" i="15"/>
  <c r="AJ260" i="15"/>
  <c r="AK260" i="15"/>
  <c r="AL260" i="15"/>
  <c r="AM260" i="15"/>
  <c r="AN260" i="15"/>
  <c r="AO260" i="15"/>
  <c r="AP260" i="15"/>
  <c r="AQ260" i="15"/>
  <c r="AR260" i="15"/>
  <c r="AS260" i="15"/>
  <c r="AT260" i="15"/>
  <c r="AU260" i="15"/>
  <c r="AV260" i="15"/>
  <c r="AW260" i="15"/>
  <c r="AX260" i="15"/>
  <c r="AY260" i="15"/>
  <c r="AB261" i="15"/>
  <c r="AC261" i="15"/>
  <c r="AD261" i="15"/>
  <c r="AE261" i="15"/>
  <c r="AF261" i="15"/>
  <c r="AG261" i="15"/>
  <c r="AH261" i="15"/>
  <c r="AI261" i="15"/>
  <c r="AJ261" i="15"/>
  <c r="AK261" i="15"/>
  <c r="AL261" i="15"/>
  <c r="AM261" i="15"/>
  <c r="AN261" i="15"/>
  <c r="AO261" i="15"/>
  <c r="AP261" i="15"/>
  <c r="AQ261" i="15"/>
  <c r="AR261" i="15"/>
  <c r="AS261" i="15"/>
  <c r="AT261" i="15"/>
  <c r="AU261" i="15"/>
  <c r="AV261" i="15"/>
  <c r="AW261" i="15"/>
  <c r="AX261" i="15"/>
  <c r="AY261" i="15"/>
  <c r="AB262" i="15"/>
  <c r="AC262" i="15"/>
  <c r="AD262" i="15"/>
  <c r="AE262" i="15"/>
  <c r="AF262" i="15"/>
  <c r="AG262" i="15"/>
  <c r="AH262" i="15"/>
  <c r="AI262" i="15"/>
  <c r="AJ262" i="15"/>
  <c r="AK262" i="15"/>
  <c r="AL262" i="15"/>
  <c r="AM262" i="15"/>
  <c r="AN262" i="15"/>
  <c r="AO262" i="15"/>
  <c r="AP262" i="15"/>
  <c r="AQ262" i="15"/>
  <c r="AR262" i="15"/>
  <c r="AS262" i="15"/>
  <c r="AT262" i="15"/>
  <c r="AU262" i="15"/>
  <c r="AV262" i="15"/>
  <c r="AW262" i="15"/>
  <c r="AX262" i="15"/>
  <c r="AY262" i="15"/>
  <c r="AB263" i="15"/>
  <c r="AC263" i="15"/>
  <c r="AD263" i="15"/>
  <c r="AE263" i="15"/>
  <c r="AF263" i="15"/>
  <c r="AG263" i="15"/>
  <c r="AH263" i="15"/>
  <c r="AI263" i="15"/>
  <c r="AJ263" i="15"/>
  <c r="AK263" i="15"/>
  <c r="AL263" i="15"/>
  <c r="AM263" i="15"/>
  <c r="AN263" i="15"/>
  <c r="AO263" i="15"/>
  <c r="AP263" i="15"/>
  <c r="AQ263" i="15"/>
  <c r="AR263" i="15"/>
  <c r="AS263" i="15"/>
  <c r="AT263" i="15"/>
  <c r="AU263" i="15"/>
  <c r="AV263" i="15"/>
  <c r="AW263" i="15"/>
  <c r="AX263" i="15"/>
  <c r="AY263" i="15"/>
  <c r="AB264" i="15"/>
  <c r="AC264" i="15"/>
  <c r="AD264" i="15"/>
  <c r="AE264" i="15"/>
  <c r="AF264" i="15"/>
  <c r="AG264" i="15"/>
  <c r="AH264" i="15"/>
  <c r="AI264" i="15"/>
  <c r="AJ264" i="15"/>
  <c r="AK264" i="15"/>
  <c r="AL264" i="15"/>
  <c r="AM264" i="15"/>
  <c r="AN264" i="15"/>
  <c r="AO264" i="15"/>
  <c r="AP264" i="15"/>
  <c r="AQ264" i="15"/>
  <c r="AR264" i="15"/>
  <c r="AS264" i="15"/>
  <c r="AT264" i="15"/>
  <c r="AU264" i="15"/>
  <c r="AV264" i="15"/>
  <c r="AW264" i="15"/>
  <c r="AX264" i="15"/>
  <c r="AY264" i="15"/>
  <c r="AB265" i="15"/>
  <c r="AC265" i="15"/>
  <c r="AD265" i="15"/>
  <c r="AE265" i="15"/>
  <c r="AF265" i="15"/>
  <c r="AG265" i="15"/>
  <c r="AH265" i="15"/>
  <c r="AI265" i="15"/>
  <c r="AJ265" i="15"/>
  <c r="AK265" i="15"/>
  <c r="AL265" i="15"/>
  <c r="AM265" i="15"/>
  <c r="AN265" i="15"/>
  <c r="AO265" i="15"/>
  <c r="AP265" i="15"/>
  <c r="AQ265" i="15"/>
  <c r="AR265" i="15"/>
  <c r="AS265" i="15"/>
  <c r="AT265" i="15"/>
  <c r="AU265" i="15"/>
  <c r="AV265" i="15"/>
  <c r="AW265" i="15"/>
  <c r="AX265" i="15"/>
  <c r="AY265" i="15"/>
  <c r="AB266" i="15"/>
  <c r="AC266" i="15"/>
  <c r="AD266" i="15"/>
  <c r="AE266" i="15"/>
  <c r="AF266" i="15"/>
  <c r="AG266" i="15"/>
  <c r="AH266" i="15"/>
  <c r="AI266" i="15"/>
  <c r="AJ266" i="15"/>
  <c r="AK266" i="15"/>
  <c r="AL266" i="15"/>
  <c r="AM266" i="15"/>
  <c r="AN266" i="15"/>
  <c r="AO266" i="15"/>
  <c r="AP266" i="15"/>
  <c r="AQ266" i="15"/>
  <c r="AR266" i="15"/>
  <c r="AS266" i="15"/>
  <c r="AT266" i="15"/>
  <c r="AU266" i="15"/>
  <c r="AV266" i="15"/>
  <c r="AW266" i="15"/>
  <c r="AX266" i="15"/>
  <c r="AY266" i="15"/>
  <c r="AB267" i="15"/>
  <c r="AC267" i="15"/>
  <c r="AD267" i="15"/>
  <c r="AE267" i="15"/>
  <c r="AF267" i="15"/>
  <c r="AG267" i="15"/>
  <c r="AH267" i="15"/>
  <c r="AI267" i="15"/>
  <c r="AJ267" i="15"/>
  <c r="AK267" i="15"/>
  <c r="AL267" i="15"/>
  <c r="AM267" i="15"/>
  <c r="AN267" i="15"/>
  <c r="AO267" i="15"/>
  <c r="AP267" i="15"/>
  <c r="AQ267" i="15"/>
  <c r="AR267" i="15"/>
  <c r="AS267" i="15"/>
  <c r="AT267" i="15"/>
  <c r="AU267" i="15"/>
  <c r="AV267" i="15"/>
  <c r="AW267" i="15"/>
  <c r="AX267" i="15"/>
  <c r="AY267" i="15"/>
  <c r="AB268" i="15"/>
  <c r="AC268" i="15"/>
  <c r="AD268" i="15"/>
  <c r="AE268" i="15"/>
  <c r="AF268" i="15"/>
  <c r="AG268" i="15"/>
  <c r="AH268" i="15"/>
  <c r="AI268" i="15"/>
  <c r="AJ268" i="15"/>
  <c r="AK268" i="15"/>
  <c r="AL268" i="15"/>
  <c r="AM268" i="15"/>
  <c r="AN268" i="15"/>
  <c r="AO268" i="15"/>
  <c r="AP268" i="15"/>
  <c r="AQ268" i="15"/>
  <c r="AR268" i="15"/>
  <c r="AS268" i="15"/>
  <c r="AT268" i="15"/>
  <c r="AU268" i="15"/>
  <c r="AV268" i="15"/>
  <c r="AW268" i="15"/>
  <c r="AX268" i="15"/>
  <c r="AY268" i="15"/>
  <c r="AB269" i="15"/>
  <c r="AC269" i="15"/>
  <c r="AD269" i="15"/>
  <c r="AE269" i="15"/>
  <c r="AF269" i="15"/>
  <c r="AG269" i="15"/>
  <c r="AH269" i="15"/>
  <c r="AI269" i="15"/>
  <c r="AJ269" i="15"/>
  <c r="AK269" i="15"/>
  <c r="AL269" i="15"/>
  <c r="AM269" i="15"/>
  <c r="AN269" i="15"/>
  <c r="AO269" i="15"/>
  <c r="AP269" i="15"/>
  <c r="AQ269" i="15"/>
  <c r="AR269" i="15"/>
  <c r="AS269" i="15"/>
  <c r="AT269" i="15"/>
  <c r="AU269" i="15"/>
  <c r="AV269" i="15"/>
  <c r="AW269" i="15"/>
  <c r="AX269" i="15"/>
  <c r="AY269" i="15"/>
  <c r="AB270" i="15"/>
  <c r="AC270" i="15"/>
  <c r="AD270" i="15"/>
  <c r="AE270" i="15"/>
  <c r="AF270" i="15"/>
  <c r="AG270" i="15"/>
  <c r="AH270" i="15"/>
  <c r="AI270" i="15"/>
  <c r="AJ270" i="15"/>
  <c r="AK270" i="15"/>
  <c r="AL270" i="15"/>
  <c r="AM270" i="15"/>
  <c r="AN270" i="15"/>
  <c r="AO270" i="15"/>
  <c r="AP270" i="15"/>
  <c r="AQ270" i="15"/>
  <c r="AR270" i="15"/>
  <c r="AS270" i="15"/>
  <c r="AT270" i="15"/>
  <c r="AU270" i="15"/>
  <c r="AV270" i="15"/>
  <c r="AW270" i="15"/>
  <c r="AX270" i="15"/>
  <c r="AY270" i="15"/>
  <c r="AB271" i="15"/>
  <c r="AC271" i="15"/>
  <c r="AD271" i="15"/>
  <c r="AE271" i="15"/>
  <c r="AF271" i="15"/>
  <c r="AG271" i="15"/>
  <c r="AH271" i="15"/>
  <c r="AI271" i="15"/>
  <c r="AJ271" i="15"/>
  <c r="AK271" i="15"/>
  <c r="AL271" i="15"/>
  <c r="AM271" i="15"/>
  <c r="AN271" i="15"/>
  <c r="AO271" i="15"/>
  <c r="AP271" i="15"/>
  <c r="AQ271" i="15"/>
  <c r="AR271" i="15"/>
  <c r="AS271" i="15"/>
  <c r="AT271" i="15"/>
  <c r="AU271" i="15"/>
  <c r="AV271" i="15"/>
  <c r="AW271" i="15"/>
  <c r="AX271" i="15"/>
  <c r="AY271" i="15"/>
  <c r="AB272" i="15"/>
  <c r="AC272" i="15"/>
  <c r="AD272" i="15"/>
  <c r="AE272" i="15"/>
  <c r="AF272" i="15"/>
  <c r="AG272" i="15"/>
  <c r="AH272" i="15"/>
  <c r="AI272" i="15"/>
  <c r="AJ272" i="15"/>
  <c r="AK272" i="15"/>
  <c r="AL272" i="15"/>
  <c r="AM272" i="15"/>
  <c r="AN272" i="15"/>
  <c r="AO272" i="15"/>
  <c r="AP272" i="15"/>
  <c r="AQ272" i="15"/>
  <c r="AR272" i="15"/>
  <c r="AS272" i="15"/>
  <c r="AT272" i="15"/>
  <c r="AU272" i="15"/>
  <c r="AV272" i="15"/>
  <c r="AW272" i="15"/>
  <c r="AX272" i="15"/>
  <c r="AY272" i="15"/>
  <c r="AB273" i="15"/>
  <c r="AC273" i="15"/>
  <c r="AD273" i="15"/>
  <c r="AE273" i="15"/>
  <c r="AF273" i="15"/>
  <c r="AG273" i="15"/>
  <c r="AH273" i="15"/>
  <c r="AI273" i="15"/>
  <c r="AJ273" i="15"/>
  <c r="AK273" i="15"/>
  <c r="AL273" i="15"/>
  <c r="AM273" i="15"/>
  <c r="AN273" i="15"/>
  <c r="AO273" i="15"/>
  <c r="AP273" i="15"/>
  <c r="AQ273" i="15"/>
  <c r="AR273" i="15"/>
  <c r="AS273" i="15"/>
  <c r="AT273" i="15"/>
  <c r="AU273" i="15"/>
  <c r="AV273" i="15"/>
  <c r="AW273" i="15"/>
  <c r="AX273" i="15"/>
  <c r="AY273" i="15"/>
  <c r="AB274" i="15"/>
  <c r="AC274" i="15"/>
  <c r="AD274" i="15"/>
  <c r="AE274" i="15"/>
  <c r="AF274" i="15"/>
  <c r="AG274" i="15"/>
  <c r="AH274" i="15"/>
  <c r="AI274" i="15"/>
  <c r="AJ274" i="15"/>
  <c r="AK274" i="15"/>
  <c r="AL274" i="15"/>
  <c r="AM274" i="15"/>
  <c r="AN274" i="15"/>
  <c r="AO274" i="15"/>
  <c r="AP274" i="15"/>
  <c r="AQ274" i="15"/>
  <c r="AR274" i="15"/>
  <c r="AS274" i="15"/>
  <c r="AT274" i="15"/>
  <c r="AU274" i="15"/>
  <c r="AV274" i="15"/>
  <c r="AW274" i="15"/>
  <c r="AX274" i="15"/>
  <c r="AY274" i="15"/>
  <c r="AB275" i="15"/>
  <c r="AC275" i="15"/>
  <c r="AD275" i="15"/>
  <c r="AE275" i="15"/>
  <c r="AF275" i="15"/>
  <c r="AG275" i="15"/>
  <c r="AH275" i="15"/>
  <c r="AI275" i="15"/>
  <c r="AJ275" i="15"/>
  <c r="AK275" i="15"/>
  <c r="AL275" i="15"/>
  <c r="AM275" i="15"/>
  <c r="AN275" i="15"/>
  <c r="AO275" i="15"/>
  <c r="AP275" i="15"/>
  <c r="AQ275" i="15"/>
  <c r="AR275" i="15"/>
  <c r="AS275" i="15"/>
  <c r="AT275" i="15"/>
  <c r="AU275" i="15"/>
  <c r="AV275" i="15"/>
  <c r="AW275" i="15"/>
  <c r="AX275" i="15"/>
  <c r="AY275" i="15"/>
  <c r="AB276" i="15"/>
  <c r="AC276" i="15"/>
  <c r="AD276" i="15"/>
  <c r="AE276" i="15"/>
  <c r="AF276" i="15"/>
  <c r="AG276" i="15"/>
  <c r="AH276" i="15"/>
  <c r="AI276" i="15"/>
  <c r="AJ276" i="15"/>
  <c r="AK276" i="15"/>
  <c r="AL276" i="15"/>
  <c r="AM276" i="15"/>
  <c r="AN276" i="15"/>
  <c r="AO276" i="15"/>
  <c r="AP276" i="15"/>
  <c r="AQ276" i="15"/>
  <c r="AR276" i="15"/>
  <c r="AS276" i="15"/>
  <c r="AT276" i="15"/>
  <c r="AU276" i="15"/>
  <c r="AV276" i="15"/>
  <c r="AW276" i="15"/>
  <c r="AX276" i="15"/>
  <c r="AY276" i="15"/>
  <c r="AB277" i="15"/>
  <c r="AC277" i="15"/>
  <c r="AD277" i="15"/>
  <c r="AE277" i="15"/>
  <c r="AF277" i="15"/>
  <c r="AG277" i="15"/>
  <c r="AH277" i="15"/>
  <c r="AI277" i="15"/>
  <c r="AJ277" i="15"/>
  <c r="AK277" i="15"/>
  <c r="AL277" i="15"/>
  <c r="AM277" i="15"/>
  <c r="AN277" i="15"/>
  <c r="AO277" i="15"/>
  <c r="AP277" i="15"/>
  <c r="AQ277" i="15"/>
  <c r="AR277" i="15"/>
  <c r="AS277" i="15"/>
  <c r="AT277" i="15"/>
  <c r="AU277" i="15"/>
  <c r="AV277" i="15"/>
  <c r="AW277" i="15"/>
  <c r="AX277" i="15"/>
  <c r="AY277" i="15"/>
  <c r="AB278" i="15"/>
  <c r="AC278" i="15"/>
  <c r="AD278" i="15"/>
  <c r="AE278" i="15"/>
  <c r="AF278" i="15"/>
  <c r="AG278" i="15"/>
  <c r="AH278" i="15"/>
  <c r="AI278" i="15"/>
  <c r="AJ278" i="15"/>
  <c r="AK278" i="15"/>
  <c r="AL278" i="15"/>
  <c r="AM278" i="15"/>
  <c r="AN278" i="15"/>
  <c r="AO278" i="15"/>
  <c r="AP278" i="15"/>
  <c r="AQ278" i="15"/>
  <c r="AR278" i="15"/>
  <c r="AS278" i="15"/>
  <c r="AT278" i="15"/>
  <c r="AU278" i="15"/>
  <c r="AV278" i="15"/>
  <c r="AW278" i="15"/>
  <c r="AX278" i="15"/>
  <c r="AY278" i="15"/>
  <c r="AB279" i="15"/>
  <c r="AC279" i="15"/>
  <c r="AD279" i="15"/>
  <c r="AE279" i="15"/>
  <c r="AF279" i="15"/>
  <c r="AG279" i="15"/>
  <c r="AH279" i="15"/>
  <c r="AI279" i="15"/>
  <c r="AJ279" i="15"/>
  <c r="AK279" i="15"/>
  <c r="AL279" i="15"/>
  <c r="AM279" i="15"/>
  <c r="AN279" i="15"/>
  <c r="AO279" i="15"/>
  <c r="AP279" i="15"/>
  <c r="AQ279" i="15"/>
  <c r="AR279" i="15"/>
  <c r="AS279" i="15"/>
  <c r="AT279" i="15"/>
  <c r="AU279" i="15"/>
  <c r="AV279" i="15"/>
  <c r="AW279" i="15"/>
  <c r="AX279" i="15"/>
  <c r="AY279" i="15"/>
  <c r="AB280" i="15"/>
  <c r="AC280" i="15"/>
  <c r="AD280" i="15"/>
  <c r="AE280" i="15"/>
  <c r="AF280" i="15"/>
  <c r="AG280" i="15"/>
  <c r="AH280" i="15"/>
  <c r="AI280" i="15"/>
  <c r="AJ280" i="15"/>
  <c r="AK280" i="15"/>
  <c r="AL280" i="15"/>
  <c r="AM280" i="15"/>
  <c r="AN280" i="15"/>
  <c r="AO280" i="15"/>
  <c r="AP280" i="15"/>
  <c r="AQ280" i="15"/>
  <c r="AR280" i="15"/>
  <c r="AS280" i="15"/>
  <c r="AT280" i="15"/>
  <c r="AU280" i="15"/>
  <c r="AV280" i="15"/>
  <c r="AW280" i="15"/>
  <c r="AX280" i="15"/>
  <c r="AY280" i="15"/>
  <c r="AB281" i="15"/>
  <c r="AC281" i="15"/>
  <c r="AD281" i="15"/>
  <c r="AE281" i="15"/>
  <c r="AF281" i="15"/>
  <c r="AG281" i="15"/>
  <c r="AH281" i="15"/>
  <c r="AI281" i="15"/>
  <c r="AJ281" i="15"/>
  <c r="AK281" i="15"/>
  <c r="AL281" i="15"/>
  <c r="AM281" i="15"/>
  <c r="AN281" i="15"/>
  <c r="AO281" i="15"/>
  <c r="AP281" i="15"/>
  <c r="AQ281" i="15"/>
  <c r="AR281" i="15"/>
  <c r="AS281" i="15"/>
  <c r="AT281" i="15"/>
  <c r="AU281" i="15"/>
  <c r="AV281" i="15"/>
  <c r="AW281" i="15"/>
  <c r="AX281" i="15"/>
  <c r="AY281" i="15"/>
  <c r="AB282" i="15"/>
  <c r="AC282" i="15"/>
  <c r="AD282" i="15"/>
  <c r="AE282" i="15"/>
  <c r="AF282" i="15"/>
  <c r="AG282" i="15"/>
  <c r="AH282" i="15"/>
  <c r="AI282" i="15"/>
  <c r="AJ282" i="15"/>
  <c r="AK282" i="15"/>
  <c r="AL282" i="15"/>
  <c r="AM282" i="15"/>
  <c r="AN282" i="15"/>
  <c r="AO282" i="15"/>
  <c r="AP282" i="15"/>
  <c r="AQ282" i="15"/>
  <c r="AR282" i="15"/>
  <c r="AS282" i="15"/>
  <c r="AT282" i="15"/>
  <c r="AU282" i="15"/>
  <c r="AV282" i="15"/>
  <c r="AW282" i="15"/>
  <c r="AX282" i="15"/>
  <c r="AY282" i="15"/>
  <c r="AB283" i="15"/>
  <c r="AC283" i="15"/>
  <c r="AD283" i="15"/>
  <c r="AE283" i="15"/>
  <c r="AF283" i="15"/>
  <c r="AG283" i="15"/>
  <c r="AH283" i="15"/>
  <c r="AI283" i="15"/>
  <c r="AJ283" i="15"/>
  <c r="AK283" i="15"/>
  <c r="AL283" i="15"/>
  <c r="AM283" i="15"/>
  <c r="AN283" i="15"/>
  <c r="AO283" i="15"/>
  <c r="AP283" i="15"/>
  <c r="AQ283" i="15"/>
  <c r="AR283" i="15"/>
  <c r="AS283" i="15"/>
  <c r="AT283" i="15"/>
  <c r="AU283" i="15"/>
  <c r="AV283" i="15"/>
  <c r="AW283" i="15"/>
  <c r="AX283" i="15"/>
  <c r="AY283" i="15"/>
  <c r="AB284" i="15"/>
  <c r="AC284" i="15"/>
  <c r="AD284" i="15"/>
  <c r="AE284" i="15"/>
  <c r="AF284" i="15"/>
  <c r="AG284" i="15"/>
  <c r="AH284" i="15"/>
  <c r="AI284" i="15"/>
  <c r="AJ284" i="15"/>
  <c r="AK284" i="15"/>
  <c r="AL284" i="15"/>
  <c r="AM284" i="15"/>
  <c r="AN284" i="15"/>
  <c r="AO284" i="15"/>
  <c r="AP284" i="15"/>
  <c r="AQ284" i="15"/>
  <c r="AR284" i="15"/>
  <c r="AS284" i="15"/>
  <c r="AT284" i="15"/>
  <c r="AU284" i="15"/>
  <c r="AV284" i="15"/>
  <c r="AW284" i="15"/>
  <c r="AX284" i="15"/>
  <c r="AY284" i="15"/>
  <c r="AB285" i="15"/>
  <c r="AC285" i="15"/>
  <c r="AD285" i="15"/>
  <c r="AE285" i="15"/>
  <c r="AF285" i="15"/>
  <c r="AG285" i="15"/>
  <c r="AH285" i="15"/>
  <c r="AI285" i="15"/>
  <c r="AJ285" i="15"/>
  <c r="AK285" i="15"/>
  <c r="AL285" i="15"/>
  <c r="AM285" i="15"/>
  <c r="AN285" i="15"/>
  <c r="AO285" i="15"/>
  <c r="AP285" i="15"/>
  <c r="AQ285" i="15"/>
  <c r="AR285" i="15"/>
  <c r="AS285" i="15"/>
  <c r="AT285" i="15"/>
  <c r="AU285" i="15"/>
  <c r="AV285" i="15"/>
  <c r="AW285" i="15"/>
  <c r="AX285" i="15"/>
  <c r="AY285" i="15"/>
  <c r="AB286" i="15"/>
  <c r="AC286" i="15"/>
  <c r="AD286" i="15"/>
  <c r="AE286" i="15"/>
  <c r="AF286" i="15"/>
  <c r="AG286" i="15"/>
  <c r="AH286" i="15"/>
  <c r="AI286" i="15"/>
  <c r="AJ286" i="15"/>
  <c r="AK286" i="15"/>
  <c r="AL286" i="15"/>
  <c r="AM286" i="15"/>
  <c r="AN286" i="15"/>
  <c r="AO286" i="15"/>
  <c r="AP286" i="15"/>
  <c r="AQ286" i="15"/>
  <c r="AR286" i="15"/>
  <c r="AS286" i="15"/>
  <c r="AT286" i="15"/>
  <c r="AU286" i="15"/>
  <c r="AV286" i="15"/>
  <c r="AW286" i="15"/>
  <c r="AX286" i="15"/>
  <c r="AY286" i="15"/>
  <c r="AB287" i="15"/>
  <c r="AC287" i="15"/>
  <c r="AD287" i="15"/>
  <c r="AE287" i="15"/>
  <c r="AF287" i="15"/>
  <c r="AG287" i="15"/>
  <c r="AH287" i="15"/>
  <c r="AI287" i="15"/>
  <c r="AJ287" i="15"/>
  <c r="AK287" i="15"/>
  <c r="AL287" i="15"/>
  <c r="AM287" i="15"/>
  <c r="AN287" i="15"/>
  <c r="AO287" i="15"/>
  <c r="AP287" i="15"/>
  <c r="AQ287" i="15"/>
  <c r="AR287" i="15"/>
  <c r="AS287" i="15"/>
  <c r="AT287" i="15"/>
  <c r="AU287" i="15"/>
  <c r="AV287" i="15"/>
  <c r="AW287" i="15"/>
  <c r="AX287" i="15"/>
  <c r="AY287" i="15"/>
  <c r="AB288" i="15"/>
  <c r="AC288" i="15"/>
  <c r="AD288" i="15"/>
  <c r="AE288" i="15"/>
  <c r="AF288" i="15"/>
  <c r="AG288" i="15"/>
  <c r="AH288" i="15"/>
  <c r="AI288" i="15"/>
  <c r="AJ288" i="15"/>
  <c r="AK288" i="15"/>
  <c r="AL288" i="15"/>
  <c r="AM288" i="15"/>
  <c r="AN288" i="15"/>
  <c r="AO288" i="15"/>
  <c r="AP288" i="15"/>
  <c r="AQ288" i="15"/>
  <c r="AR288" i="15"/>
  <c r="AS288" i="15"/>
  <c r="AT288" i="15"/>
  <c r="AU288" i="15"/>
  <c r="AV288" i="15"/>
  <c r="AW288" i="15"/>
  <c r="AX288" i="15"/>
  <c r="AY288" i="15"/>
  <c r="AB289" i="15"/>
  <c r="AC289" i="15"/>
  <c r="AD289" i="15"/>
  <c r="AE289" i="15"/>
  <c r="AF289" i="15"/>
  <c r="AG289" i="15"/>
  <c r="AH289" i="15"/>
  <c r="AI289" i="15"/>
  <c r="AJ289" i="15"/>
  <c r="AK289" i="15"/>
  <c r="AL289" i="15"/>
  <c r="AM289" i="15"/>
  <c r="AN289" i="15"/>
  <c r="AO289" i="15"/>
  <c r="AP289" i="15"/>
  <c r="AQ289" i="15"/>
  <c r="AR289" i="15"/>
  <c r="AS289" i="15"/>
  <c r="AT289" i="15"/>
  <c r="AU289" i="15"/>
  <c r="AV289" i="15"/>
  <c r="AW289" i="15"/>
  <c r="AX289" i="15"/>
  <c r="AY289" i="15"/>
  <c r="AB290" i="15"/>
  <c r="AC290" i="15"/>
  <c r="AD290" i="15"/>
  <c r="AE290" i="15"/>
  <c r="AF290" i="15"/>
  <c r="AG290" i="15"/>
  <c r="AH290" i="15"/>
  <c r="AI290" i="15"/>
  <c r="AJ290" i="15"/>
  <c r="AK290" i="15"/>
  <c r="AL290" i="15"/>
  <c r="AM290" i="15"/>
  <c r="AN290" i="15"/>
  <c r="AO290" i="15"/>
  <c r="AP290" i="15"/>
  <c r="AQ290" i="15"/>
  <c r="AR290" i="15"/>
  <c r="AS290" i="15"/>
  <c r="AT290" i="15"/>
  <c r="AU290" i="15"/>
  <c r="AV290" i="15"/>
  <c r="AW290" i="15"/>
  <c r="AX290" i="15"/>
  <c r="AY290" i="15"/>
  <c r="AB291" i="15"/>
  <c r="AC291" i="15"/>
  <c r="AD291" i="15"/>
  <c r="AE291" i="15"/>
  <c r="AF291" i="15"/>
  <c r="AG291" i="15"/>
  <c r="AH291" i="15"/>
  <c r="AI291" i="15"/>
  <c r="AJ291" i="15"/>
  <c r="AK291" i="15"/>
  <c r="AL291" i="15"/>
  <c r="AM291" i="15"/>
  <c r="AN291" i="15"/>
  <c r="AO291" i="15"/>
  <c r="AP291" i="15"/>
  <c r="AQ291" i="15"/>
  <c r="AR291" i="15"/>
  <c r="AS291" i="15"/>
  <c r="AT291" i="15"/>
  <c r="AU291" i="15"/>
  <c r="AV291" i="15"/>
  <c r="AW291" i="15"/>
  <c r="AX291" i="15"/>
  <c r="AY291" i="15"/>
  <c r="AB292" i="15"/>
  <c r="AC292" i="15"/>
  <c r="AD292" i="15"/>
  <c r="AE292" i="15"/>
  <c r="AF292" i="15"/>
  <c r="AG292" i="15"/>
  <c r="AH292" i="15"/>
  <c r="AI292" i="15"/>
  <c r="AJ292" i="15"/>
  <c r="AK292" i="15"/>
  <c r="AL292" i="15"/>
  <c r="AM292" i="15"/>
  <c r="AN292" i="15"/>
  <c r="AO292" i="15"/>
  <c r="AP292" i="15"/>
  <c r="AQ292" i="15"/>
  <c r="AR292" i="15"/>
  <c r="AS292" i="15"/>
  <c r="AT292" i="15"/>
  <c r="AU292" i="15"/>
  <c r="AV292" i="15"/>
  <c r="AW292" i="15"/>
  <c r="AX292" i="15"/>
  <c r="AY292" i="15"/>
  <c r="AB293" i="15"/>
  <c r="AC293" i="15"/>
  <c r="AD293" i="15"/>
  <c r="AE293" i="15"/>
  <c r="AF293" i="15"/>
  <c r="AG293" i="15"/>
  <c r="AH293" i="15"/>
  <c r="AI293" i="15"/>
  <c r="AJ293" i="15"/>
  <c r="AK293" i="15"/>
  <c r="AL293" i="15"/>
  <c r="AM293" i="15"/>
  <c r="AN293" i="15"/>
  <c r="AO293" i="15"/>
  <c r="AP293" i="15"/>
  <c r="AQ293" i="15"/>
  <c r="AR293" i="15"/>
  <c r="AS293" i="15"/>
  <c r="AT293" i="15"/>
  <c r="AU293" i="15"/>
  <c r="AV293" i="15"/>
  <c r="AW293" i="15"/>
  <c r="AX293" i="15"/>
  <c r="AY293" i="15"/>
  <c r="AB294" i="15"/>
  <c r="AC294" i="15"/>
  <c r="AD294" i="15"/>
  <c r="AE294" i="15"/>
  <c r="AF294" i="15"/>
  <c r="AG294" i="15"/>
  <c r="AH294" i="15"/>
  <c r="AI294" i="15"/>
  <c r="AJ294" i="15"/>
  <c r="AK294" i="15"/>
  <c r="AL294" i="15"/>
  <c r="AM294" i="15"/>
  <c r="AN294" i="15"/>
  <c r="AO294" i="15"/>
  <c r="AP294" i="15"/>
  <c r="AQ294" i="15"/>
  <c r="AR294" i="15"/>
  <c r="AS294" i="15"/>
  <c r="AT294" i="15"/>
  <c r="AU294" i="15"/>
  <c r="AV294" i="15"/>
  <c r="AW294" i="15"/>
  <c r="AX294" i="15"/>
  <c r="AY294" i="15"/>
  <c r="AB295" i="15"/>
  <c r="AC295" i="15"/>
  <c r="AD295" i="15"/>
  <c r="AE295" i="15"/>
  <c r="AF295" i="15"/>
  <c r="AG295" i="15"/>
  <c r="AH295" i="15"/>
  <c r="AI295" i="15"/>
  <c r="AJ295" i="15"/>
  <c r="AK295" i="15"/>
  <c r="AL295" i="15"/>
  <c r="AM295" i="15"/>
  <c r="AN295" i="15"/>
  <c r="AO295" i="15"/>
  <c r="AP295" i="15"/>
  <c r="AQ295" i="15"/>
  <c r="AR295" i="15"/>
  <c r="AS295" i="15"/>
  <c r="AT295" i="15"/>
  <c r="AU295" i="15"/>
  <c r="AV295" i="15"/>
  <c r="AW295" i="15"/>
  <c r="AX295" i="15"/>
  <c r="AY295" i="15"/>
  <c r="AB296" i="15"/>
  <c r="AC296" i="15"/>
  <c r="AD296" i="15"/>
  <c r="AE296" i="15"/>
  <c r="AF296" i="15"/>
  <c r="AG296" i="15"/>
  <c r="AH296" i="15"/>
  <c r="AI296" i="15"/>
  <c r="AJ296" i="15"/>
  <c r="AK296" i="15"/>
  <c r="AL296" i="15"/>
  <c r="AM296" i="15"/>
  <c r="AN296" i="15"/>
  <c r="AO296" i="15"/>
  <c r="AP296" i="15"/>
  <c r="AQ296" i="15"/>
  <c r="AR296" i="15"/>
  <c r="AS296" i="15"/>
  <c r="AT296" i="15"/>
  <c r="AU296" i="15"/>
  <c r="AV296" i="15"/>
  <c r="AW296" i="15"/>
  <c r="AX296" i="15"/>
  <c r="AY296" i="15"/>
  <c r="AB297" i="15"/>
  <c r="AC297" i="15"/>
  <c r="AD297" i="15"/>
  <c r="AE297" i="15"/>
  <c r="AF297" i="15"/>
  <c r="AG297" i="15"/>
  <c r="AH297" i="15"/>
  <c r="AI297" i="15"/>
  <c r="AJ297" i="15"/>
  <c r="AK297" i="15"/>
  <c r="AL297" i="15"/>
  <c r="AM297" i="15"/>
  <c r="AN297" i="15"/>
  <c r="AO297" i="15"/>
  <c r="AP297" i="15"/>
  <c r="AQ297" i="15"/>
  <c r="AR297" i="15"/>
  <c r="AS297" i="15"/>
  <c r="AT297" i="15"/>
  <c r="AU297" i="15"/>
  <c r="AV297" i="15"/>
  <c r="AW297" i="15"/>
  <c r="AX297" i="15"/>
  <c r="AY297" i="15"/>
  <c r="AB298" i="15"/>
  <c r="AC298" i="15"/>
  <c r="AD298" i="15"/>
  <c r="AE298" i="15"/>
  <c r="AF298" i="15"/>
  <c r="AG298" i="15"/>
  <c r="AH298" i="15"/>
  <c r="AI298" i="15"/>
  <c r="AJ298" i="15"/>
  <c r="AK298" i="15"/>
  <c r="AL298" i="15"/>
  <c r="AM298" i="15"/>
  <c r="AN298" i="15"/>
  <c r="AO298" i="15"/>
  <c r="AP298" i="15"/>
  <c r="AQ298" i="15"/>
  <c r="AR298" i="15"/>
  <c r="AS298" i="15"/>
  <c r="AT298" i="15"/>
  <c r="AU298" i="15"/>
  <c r="AV298" i="15"/>
  <c r="AW298" i="15"/>
  <c r="AX298" i="15"/>
  <c r="AY298" i="15"/>
  <c r="AB299" i="15"/>
  <c r="AC299" i="15"/>
  <c r="AD299" i="15"/>
  <c r="AE299" i="15"/>
  <c r="AF299" i="15"/>
  <c r="AG299" i="15"/>
  <c r="AH299" i="15"/>
  <c r="AI299" i="15"/>
  <c r="AJ299" i="15"/>
  <c r="AK299" i="15"/>
  <c r="AL299" i="15"/>
  <c r="AM299" i="15"/>
  <c r="AN299" i="15"/>
  <c r="AO299" i="15"/>
  <c r="AP299" i="15"/>
  <c r="AQ299" i="15"/>
  <c r="AR299" i="15"/>
  <c r="AS299" i="15"/>
  <c r="AT299" i="15"/>
  <c r="AU299" i="15"/>
  <c r="AV299" i="15"/>
  <c r="AW299" i="15"/>
  <c r="AX299" i="15"/>
  <c r="AY299" i="15"/>
  <c r="AB300" i="15"/>
  <c r="AC300" i="15"/>
  <c r="AD300" i="15"/>
  <c r="AE300" i="15"/>
  <c r="AF300" i="15"/>
  <c r="AG300" i="15"/>
  <c r="AH300" i="15"/>
  <c r="AI300" i="15"/>
  <c r="AJ300" i="15"/>
  <c r="AK300" i="15"/>
  <c r="AL300" i="15"/>
  <c r="AM300" i="15"/>
  <c r="AN300" i="15"/>
  <c r="AO300" i="15"/>
  <c r="AP300" i="15"/>
  <c r="AQ300" i="15"/>
  <c r="AR300" i="15"/>
  <c r="AS300" i="15"/>
  <c r="AT300" i="15"/>
  <c r="AU300" i="15"/>
  <c r="AV300" i="15"/>
  <c r="AW300" i="15"/>
  <c r="AX300" i="15"/>
  <c r="AY300" i="15"/>
  <c r="AB301" i="15"/>
  <c r="AC301" i="15"/>
  <c r="AD301" i="15"/>
  <c r="AE301" i="15"/>
  <c r="AF301" i="15"/>
  <c r="AG301" i="15"/>
  <c r="AH301" i="15"/>
  <c r="AI301" i="15"/>
  <c r="AJ301" i="15"/>
  <c r="AK301" i="15"/>
  <c r="AL301" i="15"/>
  <c r="AM301" i="15"/>
  <c r="AN301" i="15"/>
  <c r="AO301" i="15"/>
  <c r="AP301" i="15"/>
  <c r="AQ301" i="15"/>
  <c r="AR301" i="15"/>
  <c r="AS301" i="15"/>
  <c r="AT301" i="15"/>
  <c r="AU301" i="15"/>
  <c r="AV301" i="15"/>
  <c r="AW301" i="15"/>
  <c r="AX301" i="15"/>
  <c r="AY301" i="15"/>
  <c r="AB302" i="15"/>
  <c r="AC302" i="15"/>
  <c r="AD302" i="15"/>
  <c r="AE302" i="15"/>
  <c r="AF302" i="15"/>
  <c r="AG302" i="15"/>
  <c r="AH302" i="15"/>
  <c r="AI302" i="15"/>
  <c r="AJ302" i="15"/>
  <c r="AK302" i="15"/>
  <c r="AL302" i="15"/>
  <c r="AM302" i="15"/>
  <c r="AN302" i="15"/>
  <c r="AO302" i="15"/>
  <c r="AP302" i="15"/>
  <c r="AQ302" i="15"/>
  <c r="AR302" i="15"/>
  <c r="AS302" i="15"/>
  <c r="AT302" i="15"/>
  <c r="AU302" i="15"/>
  <c r="AV302" i="15"/>
  <c r="AW302" i="15"/>
  <c r="AX302" i="15"/>
  <c r="AY302" i="15"/>
  <c r="AB303" i="15"/>
  <c r="AC303" i="15"/>
  <c r="AD303" i="15"/>
  <c r="AE303" i="15"/>
  <c r="AF303" i="15"/>
  <c r="AG303" i="15"/>
  <c r="AH303" i="15"/>
  <c r="AI303" i="15"/>
  <c r="AJ303" i="15"/>
  <c r="AK303" i="15"/>
  <c r="AL303" i="15"/>
  <c r="AM303" i="15"/>
  <c r="AN303" i="15"/>
  <c r="AO303" i="15"/>
  <c r="AP303" i="15"/>
  <c r="AQ303" i="15"/>
  <c r="AR303" i="15"/>
  <c r="AS303" i="15"/>
  <c r="AT303" i="15"/>
  <c r="AU303" i="15"/>
  <c r="AV303" i="15"/>
  <c r="AW303" i="15"/>
  <c r="AX303" i="15"/>
  <c r="AY303" i="15"/>
  <c r="AB304" i="15"/>
  <c r="AC304" i="15"/>
  <c r="AD304" i="15"/>
  <c r="AE304" i="15"/>
  <c r="AF304" i="15"/>
  <c r="AG304" i="15"/>
  <c r="AH304" i="15"/>
  <c r="AI304" i="15"/>
  <c r="AJ304" i="15"/>
  <c r="AK304" i="15"/>
  <c r="AL304" i="15"/>
  <c r="AM304" i="15"/>
  <c r="AN304" i="15"/>
  <c r="AO304" i="15"/>
  <c r="AP304" i="15"/>
  <c r="AQ304" i="15"/>
  <c r="AR304" i="15"/>
  <c r="AS304" i="15"/>
  <c r="AT304" i="15"/>
  <c r="AU304" i="15"/>
  <c r="AV304" i="15"/>
  <c r="AW304" i="15"/>
  <c r="AX304" i="15"/>
  <c r="AY304" i="15"/>
  <c r="AB305" i="15"/>
  <c r="AC305" i="15"/>
  <c r="AD305" i="15"/>
  <c r="AE305" i="15"/>
  <c r="AF305" i="15"/>
  <c r="AG305" i="15"/>
  <c r="AH305" i="15"/>
  <c r="AI305" i="15"/>
  <c r="AJ305" i="15"/>
  <c r="AK305" i="15"/>
  <c r="AL305" i="15"/>
  <c r="AM305" i="15"/>
  <c r="AN305" i="15"/>
  <c r="AO305" i="15"/>
  <c r="AP305" i="15"/>
  <c r="AQ305" i="15"/>
  <c r="AR305" i="15"/>
  <c r="AS305" i="15"/>
  <c r="AT305" i="15"/>
  <c r="AU305" i="15"/>
  <c r="AV305" i="15"/>
  <c r="AW305" i="15"/>
  <c r="AX305" i="15"/>
  <c r="AY305" i="15"/>
  <c r="AB306" i="15"/>
  <c r="AC306" i="15"/>
  <c r="AD306" i="15"/>
  <c r="AE306" i="15"/>
  <c r="AF306" i="15"/>
  <c r="AG306" i="15"/>
  <c r="AH306" i="15"/>
  <c r="AI306" i="15"/>
  <c r="AJ306" i="15"/>
  <c r="AK306" i="15"/>
  <c r="AL306" i="15"/>
  <c r="AM306" i="15"/>
  <c r="AN306" i="15"/>
  <c r="AO306" i="15"/>
  <c r="AP306" i="15"/>
  <c r="AQ306" i="15"/>
  <c r="AR306" i="15"/>
  <c r="AS306" i="15"/>
  <c r="AT306" i="15"/>
  <c r="AU306" i="15"/>
  <c r="AV306" i="15"/>
  <c r="AW306" i="15"/>
  <c r="AX306" i="15"/>
  <c r="AY306" i="15"/>
  <c r="AB307" i="15"/>
  <c r="AC307" i="15"/>
  <c r="AD307" i="15"/>
  <c r="AE307" i="15"/>
  <c r="AF307" i="15"/>
  <c r="AG307" i="15"/>
  <c r="AH307" i="15"/>
  <c r="AI307" i="15"/>
  <c r="AJ307" i="15"/>
  <c r="AK307" i="15"/>
  <c r="AL307" i="15"/>
  <c r="AM307" i="15"/>
  <c r="AN307" i="15"/>
  <c r="AO307" i="15"/>
  <c r="AP307" i="15"/>
  <c r="AQ307" i="15"/>
  <c r="AR307" i="15"/>
  <c r="AS307" i="15"/>
  <c r="AT307" i="15"/>
  <c r="AU307" i="15"/>
  <c r="AV307" i="15"/>
  <c r="AW307" i="15"/>
  <c r="AX307" i="15"/>
  <c r="AY307" i="15"/>
  <c r="AB308" i="15"/>
  <c r="AC308" i="15"/>
  <c r="AD308" i="15"/>
  <c r="AE308" i="15"/>
  <c r="AF308" i="15"/>
  <c r="AG308" i="15"/>
  <c r="AH308" i="15"/>
  <c r="AI308" i="15"/>
  <c r="AJ308" i="15"/>
  <c r="AK308" i="15"/>
  <c r="AL308" i="15"/>
  <c r="AM308" i="15"/>
  <c r="AN308" i="15"/>
  <c r="AO308" i="15"/>
  <c r="AP308" i="15"/>
  <c r="AQ308" i="15"/>
  <c r="AR308" i="15"/>
  <c r="AS308" i="15"/>
  <c r="AT308" i="15"/>
  <c r="AU308" i="15"/>
  <c r="AV308" i="15"/>
  <c r="AW308" i="15"/>
  <c r="AX308" i="15"/>
  <c r="AY308" i="15"/>
  <c r="AB309" i="15"/>
  <c r="AC309" i="15"/>
  <c r="AD309" i="15"/>
  <c r="AE309" i="15"/>
  <c r="AF309" i="15"/>
  <c r="AG309" i="15"/>
  <c r="AH309" i="15"/>
  <c r="AI309" i="15"/>
  <c r="AJ309" i="15"/>
  <c r="AK309" i="15"/>
  <c r="AL309" i="15"/>
  <c r="AM309" i="15"/>
  <c r="AN309" i="15"/>
  <c r="AO309" i="15"/>
  <c r="AP309" i="15"/>
  <c r="AQ309" i="15"/>
  <c r="AR309" i="15"/>
  <c r="AS309" i="15"/>
  <c r="AT309" i="15"/>
  <c r="AU309" i="15"/>
  <c r="AV309" i="15"/>
  <c r="AW309" i="15"/>
  <c r="AX309" i="15"/>
  <c r="AY309" i="15"/>
  <c r="AB310" i="15"/>
  <c r="AC310" i="15"/>
  <c r="AD310" i="15"/>
  <c r="AE310" i="15"/>
  <c r="AF310" i="15"/>
  <c r="AG310" i="15"/>
  <c r="AH310" i="15"/>
  <c r="AI310" i="15"/>
  <c r="AJ310" i="15"/>
  <c r="AK310" i="15"/>
  <c r="AL310" i="15"/>
  <c r="AM310" i="15"/>
  <c r="AN310" i="15"/>
  <c r="AO310" i="15"/>
  <c r="AP310" i="15"/>
  <c r="AQ310" i="15"/>
  <c r="AR310" i="15"/>
  <c r="AS310" i="15"/>
  <c r="AT310" i="15"/>
  <c r="AU310" i="15"/>
  <c r="AV310" i="15"/>
  <c r="AW310" i="15"/>
  <c r="AX310" i="15"/>
  <c r="AY310" i="15"/>
  <c r="AB311" i="15"/>
  <c r="AC311" i="15"/>
  <c r="AD311" i="15"/>
  <c r="AE311" i="15"/>
  <c r="AF311" i="15"/>
  <c r="AG311" i="15"/>
  <c r="AH311" i="15"/>
  <c r="AI311" i="15"/>
  <c r="AJ311" i="15"/>
  <c r="AK311" i="15"/>
  <c r="AL311" i="15"/>
  <c r="AM311" i="15"/>
  <c r="AN311" i="15"/>
  <c r="AO311" i="15"/>
  <c r="AP311" i="15"/>
  <c r="AQ311" i="15"/>
  <c r="AR311" i="15"/>
  <c r="AS311" i="15"/>
  <c r="AT311" i="15"/>
  <c r="AU311" i="15"/>
  <c r="AV311" i="15"/>
  <c r="AW311" i="15"/>
  <c r="AX311" i="15"/>
  <c r="AY311" i="15"/>
  <c r="AB312" i="15"/>
  <c r="AC312" i="15"/>
  <c r="AD312" i="15"/>
  <c r="AE312" i="15"/>
  <c r="AF312" i="15"/>
  <c r="AG312" i="15"/>
  <c r="AH312" i="15"/>
  <c r="AI312" i="15"/>
  <c r="AJ312" i="15"/>
  <c r="AK312" i="15"/>
  <c r="AL312" i="15"/>
  <c r="AM312" i="15"/>
  <c r="AN312" i="15"/>
  <c r="AO312" i="15"/>
  <c r="AP312" i="15"/>
  <c r="AQ312" i="15"/>
  <c r="AR312" i="15"/>
  <c r="AS312" i="15"/>
  <c r="AT312" i="15"/>
  <c r="AU312" i="15"/>
  <c r="AV312" i="15"/>
  <c r="AW312" i="15"/>
  <c r="AX312" i="15"/>
  <c r="AY312" i="15"/>
  <c r="AD13" i="15"/>
  <c r="AE13" i="15"/>
  <c r="AF13" i="15"/>
  <c r="AG13" i="15"/>
  <c r="AH13" i="15"/>
  <c r="AI13" i="15"/>
  <c r="AJ13" i="15"/>
  <c r="AK13" i="15"/>
  <c r="AL13" i="15"/>
  <c r="AM13" i="15"/>
  <c r="AN13" i="15"/>
  <c r="AO13" i="15"/>
  <c r="AP13" i="15"/>
  <c r="AQ13" i="15"/>
  <c r="AR13" i="15"/>
  <c r="AS13" i="15"/>
  <c r="AT13" i="15"/>
  <c r="AU13" i="15"/>
  <c r="AV13" i="15"/>
  <c r="AW13" i="15"/>
  <c r="AX13" i="15"/>
  <c r="AY13" i="15"/>
  <c r="AD14" i="15"/>
  <c r="AE14" i="15"/>
  <c r="AF14" i="15"/>
  <c r="AG14" i="15"/>
  <c r="AH14" i="15"/>
  <c r="AI14" i="15"/>
  <c r="AJ14" i="15"/>
  <c r="AK14" i="15"/>
  <c r="AL14" i="15"/>
  <c r="AM14" i="15"/>
  <c r="AN14" i="15"/>
  <c r="AO14" i="15"/>
  <c r="AP14" i="15"/>
  <c r="AQ14" i="15"/>
  <c r="AR14" i="15"/>
  <c r="AS14" i="15"/>
  <c r="AT14" i="15"/>
  <c r="AU14" i="15"/>
  <c r="AV14" i="15"/>
  <c r="AW14" i="15"/>
  <c r="AX14" i="15"/>
  <c r="AY14" i="15"/>
  <c r="AC14" i="15"/>
  <c r="AC13" i="15"/>
  <c r="AB14" i="15"/>
  <c r="AB13" i="15"/>
  <c r="CZ314" i="15" l="1"/>
  <c r="CB14" i="15" l="1"/>
  <c r="AZ313" i="15" l="1"/>
  <c r="AZ314" i="15"/>
  <c r="BN13" i="1" l="1"/>
  <c r="BO11" i="1"/>
  <c r="BN10" i="1"/>
  <c r="BB13" i="1"/>
  <c r="BC11" i="1"/>
  <c r="C4" i="9"/>
  <c r="AY13" i="1"/>
  <c r="BI13" i="1"/>
  <c r="BH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Z13" i="1"/>
  <c r="BA13" i="1"/>
  <c r="B13" i="1"/>
  <c r="A22" i="15" a="1"/>
  <c r="A122" i="15" a="1"/>
  <c r="A306" i="15" a="1"/>
  <c r="A230" i="15" a="1"/>
  <c r="A275" i="15" a="1"/>
  <c r="A249" i="15" a="1"/>
  <c r="A89" i="15" a="1"/>
  <c r="A15" i="15" a="1"/>
  <c r="A73" i="15" a="1"/>
  <c r="A40" i="15" a="1"/>
  <c r="A251" i="15" a="1"/>
  <c r="A266" i="15" a="1"/>
  <c r="A283" i="15" a="1"/>
  <c r="A225" i="15" a="1"/>
  <c r="A264" i="15" a="1"/>
  <c r="A132" i="15" a="1"/>
  <c r="A174" i="15" a="1"/>
  <c r="A52" i="15" a="1"/>
  <c r="A72" i="15" a="1"/>
  <c r="BA46" i="15" a="1"/>
  <c r="BA130" i="15" a="1"/>
  <c r="BA27" i="15" a="1"/>
  <c r="BA90" i="15" a="1"/>
  <c r="BA151" i="15" a="1"/>
  <c r="BA34" i="15" a="1"/>
  <c r="BA81" i="15" a="1"/>
  <c r="BA148" i="15" a="1"/>
  <c r="BA104" i="15" a="1"/>
  <c r="BA206" i="15" a="1"/>
  <c r="BA176" i="15" a="1"/>
  <c r="BA152" i="15" a="1"/>
  <c r="BA62" i="15" a="1"/>
  <c r="A257" i="15" a="1"/>
  <c r="A38" i="15" a="1"/>
  <c r="A183" i="15" a="1"/>
  <c r="A191" i="15" a="1"/>
  <c r="A281" i="15" a="1"/>
  <c r="A19" i="15" a="1"/>
  <c r="A203" i="15" a="1"/>
  <c r="A235" i="15" a="1"/>
  <c r="A169" i="15" a="1"/>
  <c r="A274" i="15" a="1"/>
  <c r="A164" i="15" a="1"/>
  <c r="A88" i="15" a="1"/>
  <c r="A289" i="15" a="1"/>
  <c r="A144" i="15" a="1"/>
  <c r="A214" i="15" a="1"/>
  <c r="A148" i="15" a="1"/>
  <c r="A237" i="15" a="1"/>
  <c r="A45" i="15" a="1"/>
  <c r="A83" i="15" a="1"/>
  <c r="BA243" i="15" a="1"/>
  <c r="BA260" i="15" a="1"/>
  <c r="BA66" i="15" a="1"/>
  <c r="BA223" i="15" a="1"/>
  <c r="BA286" i="15" a="1"/>
  <c r="BA51" i="15" a="1"/>
  <c r="BA145" i="15" a="1"/>
  <c r="BA294" i="15" a="1"/>
  <c r="BA213" i="15" a="1"/>
  <c r="BA208" i="15" a="1"/>
  <c r="BA160" i="15" a="1"/>
  <c r="BA302" i="15" a="1"/>
  <c r="BA155" i="15" a="1"/>
  <c r="A124" i="15" a="1"/>
  <c r="A171" i="15" a="1"/>
  <c r="A296" i="15" a="1"/>
  <c r="A303" i="15" a="1"/>
  <c r="A176" i="15" a="1"/>
  <c r="A234" i="15" a="1"/>
  <c r="A143" i="15" a="1"/>
  <c r="A291" i="15" a="1"/>
  <c r="A207" i="15" a="1"/>
  <c r="A233" i="15" a="1"/>
  <c r="A308" i="15" a="1"/>
  <c r="A60" i="15" a="1"/>
  <c r="A100" i="15" a="1"/>
  <c r="A279" i="15" a="1"/>
  <c r="A212" i="15" a="1"/>
  <c r="A125" i="15" a="1"/>
  <c r="A140" i="15" a="1"/>
  <c r="A31" i="15" a="1"/>
  <c r="A159" i="15" a="1"/>
  <c r="BA161" i="15" a="1"/>
  <c r="BA139" i="15" a="1"/>
  <c r="BA174" i="15" a="1"/>
  <c r="BA219" i="15" a="1"/>
  <c r="BA212" i="15" a="1"/>
  <c r="BA259" i="15" a="1"/>
  <c r="BA198" i="15" a="1"/>
  <c r="BA281" i="15" a="1"/>
  <c r="BA279" i="15" a="1"/>
  <c r="BA284" i="15" a="1"/>
  <c r="BA181" i="15" a="1"/>
  <c r="BA186" i="15" a="1"/>
  <c r="BA194" i="15" a="1"/>
  <c r="A292" i="15" a="1"/>
  <c r="A238" i="15" a="1"/>
  <c r="A298" i="15" a="1"/>
  <c r="A42" i="15" a="1"/>
  <c r="A222" i="15" a="1"/>
  <c r="A30" i="15" a="1"/>
  <c r="A35" i="15" a="1"/>
  <c r="A302" i="15" a="1"/>
  <c r="A41" i="15" a="1"/>
  <c r="A39" i="15" a="1"/>
  <c r="A182" i="15" a="1"/>
  <c r="A48" i="15" a="1"/>
  <c r="A78" i="15" a="1"/>
  <c r="A258" i="15" a="1"/>
  <c r="A309" i="15" a="1"/>
  <c r="A71" i="15" a="1"/>
  <c r="A47" i="15" a="1"/>
  <c r="A294" i="15" a="1"/>
  <c r="BA127" i="15" a="1"/>
  <c r="BA202" i="15" a="1"/>
  <c r="BA311" i="15" a="1"/>
  <c r="BA298" i="15" a="1"/>
  <c r="BA112" i="15" a="1"/>
  <c r="BA37" i="15" a="1"/>
  <c r="BA184" i="15" a="1"/>
  <c r="BA132" i="15" a="1"/>
  <c r="BA94" i="15" a="1"/>
  <c r="BA121" i="15" a="1"/>
  <c r="BA32" i="15" a="1"/>
  <c r="BA67" i="15" a="1"/>
  <c r="BA141" i="15" a="1"/>
  <c r="A213" i="15" a="1"/>
  <c r="A77" i="15" a="1"/>
  <c r="A307" i="15" a="1"/>
  <c r="A142" i="15" a="1"/>
  <c r="A227" i="15" a="1"/>
  <c r="A61" i="15" a="1"/>
  <c r="A118" i="15" a="1"/>
  <c r="A273" i="15" a="1"/>
  <c r="A75" i="15" a="1"/>
  <c r="A201" i="15" a="1"/>
  <c r="A177" i="15" a="1"/>
  <c r="A253" i="15" a="1"/>
  <c r="A272" i="15" a="1"/>
  <c r="A127" i="15" a="1"/>
  <c r="BA299" i="15" a="1"/>
  <c r="BA136" i="15" a="1"/>
  <c r="BA217" i="15" a="1"/>
  <c r="BA43" i="15" a="1"/>
  <c r="BA218" i="15" a="1"/>
  <c r="BA313" i="15" a="1"/>
  <c r="BA129" i="15" a="1"/>
  <c r="BA306" i="15" a="1"/>
  <c r="BA246" i="15" a="1"/>
  <c r="BA295" i="15" a="1"/>
  <c r="A220" i="15" a="1"/>
  <c r="A245" i="15" a="1"/>
  <c r="A114" i="15" a="1"/>
  <c r="A310" i="15" a="1"/>
  <c r="A76" i="15" a="1"/>
  <c r="A107" i="15" a="1"/>
  <c r="A137" i="15" a="1"/>
  <c r="A263" i="15" a="1"/>
  <c r="A278" i="15" a="1"/>
  <c r="A277" i="15" a="1"/>
  <c r="A146" i="15" a="1"/>
  <c r="A25" i="15" a="1"/>
  <c r="A290" i="15" a="1"/>
  <c r="A37" i="15" a="1"/>
  <c r="BA310" i="15" a="1"/>
  <c r="BA247" i="15" a="1"/>
  <c r="BA263" i="15" a="1"/>
  <c r="BA254" i="15" a="1"/>
  <c r="BA98" i="15" a="1"/>
  <c r="BA30" i="15" a="1"/>
  <c r="BA244" i="15" a="1"/>
  <c r="BA80" i="15" a="1"/>
  <c r="BA307" i="15" a="1"/>
  <c r="A265" i="15" a="1"/>
  <c r="A247" i="15" a="1"/>
  <c r="A186" i="15" a="1"/>
  <c r="A200" i="15" a="1"/>
  <c r="A117" i="15" a="1"/>
  <c r="A262" i="15" a="1"/>
  <c r="A24" i="15" a="1"/>
  <c r="A153" i="15" a="1"/>
  <c r="A18" i="15" a="1"/>
  <c r="A141" i="15" a="1"/>
  <c r="A204" i="15" a="1"/>
  <c r="A95" i="15" a="1"/>
  <c r="A256" i="15" a="1"/>
  <c r="A29" i="15" a="1"/>
  <c r="BA16" i="15" a="1"/>
  <c r="BA238" i="15" a="1"/>
  <c r="BA240" i="15" a="1"/>
  <c r="BA207" i="15" a="1"/>
  <c r="BA102" i="15" a="1"/>
  <c r="BA74" i="15" a="1"/>
  <c r="BA220" i="15" a="1"/>
  <c r="BA301" i="15" a="1"/>
  <c r="BA203" i="15" a="1"/>
  <c r="BA234" i="15" a="1"/>
  <c r="A236" i="15" a="1"/>
  <c r="A195" i="15" a="1"/>
  <c r="A46" i="15" a="1"/>
  <c r="A184" i="15" a="1"/>
  <c r="A271" i="15" a="1"/>
  <c r="A43" i="15" a="1"/>
  <c r="A217" i="15" a="1"/>
  <c r="A27" i="15" a="1"/>
  <c r="A103" i="15" a="1"/>
  <c r="A189" i="15" a="1"/>
  <c r="A58" i="15" a="1"/>
  <c r="A53" i="15" a="1"/>
  <c r="A104" i="15" a="1"/>
  <c r="A254" i="15" a="1"/>
  <c r="BA119" i="15" a="1"/>
  <c r="BA162" i="15" a="1"/>
  <c r="BA20" i="15" a="1"/>
  <c r="BA255" i="15" a="1"/>
  <c r="BA25" i="15" a="1"/>
  <c r="BA72" i="15" a="1"/>
  <c r="BA137" i="15" a="1"/>
  <c r="BA283" i="15" a="1"/>
  <c r="BA44" i="15" a="1"/>
  <c r="BA277" i="15" a="1"/>
  <c r="BA180" i="15" a="1"/>
  <c r="BA93" i="15" a="1"/>
  <c r="BA88" i="15" a="1"/>
  <c r="BA278" i="15" a="1"/>
  <c r="BA226" i="15" a="1"/>
  <c r="BA214" i="15" a="1"/>
  <c r="BA197" i="15" a="1"/>
  <c r="BA116" i="15" a="1"/>
  <c r="BA87" i="15" a="1"/>
  <c r="BA100" i="15" a="1"/>
  <c r="BA146" i="15" a="1"/>
  <c r="BA282" i="15" a="1"/>
  <c r="BA84" i="15" a="1"/>
  <c r="BA106" i="15" a="1"/>
  <c r="BA308" i="15" a="1"/>
  <c r="BA231" i="15" a="1"/>
  <c r="BA190" i="15" a="1"/>
  <c r="BA140" i="15" a="1"/>
  <c r="BA89" i="15" a="1"/>
  <c r="BA26" i="15" a="1"/>
  <c r="BA166" i="15" a="1"/>
  <c r="BA157" i="15" a="1"/>
  <c r="BA95" i="15" a="1"/>
  <c r="BA21" i="15" a="1"/>
  <c r="A248" i="15" a="1"/>
  <c r="A224" i="15" a="1"/>
  <c r="A299" i="15" a="1"/>
  <c r="A158" i="15" a="1"/>
  <c r="A193" i="15" a="1"/>
  <c r="A252" i="15" a="1"/>
  <c r="A192" i="15" a="1"/>
  <c r="A139" i="15" a="1"/>
  <c r="A80" i="15" a="1"/>
  <c r="A36" i="15" a="1"/>
  <c r="A280" i="15" a="1"/>
  <c r="A68" i="15" a="1"/>
  <c r="A74" i="15" a="1"/>
  <c r="A259" i="15" a="1"/>
  <c r="A116" i="15" a="1"/>
  <c r="A297" i="15" a="1"/>
  <c r="A63" i="15" a="1"/>
  <c r="BA233" i="15" a="1"/>
  <c r="BA268" i="15" a="1"/>
  <c r="BA60" i="15" a="1"/>
  <c r="BA69" i="15" a="1"/>
  <c r="BA158" i="15" a="1"/>
  <c r="BA229" i="15" a="1"/>
  <c r="BA274" i="15" a="1"/>
  <c r="A129" i="15" a="1"/>
  <c r="A312" i="15" a="1"/>
  <c r="A246" i="15" a="1"/>
  <c r="A23" i="15" a="1"/>
  <c r="A14" i="15" a="1"/>
  <c r="A92" i="15" a="1"/>
  <c r="A260" i="15" a="1"/>
  <c r="A20" i="15" a="1"/>
  <c r="A185" i="15" a="1"/>
  <c r="A268" i="15" a="1"/>
  <c r="A121" i="15" a="1"/>
  <c r="BA28" i="15" a="1"/>
  <c r="BA276" i="15" a="1"/>
  <c r="BA110" i="15" a="1"/>
  <c r="BA171" i="15" a="1"/>
  <c r="BA144" i="15" a="1"/>
  <c r="BA70" i="15" a="1"/>
  <c r="BA173" i="15" a="1"/>
  <c r="A126" i="15" a="1"/>
  <c r="A106" i="15" a="1"/>
  <c r="A199" i="15" a="1"/>
  <c r="A157" i="15" a="1"/>
  <c r="A49" i="15" a="1"/>
  <c r="A163" i="15" a="1"/>
  <c r="A211" i="15" a="1"/>
  <c r="A194" i="15" a="1"/>
  <c r="A133" i="15" a="1"/>
  <c r="A267" i="15" a="1"/>
  <c r="A69" i="15" a="1"/>
  <c r="BA113" i="15" a="1"/>
  <c r="BA164" i="15" a="1"/>
  <c r="BA275" i="15" a="1"/>
  <c r="BA47" i="15" a="1"/>
  <c r="BA204" i="15" a="1"/>
  <c r="BA40" i="15" a="1"/>
  <c r="BA232" i="15" a="1"/>
  <c r="A134" i="15" a="1"/>
  <c r="A172" i="15" a="1"/>
  <c r="A21" i="15" a="1"/>
  <c r="A226" i="15" a="1"/>
  <c r="A215" i="15" a="1"/>
  <c r="A32" i="15" a="1"/>
  <c r="A284" i="15" a="1"/>
  <c r="A178" i="15" a="1"/>
  <c r="A67" i="15" a="1"/>
  <c r="A90" i="15" a="1"/>
  <c r="A300" i="15" a="1"/>
  <c r="BA79" i="15" a="1"/>
  <c r="BA77" i="15" a="1"/>
  <c r="BA36" i="15" a="1"/>
  <c r="BA64" i="15" a="1"/>
  <c r="BA126" i="15" a="1"/>
  <c r="BA101" i="15" a="1"/>
  <c r="BA54" i="15" a="1"/>
  <c r="BA170" i="15" a="1"/>
  <c r="BA154" i="15" a="1"/>
  <c r="BA303" i="15" a="1"/>
  <c r="BA142" i="15" a="1"/>
  <c r="BA71" i="15" a="1"/>
  <c r="BA82" i="15" a="1"/>
  <c r="BA156" i="15" a="1"/>
  <c r="BA209" i="15" a="1"/>
  <c r="BA291" i="15" a="1"/>
  <c r="BA265" i="15" a="1"/>
  <c r="BA57" i="15" a="1"/>
  <c r="BA65" i="15" a="1"/>
  <c r="BA96" i="15" a="1"/>
  <c r="BA31" i="15" a="1"/>
  <c r="BA177" i="15" a="1"/>
  <c r="BA192" i="15" a="1"/>
  <c r="BA249" i="15" a="1"/>
  <c r="A208" i="15" a="1"/>
  <c r="A85" i="15" a="1"/>
  <c r="A219" i="15" a="1"/>
  <c r="A239" i="15" a="1"/>
  <c r="A55" i="15" a="1"/>
  <c r="A223" i="15" a="1"/>
  <c r="A209" i="15" a="1"/>
  <c r="A154" i="15" a="1"/>
  <c r="A65" i="15" a="1"/>
  <c r="BA147" i="15" a="1"/>
  <c r="BA17" i="15" a="1"/>
  <c r="BA290" i="15" a="1"/>
  <c r="BA86" i="15" a="1"/>
  <c r="BA189" i="15" a="1"/>
  <c r="BA118" i="15" a="1"/>
  <c r="BA230" i="15" a="1"/>
  <c r="A231" i="15" a="1"/>
  <c r="A120" i="15" a="1"/>
  <c r="A17" i="15" a="1"/>
  <c r="A93" i="15" a="1"/>
  <c r="A64" i="15" a="1"/>
  <c r="A250" i="15" a="1"/>
  <c r="A33" i="15" a="1"/>
  <c r="A112" i="15" a="1"/>
  <c r="A282" i="15" a="1"/>
  <c r="A244" i="15" a="1"/>
  <c r="BA108" i="15" a="1"/>
  <c r="BA15" i="15" a="1"/>
  <c r="BA245" i="15" a="1"/>
  <c r="BA293" i="15" a="1"/>
  <c r="BA241" i="15" a="1"/>
  <c r="BA236" i="15" a="1"/>
  <c r="BA257" i="15" a="1"/>
  <c r="BA215" i="15" a="1"/>
  <c r="A168" i="15" a="1"/>
  <c r="A96" i="15" a="1"/>
  <c r="A99" i="15" a="1"/>
  <c r="A305" i="15" a="1"/>
  <c r="A152" i="15" a="1"/>
  <c r="A242" i="15" a="1"/>
  <c r="A108" i="15" a="1"/>
  <c r="A82" i="15" a="1"/>
  <c r="A131" i="15" a="1"/>
  <c r="A59" i="15" a="1"/>
  <c r="BA135" i="15" a="1"/>
  <c r="BA105" i="15" a="1"/>
  <c r="BA210" i="15" a="1"/>
  <c r="BA33" i="15" a="1"/>
  <c r="BA261" i="15" a="1"/>
  <c r="BA163" i="15" a="1"/>
  <c r="BA24" i="15" a="1"/>
  <c r="BA250" i="15" a="1"/>
  <c r="A34" i="15" a="1"/>
  <c r="A243" i="15" a="1"/>
  <c r="A210" i="15" a="1"/>
  <c r="A50" i="15" a="1"/>
  <c r="A123" i="15" a="1"/>
  <c r="A70" i="15" a="1"/>
  <c r="A147" i="15" a="1"/>
  <c r="A105" i="15" a="1"/>
  <c r="A28" i="15" a="1"/>
  <c r="A173" i="15" a="1"/>
  <c r="BA187" i="15" a="1"/>
  <c r="BA183" i="15" a="1"/>
  <c r="BA14" i="15" a="1"/>
  <c r="BA222" i="15" a="1"/>
  <c r="BA312" i="15" a="1"/>
  <c r="BA123" i="15" a="1"/>
  <c r="BA23" i="15" a="1"/>
  <c r="BA103" i="15" a="1"/>
  <c r="BA111" i="15" a="1"/>
  <c r="BA48" i="15" a="1"/>
  <c r="BA262" i="15" a="1"/>
  <c r="BA83" i="15" a="1"/>
  <c r="BA242" i="15" a="1"/>
  <c r="BA99" i="15" a="1"/>
  <c r="BA270" i="15" a="1"/>
  <c r="BA53" i="15" a="1"/>
  <c r="BA195" i="15" a="1"/>
  <c r="BA153" i="15" a="1"/>
  <c r="BA124" i="15" a="1"/>
  <c r="BA22" i="15" a="1"/>
  <c r="BA225" i="15" a="1"/>
  <c r="BA52" i="15" a="1"/>
  <c r="BA188" i="15" a="1"/>
  <c r="BA18" i="15" a="1"/>
  <c r="BA45" i="15" a="1"/>
  <c r="A188" i="15" a="1"/>
  <c r="A196" i="15" a="1"/>
  <c r="A62" i="15" a="1"/>
  <c r="A98" i="15" a="1"/>
  <c r="A287" i="15" a="1"/>
  <c r="A190" i="15" a="1"/>
  <c r="A288" i="15" a="1"/>
  <c r="A119" i="15" a="1"/>
  <c r="BA167" i="15" a="1"/>
  <c r="BA131" i="15" a="1"/>
  <c r="BA128" i="15" a="1"/>
  <c r="BA75" i="15" a="1"/>
  <c r="BA120" i="15" a="1"/>
  <c r="BA168" i="15" a="1"/>
  <c r="BA49" i="15" a="1"/>
  <c r="BA288" i="15" a="1"/>
  <c r="A81" i="15" a="1"/>
  <c r="A229" i="15" a="1"/>
  <c r="A180" i="15" a="1"/>
  <c r="A206" i="15" a="1"/>
  <c r="A295" i="15" a="1"/>
  <c r="A166" i="15" a="1"/>
  <c r="A66" i="15" a="1"/>
  <c r="A255" i="15" a="1"/>
  <c r="A187" i="15" a="1"/>
  <c r="A150" i="15" a="1"/>
  <c r="BA42" i="15" a="1"/>
  <c r="BA55" i="15" a="1"/>
  <c r="BA305" i="15" a="1"/>
  <c r="BA150" i="15" a="1"/>
  <c r="BA178" i="15" a="1"/>
  <c r="BA115" i="15" a="1"/>
  <c r="BA201" i="15" a="1"/>
  <c r="BA314" i="15" a="1"/>
  <c r="A261" i="15" a="1"/>
  <c r="A151" i="15" a="1"/>
  <c r="A111" i="15" a="1"/>
  <c r="A269" i="15" a="1"/>
  <c r="A102" i="15" a="1"/>
  <c r="A276" i="15" a="1"/>
  <c r="A232" i="15" a="1"/>
  <c r="A293" i="15" a="1"/>
  <c r="A94" i="15" a="1"/>
  <c r="A13" i="15" a="1"/>
  <c r="BA251" i="15" a="1"/>
  <c r="BA29" i="15" a="1"/>
  <c r="BA76" i="15" a="1"/>
  <c r="BA125" i="15" a="1"/>
  <c r="BA19" i="15" a="1"/>
  <c r="BA273" i="15" a="1"/>
  <c r="BA179" i="15" a="1"/>
  <c r="A179" i="15" a="1"/>
  <c r="A57" i="15" a="1"/>
  <c r="A311" i="15" a="1"/>
  <c r="A285" i="15" a="1"/>
  <c r="A286" i="15" a="1"/>
  <c r="A51" i="15" a="1"/>
  <c r="A101" i="15" a="1"/>
  <c r="A205" i="15" a="1"/>
  <c r="A181" i="15" a="1"/>
  <c r="A135" i="15" a="1"/>
  <c r="A161" i="15" a="1"/>
  <c r="BA264" i="15" a="1"/>
  <c r="BA199" i="15" a="1"/>
  <c r="BA185" i="15" a="1"/>
  <c r="BA117" i="15" a="1"/>
  <c r="BA258" i="15" a="1"/>
  <c r="BA300" i="15" a="1"/>
  <c r="BA280" i="15" a="1"/>
  <c r="BA169" i="15" a="1"/>
  <c r="BA91" i="15" a="1"/>
  <c r="BA200" i="15" a="1"/>
  <c r="BA253" i="15" a="1"/>
  <c r="BA191" i="15" a="1"/>
  <c r="BA309" i="15" a="1"/>
  <c r="BA235" i="15" a="1"/>
  <c r="BA237" i="15" a="1"/>
  <c r="BA182" i="15" a="1"/>
  <c r="BA56" i="15" a="1"/>
  <c r="BA269" i="15" a="1"/>
  <c r="BA227" i="15" a="1"/>
  <c r="A138" i="15" a="1"/>
  <c r="A145" i="15" a="1"/>
  <c r="BA13" i="15" a="1"/>
  <c r="A149" i="15" a="1"/>
  <c r="A79" i="15" a="1"/>
  <c r="A156" i="15" a="1"/>
  <c r="BA252" i="15" a="1"/>
  <c r="BA134" i="15" a="1"/>
  <c r="A160" i="15" a="1"/>
  <c r="A91" i="15" a="1"/>
  <c r="A109" i="15" a="1"/>
  <c r="BA61" i="15" a="1"/>
  <c r="A162" i="15" a="1"/>
  <c r="A113" i="15" a="1"/>
  <c r="A304" i="15" a="1"/>
  <c r="BA58" i="15" a="1"/>
  <c r="BA109" i="15" a="1"/>
  <c r="BA175" i="15" a="1"/>
  <c r="BA107" i="15" a="1"/>
  <c r="BA196" i="15" a="1"/>
  <c r="BA97" i="15" a="1"/>
  <c r="BA289" i="15" a="1"/>
  <c r="BA39" i="15" a="1"/>
  <c r="A270" i="15" a="1"/>
  <c r="A175" i="15" a="1"/>
  <c r="BA59" i="15" a="1"/>
  <c r="BA216" i="15" a="1"/>
  <c r="A16" i="15" a="1"/>
  <c r="A221" i="15" a="1"/>
  <c r="A136" i="15" a="1"/>
  <c r="BA221" i="15" a="1"/>
  <c r="BA228" i="15" a="1"/>
  <c r="A170" i="15" a="1"/>
  <c r="A301" i="15" a="1"/>
  <c r="BA165" i="15" a="1"/>
  <c r="BA304" i="15" a="1"/>
  <c r="A87" i="15" a="1"/>
  <c r="A128" i="15" a="1"/>
  <c r="A97" i="15" a="1"/>
  <c r="BA224" i="15" a="1"/>
  <c r="BA73" i="15" a="1"/>
  <c r="BA239" i="15" a="1"/>
  <c r="BA205" i="15" a="1"/>
  <c r="BA133" i="15" a="1"/>
  <c r="BA114" i="15" a="1"/>
  <c r="BA193" i="15" a="1"/>
  <c r="BA78" i="15" a="1"/>
  <c r="A115" i="15" a="1"/>
  <c r="A56" i="15" a="1"/>
  <c r="BA267" i="15" a="1"/>
  <c r="BA172" i="15" a="1"/>
  <c r="A202" i="15" a="1"/>
  <c r="A155" i="15" a="1"/>
  <c r="A84" i="15" a="1"/>
  <c r="BA85" i="15" a="1"/>
  <c r="A26" i="15" a="1"/>
  <c r="A54" i="15" a="1"/>
  <c r="A110" i="15" a="1"/>
  <c r="BA63" i="15" a="1"/>
  <c r="BA211" i="15" a="1"/>
  <c r="A198" i="15" a="1"/>
  <c r="A197" i="15" a="1"/>
  <c r="A218" i="15" a="1"/>
  <c r="BA272" i="15" a="1"/>
  <c r="BA292" i="15" a="1"/>
  <c r="BA271" i="15" a="1"/>
  <c r="BA50" i="15" a="1"/>
  <c r="BA68" i="15" a="1"/>
  <c r="BA122" i="15" a="1"/>
  <c r="BA143" i="15" a="1"/>
  <c r="A44" i="15" a="1"/>
  <c r="A241" i="15" a="1"/>
  <c r="BA296" i="15" a="1"/>
  <c r="BA285" i="15" a="1"/>
  <c r="A86" i="15" a="1"/>
  <c r="A216" i="15" a="1"/>
  <c r="BA92" i="15" a="1"/>
  <c r="BA138" i="15" a="1"/>
  <c r="A240" i="15" a="1"/>
  <c r="A130" i="15" a="1"/>
  <c r="A228" i="15" a="1"/>
  <c r="BA159" i="15" a="1"/>
  <c r="BA35" i="15" a="1"/>
  <c r="A165" i="15" a="1"/>
  <c r="A167" i="15" a="1"/>
  <c r="BA41" i="15" a="1"/>
  <c r="BA287" i="15" a="1"/>
  <c r="BA266" i="15" a="1"/>
  <c r="BA149" i="15" a="1"/>
  <c r="BA297" i="15" a="1"/>
  <c r="BA256" i="15" a="1"/>
  <c r="BA248" i="15" a="1"/>
  <c r="BA38" i="15" a="1"/>
  <c r="BA21" i="15" l="1"/>
  <c r="CA21" i="15" s="1"/>
  <c r="CZ21" i="15" s="1"/>
  <c r="BA78" i="15"/>
  <c r="CA78" i="15" s="1"/>
  <c r="CZ78" i="15" s="1"/>
  <c r="BA39" i="15"/>
  <c r="CA39" i="15" s="1"/>
  <c r="CZ39" i="15" s="1"/>
  <c r="BA45" i="15"/>
  <c r="CA45" i="15" s="1"/>
  <c r="CZ45" i="15" s="1"/>
  <c r="BA95" i="15"/>
  <c r="CA95" i="15" s="1"/>
  <c r="CZ95" i="15" s="1"/>
  <c r="BA249" i="15"/>
  <c r="CA249" i="15" s="1"/>
  <c r="CZ249" i="15" s="1"/>
  <c r="BA38" i="15"/>
  <c r="CA38" i="15" s="1"/>
  <c r="CZ38" i="15" s="1"/>
  <c r="BA143" i="15"/>
  <c r="CA143" i="15" s="1"/>
  <c r="CZ143" i="15" s="1"/>
  <c r="BA157" i="15"/>
  <c r="CA157" i="15" s="1"/>
  <c r="CZ157" i="15" s="1"/>
  <c r="BA18" i="15"/>
  <c r="CA18" i="15" s="1"/>
  <c r="CZ18" i="15" s="1"/>
  <c r="BA192" i="15"/>
  <c r="CA192" i="15" s="1"/>
  <c r="CZ192" i="15" s="1"/>
  <c r="BA193" i="15"/>
  <c r="CA193" i="15" s="1"/>
  <c r="CZ193" i="15" s="1"/>
  <c r="BA166" i="15"/>
  <c r="CA166" i="15" s="1"/>
  <c r="CZ166" i="15" s="1"/>
  <c r="BA289" i="15"/>
  <c r="CA289" i="15" s="1"/>
  <c r="CZ289" i="15" s="1"/>
  <c r="BA188" i="15"/>
  <c r="CA188" i="15" s="1"/>
  <c r="CZ188" i="15" s="1"/>
  <c r="BA177" i="15"/>
  <c r="CA177" i="15" s="1"/>
  <c r="CZ177" i="15" s="1"/>
  <c r="BA26" i="15"/>
  <c r="CA26" i="15" s="1"/>
  <c r="CZ26" i="15" s="1"/>
  <c r="BA248" i="15"/>
  <c r="CA248" i="15" s="1"/>
  <c r="CZ248" i="15" s="1"/>
  <c r="BA122" i="15"/>
  <c r="CA122" i="15" s="1"/>
  <c r="CZ122" i="15" s="1"/>
  <c r="BA52" i="15"/>
  <c r="CA52" i="15" s="1"/>
  <c r="CZ52" i="15" s="1"/>
  <c r="BA89" i="15"/>
  <c r="CA89" i="15" s="1"/>
  <c r="CZ89" i="15" s="1"/>
  <c r="BA31" i="15"/>
  <c r="CA31" i="15" s="1"/>
  <c r="CZ31" i="15" s="1"/>
  <c r="BA114" i="15"/>
  <c r="CA114" i="15" s="1"/>
  <c r="CZ114" i="15" s="1"/>
  <c r="BA97" i="15"/>
  <c r="CA97" i="15" s="1"/>
  <c r="CZ97" i="15" s="1"/>
  <c r="BA140" i="15"/>
  <c r="CA140" i="15" s="1"/>
  <c r="CZ140" i="15" s="1"/>
  <c r="BA225" i="15"/>
  <c r="CA225" i="15" s="1"/>
  <c r="CZ225" i="15" s="1"/>
  <c r="BA96" i="15"/>
  <c r="CA96" i="15" s="1"/>
  <c r="CZ96" i="15" s="1"/>
  <c r="BA256" i="15"/>
  <c r="CA256" i="15" s="1"/>
  <c r="CZ256" i="15" s="1"/>
  <c r="BA190" i="15"/>
  <c r="CA190" i="15" s="1"/>
  <c r="CZ190" i="15" s="1"/>
  <c r="BA68" i="15"/>
  <c r="CA68" i="15" s="1"/>
  <c r="CZ68" i="15" s="1"/>
  <c r="BA22" i="15"/>
  <c r="CA22" i="15" s="1"/>
  <c r="CZ22" i="15" s="1"/>
  <c r="BA65" i="15"/>
  <c r="CA65" i="15" s="1"/>
  <c r="CZ65" i="15" s="1"/>
  <c r="BA231" i="15"/>
  <c r="CA231" i="15" s="1"/>
  <c r="CZ231" i="15" s="1"/>
  <c r="BA133" i="15"/>
  <c r="CA133" i="15" s="1"/>
  <c r="CZ133" i="15" s="1"/>
  <c r="BA227" i="15"/>
  <c r="CA227" i="15" s="1"/>
  <c r="CZ227" i="15" s="1"/>
  <c r="BA124" i="15"/>
  <c r="CA124" i="15" s="1"/>
  <c r="CZ124" i="15" s="1"/>
  <c r="BA308" i="15"/>
  <c r="CA308" i="15" s="1"/>
  <c r="CZ308" i="15" s="1"/>
  <c r="BA57" i="15"/>
  <c r="CA57" i="15" s="1"/>
  <c r="CZ57" i="15" s="1"/>
  <c r="BA196" i="15"/>
  <c r="CA196" i="15" s="1"/>
  <c r="CZ196" i="15" s="1"/>
  <c r="BA269" i="15"/>
  <c r="CA269" i="15" s="1"/>
  <c r="CZ269" i="15" s="1"/>
  <c r="BA106" i="15"/>
  <c r="CA106" i="15" s="1"/>
  <c r="CZ106" i="15" s="1"/>
  <c r="BA153" i="15"/>
  <c r="CA153" i="15" s="1"/>
  <c r="CZ153" i="15" s="1"/>
  <c r="BA265" i="15"/>
  <c r="CA265" i="15" s="1"/>
  <c r="CZ265" i="15" s="1"/>
  <c r="BA297" i="15"/>
  <c r="CA297" i="15" s="1"/>
  <c r="CZ297" i="15" s="1"/>
  <c r="BA84" i="15"/>
  <c r="CA84" i="15" s="1"/>
  <c r="CZ84" i="15" s="1"/>
  <c r="BA56" i="15"/>
  <c r="CA56" i="15" s="1"/>
  <c r="CZ56" i="15" s="1"/>
  <c r="BA195" i="15"/>
  <c r="CA195" i="15" s="1"/>
  <c r="CZ195" i="15" s="1"/>
  <c r="BA291" i="15"/>
  <c r="CA291" i="15" s="1"/>
  <c r="CZ291" i="15" s="1"/>
  <c r="BA282" i="15"/>
  <c r="CA282" i="15" s="1"/>
  <c r="CZ282" i="15" s="1"/>
  <c r="BA50" i="15"/>
  <c r="CA50" i="15" s="1"/>
  <c r="CZ50" i="15" s="1"/>
  <c r="BA182" i="15"/>
  <c r="CA182" i="15" s="1"/>
  <c r="CZ182" i="15" s="1"/>
  <c r="BA53" i="15"/>
  <c r="CA53" i="15" s="1"/>
  <c r="CZ53" i="15" s="1"/>
  <c r="BA146" i="15"/>
  <c r="CA146" i="15" s="1"/>
  <c r="CZ146" i="15" s="1"/>
  <c r="BA209" i="15"/>
  <c r="CA209" i="15" s="1"/>
  <c r="CZ209" i="15" s="1"/>
  <c r="BA205" i="15"/>
  <c r="CA205" i="15" s="1"/>
  <c r="CZ205" i="15" s="1"/>
  <c r="BA237" i="15"/>
  <c r="CA237" i="15" s="1"/>
  <c r="CZ237" i="15" s="1"/>
  <c r="BA100" i="15"/>
  <c r="CA100" i="15" s="1"/>
  <c r="CZ100" i="15" s="1"/>
  <c r="BA270" i="15"/>
  <c r="CA270" i="15" s="1"/>
  <c r="CZ270" i="15" s="1"/>
  <c r="BA156" i="15"/>
  <c r="CA156" i="15" s="1"/>
  <c r="CZ156" i="15" s="1"/>
  <c r="BA107" i="15"/>
  <c r="CA107" i="15" s="1"/>
  <c r="CZ107" i="15" s="1"/>
  <c r="BA87" i="15"/>
  <c r="CA87" i="15" s="1"/>
  <c r="CZ87" i="15" s="1"/>
  <c r="BA235" i="15"/>
  <c r="CA235" i="15" s="1"/>
  <c r="CZ235" i="15" s="1"/>
  <c r="BA99" i="15"/>
  <c r="CA99" i="15" s="1"/>
  <c r="CZ99" i="15" s="1"/>
  <c r="BA82" i="15"/>
  <c r="CA82" i="15" s="1"/>
  <c r="CZ82" i="15" s="1"/>
  <c r="BA116" i="15"/>
  <c r="CA116" i="15" s="1"/>
  <c r="CZ116" i="15" s="1"/>
  <c r="BA149" i="15"/>
  <c r="CA149" i="15" s="1"/>
  <c r="CZ149" i="15" s="1"/>
  <c r="BA309" i="15"/>
  <c r="CA309" i="15" s="1"/>
  <c r="CZ309" i="15" s="1"/>
  <c r="BA242" i="15"/>
  <c r="CA242" i="15" s="1"/>
  <c r="CZ242" i="15" s="1"/>
  <c r="BA197" i="15"/>
  <c r="CA197" i="15" s="1"/>
  <c r="CZ197" i="15" s="1"/>
  <c r="BA71" i="15"/>
  <c r="CA71" i="15" s="1"/>
  <c r="CZ71" i="15" s="1"/>
  <c r="BA271" i="15"/>
  <c r="CA271" i="15" s="1"/>
  <c r="CZ271" i="15" s="1"/>
  <c r="BA191" i="15"/>
  <c r="CA191" i="15" s="1"/>
  <c r="CZ191" i="15" s="1"/>
  <c r="BA214" i="15"/>
  <c r="CA214" i="15" s="1"/>
  <c r="CZ214" i="15" s="1"/>
  <c r="BA83" i="15"/>
  <c r="CA83" i="15" s="1"/>
  <c r="CZ83" i="15" s="1"/>
  <c r="BA142" i="15"/>
  <c r="CA142" i="15" s="1"/>
  <c r="CZ142" i="15" s="1"/>
  <c r="BA239" i="15"/>
  <c r="CA239" i="15" s="1"/>
  <c r="CZ239" i="15" s="1"/>
  <c r="BA226" i="15"/>
  <c r="CA226" i="15" s="1"/>
  <c r="CZ226" i="15" s="1"/>
  <c r="BA253" i="15"/>
  <c r="CA253" i="15" s="1"/>
  <c r="CZ253" i="15" s="1"/>
  <c r="BA262" i="15"/>
  <c r="CA262" i="15" s="1"/>
  <c r="CZ262" i="15" s="1"/>
  <c r="BA303" i="15"/>
  <c r="CA303" i="15" s="1"/>
  <c r="CZ303" i="15" s="1"/>
  <c r="BA278" i="15"/>
  <c r="CA278" i="15" s="1"/>
  <c r="CZ278" i="15" s="1"/>
  <c r="BA175" i="15"/>
  <c r="CA175" i="15" s="1"/>
  <c r="CZ175" i="15" s="1"/>
  <c r="BA200" i="15"/>
  <c r="CA200" i="15" s="1"/>
  <c r="CZ200" i="15" s="1"/>
  <c r="BA48" i="15"/>
  <c r="CA48" i="15" s="1"/>
  <c r="CZ48" i="15" s="1"/>
  <c r="BA88" i="15"/>
  <c r="CA88" i="15" s="1"/>
  <c r="CZ88" i="15" s="1"/>
  <c r="BA154" i="15"/>
  <c r="CA154" i="15" s="1"/>
  <c r="CZ154" i="15" s="1"/>
  <c r="BA266" i="15"/>
  <c r="CA266" i="15" s="1"/>
  <c r="CZ266" i="15" s="1"/>
  <c r="BA91" i="15"/>
  <c r="CA91" i="15" s="1"/>
  <c r="CZ91" i="15" s="1"/>
  <c r="BA93" i="15"/>
  <c r="CA93" i="15" s="1"/>
  <c r="CZ93" i="15" s="1"/>
  <c r="BA111" i="15"/>
  <c r="CA111" i="15" s="1"/>
  <c r="CZ111" i="15" s="1"/>
  <c r="BA170" i="15"/>
  <c r="CA170" i="15" s="1"/>
  <c r="CZ170" i="15" s="1"/>
  <c r="BA292" i="15"/>
  <c r="CA292" i="15" s="1"/>
  <c r="CZ292" i="15" s="1"/>
  <c r="BA180" i="15"/>
  <c r="CA180" i="15" s="1"/>
  <c r="CZ180" i="15" s="1"/>
  <c r="BA169" i="15"/>
  <c r="CA169" i="15" s="1"/>
  <c r="CZ169" i="15" s="1"/>
  <c r="BA103" i="15"/>
  <c r="CA103" i="15" s="1"/>
  <c r="CZ103" i="15" s="1"/>
  <c r="BA54" i="15"/>
  <c r="CA54" i="15" s="1"/>
  <c r="CZ54" i="15" s="1"/>
  <c r="BA277" i="15"/>
  <c r="CA277" i="15" s="1"/>
  <c r="CZ277" i="15" s="1"/>
  <c r="BA141" i="15"/>
  <c r="CA141" i="15" s="1"/>
  <c r="CZ141" i="15" s="1"/>
  <c r="BA73" i="15"/>
  <c r="CA73" i="15" s="1"/>
  <c r="CZ73" i="15" s="1"/>
  <c r="BA280" i="15"/>
  <c r="CA280" i="15" s="1"/>
  <c r="CZ280" i="15" s="1"/>
  <c r="BA23" i="15"/>
  <c r="CA23" i="15" s="1"/>
  <c r="CZ23" i="15" s="1"/>
  <c r="BA67" i="15"/>
  <c r="CA67" i="15" s="1"/>
  <c r="CZ67" i="15" s="1"/>
  <c r="BA44" i="15"/>
  <c r="CA44" i="15" s="1"/>
  <c r="CZ44" i="15" s="1"/>
  <c r="BA101" i="15"/>
  <c r="CA101" i="15" s="1"/>
  <c r="CZ101" i="15" s="1"/>
  <c r="BA109" i="15"/>
  <c r="CA109" i="15" s="1"/>
  <c r="CZ109" i="15" s="1"/>
  <c r="BA32" i="15"/>
  <c r="CA32" i="15" s="1"/>
  <c r="CZ32" i="15" s="1"/>
  <c r="BA300" i="15"/>
  <c r="CA300" i="15" s="1"/>
  <c r="CZ300" i="15" s="1"/>
  <c r="BA283" i="15"/>
  <c r="CA283" i="15" s="1"/>
  <c r="CZ283" i="15" s="1"/>
  <c r="BA123" i="15"/>
  <c r="CA123" i="15" s="1"/>
  <c r="CZ123" i="15" s="1"/>
  <c r="BA121" i="15"/>
  <c r="CA121" i="15" s="1"/>
  <c r="CZ121" i="15" s="1"/>
  <c r="BA126" i="15"/>
  <c r="CA126" i="15" s="1"/>
  <c r="CZ126" i="15" s="1"/>
  <c r="BA287" i="15"/>
  <c r="CA287" i="15" s="1"/>
  <c r="CZ287" i="15" s="1"/>
  <c r="BA137" i="15"/>
  <c r="CA137" i="15" s="1"/>
  <c r="CZ137" i="15" s="1"/>
  <c r="BA94" i="15"/>
  <c r="CA94" i="15" s="1"/>
  <c r="CZ94" i="15" s="1"/>
  <c r="BA258" i="15"/>
  <c r="CA258" i="15" s="1"/>
  <c r="CZ258" i="15" s="1"/>
  <c r="BA312" i="15"/>
  <c r="CA312" i="15" s="1"/>
  <c r="CZ312" i="15" s="1"/>
  <c r="BA64" i="15"/>
  <c r="CA64" i="15" s="1"/>
  <c r="CZ64" i="15" s="1"/>
  <c r="BA132" i="15"/>
  <c r="CA132" i="15" s="1"/>
  <c r="CZ132" i="15" s="1"/>
  <c r="BA72" i="15"/>
  <c r="CA72" i="15" s="1"/>
  <c r="CZ72" i="15" s="1"/>
  <c r="BA272" i="15"/>
  <c r="CA272" i="15" s="1"/>
  <c r="CZ272" i="15" s="1"/>
  <c r="BA117" i="15"/>
  <c r="CA117" i="15" s="1"/>
  <c r="CZ117" i="15" s="1"/>
  <c r="BA184" i="15"/>
  <c r="CA184" i="15" s="1"/>
  <c r="CZ184" i="15" s="1"/>
  <c r="BA222" i="15"/>
  <c r="CA222" i="15" s="1"/>
  <c r="CZ222" i="15" s="1"/>
  <c r="BA25" i="15"/>
  <c r="CA25" i="15" s="1"/>
  <c r="CZ25" i="15" s="1"/>
  <c r="BA36" i="15"/>
  <c r="CA36" i="15" s="1"/>
  <c r="CZ36" i="15" s="1"/>
  <c r="BA37" i="15"/>
  <c r="CA37" i="15" s="1"/>
  <c r="CZ37" i="15" s="1"/>
  <c r="BA224" i="15"/>
  <c r="CA224" i="15" s="1"/>
  <c r="CZ224" i="15" s="1"/>
  <c r="BA185" i="15"/>
  <c r="CA185" i="15" s="1"/>
  <c r="CZ185" i="15" s="1"/>
  <c r="BA255" i="15"/>
  <c r="CA255" i="15" s="1"/>
  <c r="CZ255" i="15" s="1"/>
  <c r="BA112" i="15"/>
  <c r="CA112" i="15" s="1"/>
  <c r="CZ112" i="15" s="1"/>
  <c r="BA14" i="15"/>
  <c r="CA14" i="15" s="1"/>
  <c r="CZ14" i="15" s="1"/>
  <c r="BA77" i="15"/>
  <c r="CA77" i="15" s="1"/>
  <c r="CZ77" i="15" s="1"/>
  <c r="BA58" i="15"/>
  <c r="CA58" i="15" s="1"/>
  <c r="CZ58" i="15" s="1"/>
  <c r="BA298" i="15"/>
  <c r="CA298" i="15" s="1"/>
  <c r="CZ298" i="15" s="1"/>
  <c r="BA20" i="15"/>
  <c r="CA20" i="15" s="1"/>
  <c r="CZ20" i="15" s="1"/>
  <c r="BA199" i="15"/>
  <c r="CA199" i="15" s="1"/>
  <c r="CZ199" i="15" s="1"/>
  <c r="BA183" i="15"/>
  <c r="CA183" i="15" s="1"/>
  <c r="CZ183" i="15" s="1"/>
  <c r="BA311" i="15"/>
  <c r="CA311" i="15" s="1"/>
  <c r="CZ311" i="15" s="1"/>
  <c r="BA79" i="15"/>
  <c r="CA79" i="15" s="1"/>
  <c r="CZ79" i="15" s="1"/>
  <c r="BA162" i="15"/>
  <c r="CA162" i="15" s="1"/>
  <c r="CZ162" i="15" s="1"/>
  <c r="BA41" i="15"/>
  <c r="CA41" i="15" s="1"/>
  <c r="CZ41" i="15" s="1"/>
  <c r="BA202" i="15"/>
  <c r="CA202" i="15" s="1"/>
  <c r="CZ202" i="15" s="1"/>
  <c r="BA264" i="15"/>
  <c r="CA264" i="15" s="1"/>
  <c r="CZ264" i="15" s="1"/>
  <c r="BA187" i="15"/>
  <c r="CA187" i="15" s="1"/>
  <c r="CZ187" i="15" s="1"/>
  <c r="BA119" i="15"/>
  <c r="CA119" i="15" s="1"/>
  <c r="CZ119" i="15" s="1"/>
  <c r="BA127" i="15"/>
  <c r="CA127" i="15" s="1"/>
  <c r="CZ127" i="15" s="1"/>
  <c r="A300" i="15"/>
  <c r="AA300" i="15" s="1"/>
  <c r="AZ300" i="15" s="1"/>
  <c r="A218" i="15"/>
  <c r="AA218" i="15" s="1"/>
  <c r="AZ218" i="15" s="1"/>
  <c r="A161" i="15"/>
  <c r="AA161" i="15" s="1"/>
  <c r="AZ161" i="15" s="1"/>
  <c r="A294" i="15"/>
  <c r="AA294" i="15" s="1"/>
  <c r="AZ294" i="15" s="1"/>
  <c r="A254" i="15"/>
  <c r="AA254" i="15" s="1"/>
  <c r="AZ254" i="15" s="1"/>
  <c r="A173" i="15"/>
  <c r="AA173" i="15" s="1"/>
  <c r="AZ173" i="15" s="1"/>
  <c r="A90" i="15"/>
  <c r="AA90" i="15" s="1"/>
  <c r="AZ90" i="15" s="1"/>
  <c r="A47" i="15"/>
  <c r="AA47" i="15" s="1"/>
  <c r="AZ47" i="15" s="1"/>
  <c r="A97" i="15"/>
  <c r="AA97" i="15" s="1"/>
  <c r="AZ97" i="15" s="1"/>
  <c r="A104" i="15"/>
  <c r="AA104" i="15" s="1"/>
  <c r="AZ104" i="15" s="1"/>
  <c r="A135" i="15"/>
  <c r="AA135" i="15" s="1"/>
  <c r="AZ135" i="15" s="1"/>
  <c r="A71" i="15"/>
  <c r="AA71" i="15" s="1"/>
  <c r="AZ71" i="15" s="1"/>
  <c r="A28" i="15"/>
  <c r="AA28" i="15" s="1"/>
  <c r="AZ28" i="15" s="1"/>
  <c r="A67" i="15"/>
  <c r="AA67" i="15" s="1"/>
  <c r="AZ67" i="15" s="1"/>
  <c r="A53" i="15"/>
  <c r="AA53" i="15" s="1"/>
  <c r="AZ53" i="15" s="1"/>
  <c r="A309" i="15"/>
  <c r="AA309" i="15" s="1"/>
  <c r="AZ309" i="15" s="1"/>
  <c r="A304" i="15"/>
  <c r="AA304" i="15" s="1"/>
  <c r="AZ304" i="15" s="1"/>
  <c r="A181" i="15"/>
  <c r="AA181" i="15" s="1"/>
  <c r="AZ181" i="15" s="1"/>
  <c r="A105" i="15"/>
  <c r="AA105" i="15" s="1"/>
  <c r="AZ105" i="15" s="1"/>
  <c r="A258" i="15"/>
  <c r="AA258" i="15" s="1"/>
  <c r="AZ258" i="15" s="1"/>
  <c r="A58" i="15"/>
  <c r="AA58" i="15" s="1"/>
  <c r="AZ58" i="15" s="1"/>
  <c r="A178" i="15"/>
  <c r="AA178" i="15" s="1"/>
  <c r="AZ178" i="15" s="1"/>
  <c r="A167" i="15"/>
  <c r="AA167" i="15" s="1"/>
  <c r="AZ167" i="15" s="1"/>
  <c r="A78" i="15"/>
  <c r="AA78" i="15" s="1"/>
  <c r="AZ78" i="15" s="1"/>
  <c r="A205" i="15"/>
  <c r="AA205" i="15" s="1"/>
  <c r="AZ205" i="15" s="1"/>
  <c r="A189" i="15"/>
  <c r="AA189" i="15" s="1"/>
  <c r="AZ189" i="15" s="1"/>
  <c r="A147" i="15"/>
  <c r="AA147" i="15" s="1"/>
  <c r="AZ147" i="15" s="1"/>
  <c r="A48" i="15"/>
  <c r="AA48" i="15" s="1"/>
  <c r="AZ48" i="15" s="1"/>
  <c r="A284" i="15"/>
  <c r="AA284" i="15" s="1"/>
  <c r="AZ284" i="15" s="1"/>
  <c r="A197" i="15"/>
  <c r="AA197" i="15" s="1"/>
  <c r="AZ197" i="15" s="1"/>
  <c r="A103" i="15"/>
  <c r="AA103" i="15" s="1"/>
  <c r="AZ103" i="15" s="1"/>
  <c r="A182" i="15"/>
  <c r="AA182" i="15" s="1"/>
  <c r="AZ182" i="15" s="1"/>
  <c r="A101" i="15"/>
  <c r="AA101" i="15" s="1"/>
  <c r="AZ101" i="15" s="1"/>
  <c r="A70" i="15"/>
  <c r="AA70" i="15" s="1"/>
  <c r="AZ70" i="15" s="1"/>
  <c r="A32" i="15"/>
  <c r="AA32" i="15" s="1"/>
  <c r="AZ32" i="15" s="1"/>
  <c r="A39" i="15"/>
  <c r="AA39" i="15" s="1"/>
  <c r="AZ39" i="15" s="1"/>
  <c r="A27" i="15"/>
  <c r="AA27" i="15" s="1"/>
  <c r="AZ27" i="15" s="1"/>
  <c r="A128" i="15"/>
  <c r="AA128" i="15" s="1"/>
  <c r="AZ128" i="15" s="1"/>
  <c r="A51" i="15"/>
  <c r="AA51" i="15" s="1"/>
  <c r="AZ51" i="15" s="1"/>
  <c r="A41" i="15"/>
  <c r="AA41" i="15" s="1"/>
  <c r="AZ41" i="15" s="1"/>
  <c r="A123" i="15"/>
  <c r="AA123" i="15" s="1"/>
  <c r="AZ123" i="15" s="1"/>
  <c r="A217" i="15"/>
  <c r="AA217" i="15" s="1"/>
  <c r="AZ217" i="15" s="1"/>
  <c r="A215" i="15"/>
  <c r="AA215" i="15" s="1"/>
  <c r="AZ215" i="15" s="1"/>
  <c r="A302" i="15"/>
  <c r="AA302" i="15" s="1"/>
  <c r="AZ302" i="15" s="1"/>
  <c r="A113" i="15"/>
  <c r="AA113" i="15" s="1"/>
  <c r="AZ113" i="15" s="1"/>
  <c r="A286" i="15"/>
  <c r="AA286" i="15" s="1"/>
  <c r="AZ286" i="15" s="1"/>
  <c r="A43" i="15"/>
  <c r="AA43" i="15" s="1"/>
  <c r="AZ43" i="15" s="1"/>
  <c r="A35" i="15"/>
  <c r="AA35" i="15" s="1"/>
  <c r="AZ35" i="15" s="1"/>
  <c r="A50" i="15"/>
  <c r="AA50" i="15" s="1"/>
  <c r="AZ50" i="15" s="1"/>
  <c r="A226" i="15"/>
  <c r="AA226" i="15" s="1"/>
  <c r="AZ226" i="15" s="1"/>
  <c r="A165" i="15"/>
  <c r="AA165" i="15" s="1"/>
  <c r="AZ165" i="15" s="1"/>
  <c r="A30" i="15"/>
  <c r="AA30" i="15" s="1"/>
  <c r="AZ30" i="15" s="1"/>
  <c r="A271" i="15"/>
  <c r="AA271" i="15" s="1"/>
  <c r="AZ271" i="15" s="1"/>
  <c r="A285" i="15"/>
  <c r="AA285" i="15" s="1"/>
  <c r="AZ285" i="15" s="1"/>
  <c r="A210" i="15"/>
  <c r="AA210" i="15" s="1"/>
  <c r="AZ210" i="15" s="1"/>
  <c r="A222" i="15"/>
  <c r="AA222" i="15" s="1"/>
  <c r="AZ222" i="15" s="1"/>
  <c r="A21" i="15"/>
  <c r="AA21" i="15" s="1"/>
  <c r="AZ21" i="15" s="1"/>
  <c r="A184" i="15"/>
  <c r="AA184" i="15" s="1"/>
  <c r="AZ184" i="15" s="1"/>
  <c r="A198" i="15"/>
  <c r="AA198" i="15" s="1"/>
  <c r="AZ198" i="15" s="1"/>
  <c r="A42" i="15"/>
  <c r="AA42" i="15" s="1"/>
  <c r="AZ42" i="15" s="1"/>
  <c r="A311" i="15"/>
  <c r="AA311" i="15" s="1"/>
  <c r="AZ311" i="15" s="1"/>
  <c r="A243" i="15"/>
  <c r="AA243" i="15" s="1"/>
  <c r="AZ243" i="15" s="1"/>
  <c r="A46" i="15"/>
  <c r="AA46" i="15" s="1"/>
  <c r="AZ46" i="15" s="1"/>
  <c r="A298" i="15"/>
  <c r="AA298" i="15" s="1"/>
  <c r="AZ298" i="15" s="1"/>
  <c r="A172" i="15"/>
  <c r="AA172" i="15" s="1"/>
  <c r="AZ172" i="15" s="1"/>
  <c r="A87" i="15"/>
  <c r="AA87" i="15" s="1"/>
  <c r="AZ87" i="15" s="1"/>
  <c r="A57" i="15"/>
  <c r="AA57" i="15" s="1"/>
  <c r="AZ57" i="15" s="1"/>
  <c r="A238" i="15"/>
  <c r="AA238" i="15" s="1"/>
  <c r="AZ238" i="15" s="1"/>
  <c r="A195" i="15"/>
  <c r="AA195" i="15" s="1"/>
  <c r="AZ195" i="15" s="1"/>
  <c r="A34" i="15"/>
  <c r="AA34" i="15" s="1"/>
  <c r="AZ34" i="15" s="1"/>
  <c r="A134" i="15"/>
  <c r="AA134" i="15" s="1"/>
  <c r="AZ134" i="15" s="1"/>
  <c r="A292" i="15"/>
  <c r="AA292" i="15" s="1"/>
  <c r="AZ292" i="15" s="1"/>
  <c r="A162" i="15"/>
  <c r="AA162" i="15" s="1"/>
  <c r="AZ162" i="15" s="1"/>
  <c r="A236" i="15"/>
  <c r="AA236" i="15" s="1"/>
  <c r="AZ236" i="15" s="1"/>
  <c r="A179" i="15"/>
  <c r="AA179" i="15" s="1"/>
  <c r="AZ179" i="15" s="1"/>
  <c r="BA194" i="15"/>
  <c r="CA194" i="15" s="1"/>
  <c r="CZ194" i="15" s="1"/>
  <c r="BA250" i="15"/>
  <c r="CA250" i="15" s="1"/>
  <c r="CZ250" i="15" s="1"/>
  <c r="BA232" i="15"/>
  <c r="CA232" i="15" s="1"/>
  <c r="CZ232" i="15" s="1"/>
  <c r="BA234" i="15"/>
  <c r="CA234" i="15" s="1"/>
  <c r="CZ234" i="15" s="1"/>
  <c r="BA186" i="15"/>
  <c r="CA186" i="15" s="1"/>
  <c r="CZ186" i="15" s="1"/>
  <c r="BA35" i="15"/>
  <c r="CA35" i="15" s="1"/>
  <c r="CZ35" i="15" s="1"/>
  <c r="BA179" i="15"/>
  <c r="CA179" i="15" s="1"/>
  <c r="CZ179" i="15" s="1"/>
  <c r="BA24" i="15"/>
  <c r="CA24" i="15" s="1"/>
  <c r="CZ24" i="15" s="1"/>
  <c r="BA181" i="15"/>
  <c r="CA181" i="15" s="1"/>
  <c r="CZ181" i="15" s="1"/>
  <c r="BA203" i="15"/>
  <c r="CA203" i="15" s="1"/>
  <c r="CZ203" i="15" s="1"/>
  <c r="BA40" i="15"/>
  <c r="CA40" i="15" s="1"/>
  <c r="CZ40" i="15" s="1"/>
  <c r="BA211" i="15"/>
  <c r="CA211" i="15" s="1"/>
  <c r="CZ211" i="15" s="1"/>
  <c r="BA284" i="15"/>
  <c r="CA284" i="15" s="1"/>
  <c r="CZ284" i="15" s="1"/>
  <c r="BA273" i="15"/>
  <c r="CA273" i="15" s="1"/>
  <c r="CZ273" i="15" s="1"/>
  <c r="BA301" i="15"/>
  <c r="CA301" i="15" s="1"/>
  <c r="CZ301" i="15" s="1"/>
  <c r="BA163" i="15"/>
  <c r="CA163" i="15" s="1"/>
  <c r="CZ163" i="15" s="1"/>
  <c r="BA279" i="15"/>
  <c r="CA279" i="15" s="1"/>
  <c r="CZ279" i="15" s="1"/>
  <c r="BA204" i="15"/>
  <c r="CA204" i="15" s="1"/>
  <c r="CZ204" i="15" s="1"/>
  <c r="BA304" i="15"/>
  <c r="CA304" i="15" s="1"/>
  <c r="CZ304" i="15" s="1"/>
  <c r="BA220" i="15"/>
  <c r="CA220" i="15" s="1"/>
  <c r="CZ220" i="15" s="1"/>
  <c r="BA281" i="15"/>
  <c r="CA281" i="15" s="1"/>
  <c r="CZ281" i="15" s="1"/>
  <c r="BA19" i="15"/>
  <c r="CA19" i="15" s="1"/>
  <c r="CZ19" i="15" s="1"/>
  <c r="BA261" i="15"/>
  <c r="CA261" i="15" s="1"/>
  <c r="CZ261" i="15" s="1"/>
  <c r="BA47" i="15"/>
  <c r="CA47" i="15" s="1"/>
  <c r="CZ47" i="15" s="1"/>
  <c r="BA198" i="15"/>
  <c r="CA198" i="15" s="1"/>
  <c r="CZ198" i="15" s="1"/>
  <c r="BA74" i="15"/>
  <c r="CA74" i="15" s="1"/>
  <c r="CZ74" i="15" s="1"/>
  <c r="BA61" i="15"/>
  <c r="CA61" i="15" s="1"/>
  <c r="CZ61" i="15" s="1"/>
  <c r="BA125" i="15"/>
  <c r="CA125" i="15" s="1"/>
  <c r="CZ125" i="15" s="1"/>
  <c r="BA259" i="15"/>
  <c r="CA259" i="15" s="1"/>
  <c r="CZ259" i="15" s="1"/>
  <c r="BA33" i="15"/>
  <c r="CA33" i="15" s="1"/>
  <c r="CZ33" i="15" s="1"/>
  <c r="BA102" i="15"/>
  <c r="CA102" i="15" s="1"/>
  <c r="CZ102" i="15" s="1"/>
  <c r="BA275" i="15"/>
  <c r="CA275" i="15" s="1"/>
  <c r="CZ275" i="15" s="1"/>
  <c r="BA212" i="15"/>
  <c r="CA212" i="15" s="1"/>
  <c r="CZ212" i="15" s="1"/>
  <c r="BA159" i="15"/>
  <c r="CA159" i="15" s="1"/>
  <c r="CZ159" i="15" s="1"/>
  <c r="BA76" i="15"/>
  <c r="CA76" i="15" s="1"/>
  <c r="CZ76" i="15" s="1"/>
  <c r="BA207" i="15"/>
  <c r="CA207" i="15" s="1"/>
  <c r="CZ207" i="15" s="1"/>
  <c r="BA219" i="15"/>
  <c r="CA219" i="15" s="1"/>
  <c r="CZ219" i="15" s="1"/>
  <c r="BA210" i="15"/>
  <c r="CA210" i="15" s="1"/>
  <c r="CZ210" i="15" s="1"/>
  <c r="BA164" i="15"/>
  <c r="CA164" i="15" s="1"/>
  <c r="CZ164" i="15" s="1"/>
  <c r="BA63" i="15"/>
  <c r="CA63" i="15" s="1"/>
  <c r="CZ63" i="15" s="1"/>
  <c r="BA174" i="15"/>
  <c r="CA174" i="15" s="1"/>
  <c r="CZ174" i="15" s="1"/>
  <c r="BA240" i="15"/>
  <c r="CA240" i="15" s="1"/>
  <c r="CZ240" i="15" s="1"/>
  <c r="BA29" i="15"/>
  <c r="CA29" i="15" s="1"/>
  <c r="CZ29" i="15" s="1"/>
  <c r="BA105" i="15"/>
  <c r="CA105" i="15" s="1"/>
  <c r="CZ105" i="15" s="1"/>
  <c r="BA139" i="15"/>
  <c r="CA139" i="15" s="1"/>
  <c r="CZ139" i="15" s="1"/>
  <c r="BA113" i="15"/>
  <c r="CA113" i="15" s="1"/>
  <c r="CZ113" i="15" s="1"/>
  <c r="BA238" i="15"/>
  <c r="CA238" i="15" s="1"/>
  <c r="CZ238" i="15" s="1"/>
  <c r="BA165" i="15"/>
  <c r="CA165" i="15" s="1"/>
  <c r="CZ165" i="15" s="1"/>
  <c r="BA161" i="15"/>
  <c r="CA161" i="15" s="1"/>
  <c r="CZ161" i="15" s="1"/>
  <c r="BA251" i="15"/>
  <c r="CA251" i="15" s="1"/>
  <c r="CZ251" i="15" s="1"/>
  <c r="BA135" i="15"/>
  <c r="CA135" i="15" s="1"/>
  <c r="CZ135" i="15" s="1"/>
  <c r="BA16" i="15"/>
  <c r="CA16" i="15" s="1"/>
  <c r="CZ16" i="15" s="1"/>
  <c r="A159" i="15"/>
  <c r="AA159" i="15" s="1"/>
  <c r="AZ159" i="15" s="1"/>
  <c r="A69" i="15"/>
  <c r="AA69" i="15" s="1"/>
  <c r="AZ69" i="15" s="1"/>
  <c r="A109" i="15"/>
  <c r="AA109" i="15" s="1"/>
  <c r="AZ109" i="15" s="1"/>
  <c r="A13" i="15"/>
  <c r="AA13" i="15" s="1"/>
  <c r="A31" i="15"/>
  <c r="AA31" i="15" s="1"/>
  <c r="AZ31" i="15" s="1"/>
  <c r="A29" i="15"/>
  <c r="AA29" i="15" s="1"/>
  <c r="AZ29" i="15" s="1"/>
  <c r="A59" i="15"/>
  <c r="AA59" i="15" s="1"/>
  <c r="AZ59" i="15" s="1"/>
  <c r="A267" i="15"/>
  <c r="AA267" i="15" s="1"/>
  <c r="AZ267" i="15" s="1"/>
  <c r="A140" i="15"/>
  <c r="AA140" i="15" s="1"/>
  <c r="AZ140" i="15" s="1"/>
  <c r="A228" i="15"/>
  <c r="AA228" i="15" s="1"/>
  <c r="AZ228" i="15" s="1"/>
  <c r="A256" i="15"/>
  <c r="AA256" i="15" s="1"/>
  <c r="AZ256" i="15" s="1"/>
  <c r="A94" i="15"/>
  <c r="AA94" i="15" s="1"/>
  <c r="AZ94" i="15" s="1"/>
  <c r="A125" i="15"/>
  <c r="AA125" i="15" s="1"/>
  <c r="AZ125" i="15" s="1"/>
  <c r="A131" i="15"/>
  <c r="AA131" i="15" s="1"/>
  <c r="AZ131" i="15" s="1"/>
  <c r="A133" i="15"/>
  <c r="AA133" i="15" s="1"/>
  <c r="AZ133" i="15" s="1"/>
  <c r="A95" i="15"/>
  <c r="AA95" i="15" s="1"/>
  <c r="AZ95" i="15" s="1"/>
  <c r="A212" i="15"/>
  <c r="AA212" i="15" s="1"/>
  <c r="AZ212" i="15" s="1"/>
  <c r="A110" i="15"/>
  <c r="AA110" i="15" s="1"/>
  <c r="AZ110" i="15" s="1"/>
  <c r="A293" i="15"/>
  <c r="AA293" i="15" s="1"/>
  <c r="AZ293" i="15" s="1"/>
  <c r="A82" i="15"/>
  <c r="AA82" i="15" s="1"/>
  <c r="AZ82" i="15" s="1"/>
  <c r="A279" i="15"/>
  <c r="AA279" i="15" s="1"/>
  <c r="AZ279" i="15" s="1"/>
  <c r="A204" i="15"/>
  <c r="AA204" i="15" s="1"/>
  <c r="AZ204" i="15" s="1"/>
  <c r="A194" i="15"/>
  <c r="AA194" i="15" s="1"/>
  <c r="AZ194" i="15" s="1"/>
  <c r="A301" i="15"/>
  <c r="AA301" i="15" s="1"/>
  <c r="AZ301" i="15" s="1"/>
  <c r="A100" i="15"/>
  <c r="AA100" i="15" s="1"/>
  <c r="AZ100" i="15" s="1"/>
  <c r="A232" i="15"/>
  <c r="AA232" i="15" s="1"/>
  <c r="AZ232" i="15" s="1"/>
  <c r="A141" i="15"/>
  <c r="AA141" i="15" s="1"/>
  <c r="AZ141" i="15" s="1"/>
  <c r="A108" i="15"/>
  <c r="AA108" i="15" s="1"/>
  <c r="AZ108" i="15" s="1"/>
  <c r="A60" i="15"/>
  <c r="AA60" i="15" s="1"/>
  <c r="AZ60" i="15" s="1"/>
  <c r="A211" i="15"/>
  <c r="AA211" i="15" s="1"/>
  <c r="AZ211" i="15" s="1"/>
  <c r="A91" i="15"/>
  <c r="AA91" i="15" s="1"/>
  <c r="AZ91" i="15" s="1"/>
  <c r="A18" i="15"/>
  <c r="AA18" i="15" s="1"/>
  <c r="AZ18" i="15" s="1"/>
  <c r="A308" i="15"/>
  <c r="AA308" i="15" s="1"/>
  <c r="AZ308" i="15" s="1"/>
  <c r="A276" i="15"/>
  <c r="AA276" i="15" s="1"/>
  <c r="AZ276" i="15" s="1"/>
  <c r="A242" i="15"/>
  <c r="AA242" i="15" s="1"/>
  <c r="AZ242" i="15" s="1"/>
  <c r="A163" i="15"/>
  <c r="AA163" i="15" s="1"/>
  <c r="AZ163" i="15" s="1"/>
  <c r="A233" i="15"/>
  <c r="AA233" i="15" s="1"/>
  <c r="AZ233" i="15" s="1"/>
  <c r="A153" i="15"/>
  <c r="AA153" i="15" s="1"/>
  <c r="AZ153" i="15" s="1"/>
  <c r="A130" i="15"/>
  <c r="AA130" i="15" s="1"/>
  <c r="AZ130" i="15" s="1"/>
  <c r="A102" i="15"/>
  <c r="AA102" i="15" s="1"/>
  <c r="AZ102" i="15" s="1"/>
  <c r="A207" i="15"/>
  <c r="AA207" i="15" s="1"/>
  <c r="AZ207" i="15" s="1"/>
  <c r="A152" i="15"/>
  <c r="AA152" i="15" s="1"/>
  <c r="AZ152" i="15" s="1"/>
  <c r="A24" i="15"/>
  <c r="AA24" i="15" s="1"/>
  <c r="AZ24" i="15" s="1"/>
  <c r="A49" i="15"/>
  <c r="AA49" i="15" s="1"/>
  <c r="AZ49" i="15" s="1"/>
  <c r="A291" i="15"/>
  <c r="AA291" i="15" s="1"/>
  <c r="AZ291" i="15" s="1"/>
  <c r="A54" i="15"/>
  <c r="AA54" i="15" s="1"/>
  <c r="AZ54" i="15" s="1"/>
  <c r="A269" i="15"/>
  <c r="AA269" i="15" s="1"/>
  <c r="AZ269" i="15" s="1"/>
  <c r="A262" i="15"/>
  <c r="AA262" i="15" s="1"/>
  <c r="AZ262" i="15" s="1"/>
  <c r="A143" i="15"/>
  <c r="AA143" i="15" s="1"/>
  <c r="AZ143" i="15" s="1"/>
  <c r="A305" i="15"/>
  <c r="AA305" i="15" s="1"/>
  <c r="AZ305" i="15" s="1"/>
  <c r="A157" i="15"/>
  <c r="AA157" i="15" s="1"/>
  <c r="AZ157" i="15" s="1"/>
  <c r="A170" i="15"/>
  <c r="AA170" i="15" s="1"/>
  <c r="AZ170" i="15" s="1"/>
  <c r="A234" i="15"/>
  <c r="AA234" i="15" s="1"/>
  <c r="AZ234" i="15" s="1"/>
  <c r="A117" i="15"/>
  <c r="AA117" i="15" s="1"/>
  <c r="AZ117" i="15" s="1"/>
  <c r="A111" i="15"/>
  <c r="AA111" i="15" s="1"/>
  <c r="AZ111" i="15" s="1"/>
  <c r="A99" i="15"/>
  <c r="AA99" i="15" s="1"/>
  <c r="AZ99" i="15" s="1"/>
  <c r="A176" i="15"/>
  <c r="AA176" i="15" s="1"/>
  <c r="AZ176" i="15" s="1"/>
  <c r="A199" i="15"/>
  <c r="AA199" i="15" s="1"/>
  <c r="AZ199" i="15" s="1"/>
  <c r="A200" i="15"/>
  <c r="AA200" i="15" s="1"/>
  <c r="AZ200" i="15" s="1"/>
  <c r="A160" i="15"/>
  <c r="AA160" i="15" s="1"/>
  <c r="AZ160" i="15" s="1"/>
  <c r="A303" i="15"/>
  <c r="AA303" i="15" s="1"/>
  <c r="AZ303" i="15" s="1"/>
  <c r="A151" i="15"/>
  <c r="AA151" i="15" s="1"/>
  <c r="AZ151" i="15" s="1"/>
  <c r="A96" i="15"/>
  <c r="AA96" i="15" s="1"/>
  <c r="AZ96" i="15" s="1"/>
  <c r="A186" i="15"/>
  <c r="AA186" i="15" s="1"/>
  <c r="AZ186" i="15" s="1"/>
  <c r="A296" i="15"/>
  <c r="AA296" i="15" s="1"/>
  <c r="AZ296" i="15" s="1"/>
  <c r="A106" i="15"/>
  <c r="AA106" i="15" s="1"/>
  <c r="AZ106" i="15" s="1"/>
  <c r="A240" i="15"/>
  <c r="AA240" i="15" s="1"/>
  <c r="AZ240" i="15" s="1"/>
  <c r="A261" i="15"/>
  <c r="AA261" i="15" s="1"/>
  <c r="AZ261" i="15" s="1"/>
  <c r="A171" i="15"/>
  <c r="AA171" i="15" s="1"/>
  <c r="AZ171" i="15" s="1"/>
  <c r="A247" i="15"/>
  <c r="AA247" i="15" s="1"/>
  <c r="AZ247" i="15" s="1"/>
  <c r="A168" i="15"/>
  <c r="AA168" i="15" s="1"/>
  <c r="AZ168" i="15" s="1"/>
  <c r="A126" i="15"/>
  <c r="AA126" i="15" s="1"/>
  <c r="AZ126" i="15" s="1"/>
  <c r="A124" i="15"/>
  <c r="AA124" i="15" s="1"/>
  <c r="AZ124" i="15" s="1"/>
  <c r="A26" i="15"/>
  <c r="AA26" i="15" s="1"/>
  <c r="AZ26" i="15" s="1"/>
  <c r="A265" i="15"/>
  <c r="AA265" i="15" s="1"/>
  <c r="AZ265" i="15" s="1"/>
  <c r="BA314" i="15"/>
  <c r="BA155" i="15"/>
  <c r="CA155" i="15" s="1"/>
  <c r="CZ155" i="15" s="1"/>
  <c r="BA215" i="15"/>
  <c r="CA215" i="15" s="1"/>
  <c r="CZ215" i="15" s="1"/>
  <c r="BA173" i="15"/>
  <c r="CA173" i="15" s="1"/>
  <c r="CZ173" i="15" s="1"/>
  <c r="BA307" i="15"/>
  <c r="CA307" i="15" s="1"/>
  <c r="CZ307" i="15" s="1"/>
  <c r="BA302" i="15"/>
  <c r="CA302" i="15" s="1"/>
  <c r="CZ302" i="15" s="1"/>
  <c r="BA228" i="15"/>
  <c r="CA228" i="15" s="1"/>
  <c r="CZ228" i="15" s="1"/>
  <c r="BA201" i="15"/>
  <c r="CA201" i="15" s="1"/>
  <c r="CZ201" i="15" s="1"/>
  <c r="BA257" i="15"/>
  <c r="CA257" i="15" s="1"/>
  <c r="CZ257" i="15" s="1"/>
  <c r="BA160" i="15"/>
  <c r="CA160" i="15" s="1"/>
  <c r="CZ160" i="15" s="1"/>
  <c r="BA80" i="15"/>
  <c r="CA80" i="15" s="1"/>
  <c r="CZ80" i="15" s="1"/>
  <c r="BA70" i="15"/>
  <c r="CA70" i="15" s="1"/>
  <c r="CZ70" i="15" s="1"/>
  <c r="BA134" i="15"/>
  <c r="CA134" i="15" s="1"/>
  <c r="CZ134" i="15" s="1"/>
  <c r="BA208" i="15"/>
  <c r="CA208" i="15" s="1"/>
  <c r="CZ208" i="15" s="1"/>
  <c r="BA115" i="15"/>
  <c r="CA115" i="15" s="1"/>
  <c r="CZ115" i="15" s="1"/>
  <c r="BA244" i="15"/>
  <c r="CA244" i="15" s="1"/>
  <c r="CZ244" i="15" s="1"/>
  <c r="BA236" i="15"/>
  <c r="CA236" i="15" s="1"/>
  <c r="CZ236" i="15" s="1"/>
  <c r="BA213" i="15"/>
  <c r="CA213" i="15" s="1"/>
  <c r="CZ213" i="15" s="1"/>
  <c r="BA144" i="15"/>
  <c r="CA144" i="15" s="1"/>
  <c r="CZ144" i="15" s="1"/>
  <c r="BA138" i="15"/>
  <c r="CA138" i="15" s="1"/>
  <c r="CZ138" i="15" s="1"/>
  <c r="BA30" i="15"/>
  <c r="CA30" i="15" s="1"/>
  <c r="CZ30" i="15" s="1"/>
  <c r="BA294" i="15"/>
  <c r="CA294" i="15" s="1"/>
  <c r="CZ294" i="15" s="1"/>
  <c r="BA178" i="15"/>
  <c r="CA178" i="15" s="1"/>
  <c r="CZ178" i="15" s="1"/>
  <c r="BA241" i="15"/>
  <c r="CA241" i="15" s="1"/>
  <c r="CZ241" i="15" s="1"/>
  <c r="BA171" i="15"/>
  <c r="CA171" i="15" s="1"/>
  <c r="CZ171" i="15" s="1"/>
  <c r="BA145" i="15"/>
  <c r="CA145" i="15" s="1"/>
  <c r="CZ145" i="15" s="1"/>
  <c r="BA98" i="15"/>
  <c r="CA98" i="15" s="1"/>
  <c r="CZ98" i="15" s="1"/>
  <c r="BA85" i="15"/>
  <c r="CA85" i="15" s="1"/>
  <c r="CZ85" i="15" s="1"/>
  <c r="BA150" i="15"/>
  <c r="CA150" i="15" s="1"/>
  <c r="CZ150" i="15" s="1"/>
  <c r="BA51" i="15"/>
  <c r="CA51" i="15" s="1"/>
  <c r="CZ51" i="15" s="1"/>
  <c r="BA293" i="15"/>
  <c r="CA293" i="15" s="1"/>
  <c r="CZ293" i="15" s="1"/>
  <c r="BA254" i="15"/>
  <c r="CA254" i="15" s="1"/>
  <c r="CZ254" i="15" s="1"/>
  <c r="BA110" i="15"/>
  <c r="CA110" i="15" s="1"/>
  <c r="CZ110" i="15" s="1"/>
  <c r="BA286" i="15"/>
  <c r="CA286" i="15" s="1"/>
  <c r="CZ286" i="15" s="1"/>
  <c r="BA221" i="15"/>
  <c r="CA221" i="15" s="1"/>
  <c r="CZ221" i="15" s="1"/>
  <c r="BA305" i="15"/>
  <c r="CA305" i="15" s="1"/>
  <c r="CZ305" i="15" s="1"/>
  <c r="BA263" i="15"/>
  <c r="CA263" i="15" s="1"/>
  <c r="CZ263" i="15" s="1"/>
  <c r="BA223" i="15"/>
  <c r="CA223" i="15" s="1"/>
  <c r="CZ223" i="15" s="1"/>
  <c r="BA245" i="15"/>
  <c r="CA245" i="15" s="1"/>
  <c r="CZ245" i="15" s="1"/>
  <c r="BA276" i="15"/>
  <c r="CA276" i="15" s="1"/>
  <c r="CZ276" i="15" s="1"/>
  <c r="BA252" i="15"/>
  <c r="CA252" i="15" s="1"/>
  <c r="CZ252" i="15" s="1"/>
  <c r="BA66" i="15"/>
  <c r="CA66" i="15" s="1"/>
  <c r="CZ66" i="15" s="1"/>
  <c r="BA247" i="15"/>
  <c r="CA247" i="15" s="1"/>
  <c r="CZ247" i="15" s="1"/>
  <c r="BA55" i="15"/>
  <c r="CA55" i="15" s="1"/>
  <c r="CZ55" i="15" s="1"/>
  <c r="BA15" i="15"/>
  <c r="CA15" i="15" s="1"/>
  <c r="CZ15" i="15" s="1"/>
  <c r="BA260" i="15"/>
  <c r="CA260" i="15" s="1"/>
  <c r="CZ260" i="15" s="1"/>
  <c r="BA28" i="15"/>
  <c r="CA28" i="15" s="1"/>
  <c r="CZ28" i="15" s="1"/>
  <c r="BA310" i="15"/>
  <c r="CA310" i="15" s="1"/>
  <c r="CZ310" i="15" s="1"/>
  <c r="BA92" i="15"/>
  <c r="CA92" i="15" s="1"/>
  <c r="CZ92" i="15" s="1"/>
  <c r="BA243" i="15"/>
  <c r="CA243" i="15" s="1"/>
  <c r="CZ243" i="15" s="1"/>
  <c r="BA42" i="15"/>
  <c r="CA42" i="15" s="1"/>
  <c r="CZ42" i="15" s="1"/>
  <c r="BA108" i="15"/>
  <c r="CA108" i="15" s="1"/>
  <c r="CZ108" i="15" s="1"/>
  <c r="A37" i="15"/>
  <c r="AA37" i="15" s="1"/>
  <c r="AZ37" i="15" s="1"/>
  <c r="A83" i="15"/>
  <c r="AA83" i="15" s="1"/>
  <c r="AZ83" i="15" s="1"/>
  <c r="A121" i="15"/>
  <c r="AA121" i="15" s="1"/>
  <c r="AZ121" i="15" s="1"/>
  <c r="A84" i="15"/>
  <c r="AA84" i="15" s="1"/>
  <c r="AZ84" i="15" s="1"/>
  <c r="A150" i="15"/>
  <c r="AA150" i="15" s="1"/>
  <c r="AZ150" i="15" s="1"/>
  <c r="A45" i="15"/>
  <c r="AA45" i="15" s="1"/>
  <c r="AZ45" i="15" s="1"/>
  <c r="A290" i="15"/>
  <c r="AA290" i="15" s="1"/>
  <c r="AZ290" i="15" s="1"/>
  <c r="A244" i="15"/>
  <c r="AA244" i="15" s="1"/>
  <c r="AZ244" i="15" s="1"/>
  <c r="A268" i="15"/>
  <c r="AA268" i="15" s="1"/>
  <c r="AZ268" i="15" s="1"/>
  <c r="A237" i="15"/>
  <c r="AA237" i="15" s="1"/>
  <c r="AZ237" i="15" s="1"/>
  <c r="A136" i="15"/>
  <c r="AA136" i="15" s="1"/>
  <c r="AZ136" i="15" s="1"/>
  <c r="A25" i="15"/>
  <c r="AA25" i="15" s="1"/>
  <c r="AZ25" i="15" s="1"/>
  <c r="A187" i="15"/>
  <c r="AA187" i="15" s="1"/>
  <c r="AZ187" i="15" s="1"/>
  <c r="A148" i="15"/>
  <c r="AA148" i="15" s="1"/>
  <c r="AZ148" i="15" s="1"/>
  <c r="A282" i="15"/>
  <c r="AA282" i="15" s="1"/>
  <c r="AZ282" i="15" s="1"/>
  <c r="A185" i="15"/>
  <c r="AA185" i="15" s="1"/>
  <c r="AZ185" i="15" s="1"/>
  <c r="A146" i="15"/>
  <c r="AA146" i="15" s="1"/>
  <c r="AZ146" i="15" s="1"/>
  <c r="A214" i="15"/>
  <c r="AA214" i="15" s="1"/>
  <c r="AZ214" i="15" s="1"/>
  <c r="A156" i="15"/>
  <c r="AA156" i="15" s="1"/>
  <c r="AZ156" i="15" s="1"/>
  <c r="A255" i="15"/>
  <c r="AA255" i="15" s="1"/>
  <c r="AZ255" i="15" s="1"/>
  <c r="A112" i="15"/>
  <c r="AA112" i="15" s="1"/>
  <c r="AZ112" i="15" s="1"/>
  <c r="A144" i="15"/>
  <c r="AA144" i="15" s="1"/>
  <c r="AZ144" i="15" s="1"/>
  <c r="A277" i="15"/>
  <c r="AA277" i="15" s="1"/>
  <c r="AZ277" i="15" s="1"/>
  <c r="A20" i="15"/>
  <c r="AA20" i="15" s="1"/>
  <c r="AZ20" i="15" s="1"/>
  <c r="A216" i="15"/>
  <c r="AA216" i="15" s="1"/>
  <c r="AZ216" i="15" s="1"/>
  <c r="A289" i="15"/>
  <c r="AA289" i="15" s="1"/>
  <c r="AZ289" i="15" s="1"/>
  <c r="A66" i="15"/>
  <c r="AA66" i="15" s="1"/>
  <c r="AZ66" i="15" s="1"/>
  <c r="A278" i="15"/>
  <c r="AA278" i="15" s="1"/>
  <c r="AZ278" i="15" s="1"/>
  <c r="A33" i="15"/>
  <c r="AA33" i="15" s="1"/>
  <c r="AZ33" i="15" s="1"/>
  <c r="A88" i="15"/>
  <c r="AA88" i="15" s="1"/>
  <c r="AZ88" i="15" s="1"/>
  <c r="A260" i="15"/>
  <c r="AA260" i="15" s="1"/>
  <c r="AZ260" i="15" s="1"/>
  <c r="A155" i="15"/>
  <c r="AA155" i="15" s="1"/>
  <c r="AZ155" i="15" s="1"/>
  <c r="A263" i="15"/>
  <c r="AA263" i="15" s="1"/>
  <c r="AZ263" i="15" s="1"/>
  <c r="A164" i="15"/>
  <c r="AA164" i="15" s="1"/>
  <c r="AZ164" i="15" s="1"/>
  <c r="A166" i="15"/>
  <c r="AA166" i="15" s="1"/>
  <c r="AZ166" i="15" s="1"/>
  <c r="A250" i="15"/>
  <c r="AA250" i="15" s="1"/>
  <c r="AZ250" i="15" s="1"/>
  <c r="A92" i="15"/>
  <c r="AA92" i="15" s="1"/>
  <c r="AZ92" i="15" s="1"/>
  <c r="A274" i="15"/>
  <c r="AA274" i="15" s="1"/>
  <c r="AZ274" i="15" s="1"/>
  <c r="A137" i="15"/>
  <c r="AA137" i="15" s="1"/>
  <c r="AZ137" i="15" s="1"/>
  <c r="A221" i="15"/>
  <c r="AA221" i="15" s="1"/>
  <c r="AZ221" i="15" s="1"/>
  <c r="A295" i="15"/>
  <c r="AA295" i="15" s="1"/>
  <c r="AZ295" i="15" s="1"/>
  <c r="A169" i="15"/>
  <c r="AA169" i="15" s="1"/>
  <c r="AZ169" i="15" s="1"/>
  <c r="A64" i="15"/>
  <c r="AA64" i="15" s="1"/>
  <c r="AZ64" i="15" s="1"/>
  <c r="A107" i="15"/>
  <c r="AA107" i="15" s="1"/>
  <c r="AZ107" i="15" s="1"/>
  <c r="A14" i="15"/>
  <c r="AA14" i="15" s="1"/>
  <c r="AZ14" i="15" s="1"/>
  <c r="A235" i="15"/>
  <c r="AA235" i="15" s="1"/>
  <c r="AZ235" i="15" s="1"/>
  <c r="A79" i="15"/>
  <c r="AA79" i="15" s="1"/>
  <c r="AZ79" i="15" s="1"/>
  <c r="A206" i="15"/>
  <c r="AA206" i="15" s="1"/>
  <c r="AZ206" i="15" s="1"/>
  <c r="A76" i="15"/>
  <c r="AA76" i="15" s="1"/>
  <c r="AZ76" i="15" s="1"/>
  <c r="A203" i="15"/>
  <c r="AA203" i="15" s="1"/>
  <c r="AZ203" i="15" s="1"/>
  <c r="A93" i="15"/>
  <c r="AA93" i="15" s="1"/>
  <c r="AZ93" i="15" s="1"/>
  <c r="A23" i="15"/>
  <c r="AA23" i="15" s="1"/>
  <c r="AZ23" i="15" s="1"/>
  <c r="A86" i="15"/>
  <c r="AA86" i="15" s="1"/>
  <c r="AZ86" i="15" s="1"/>
  <c r="A19" i="15"/>
  <c r="AA19" i="15" s="1"/>
  <c r="AZ19" i="15" s="1"/>
  <c r="A310" i="15"/>
  <c r="AA310" i="15" s="1"/>
  <c r="AZ310" i="15" s="1"/>
  <c r="A180" i="15"/>
  <c r="AA180" i="15" s="1"/>
  <c r="AZ180" i="15" s="1"/>
  <c r="A17" i="15"/>
  <c r="AA17" i="15" s="1"/>
  <c r="AZ17" i="15" s="1"/>
  <c r="A281" i="15"/>
  <c r="AA281" i="15" s="1"/>
  <c r="AZ281" i="15" s="1"/>
  <c r="A246" i="15"/>
  <c r="AA246" i="15" s="1"/>
  <c r="AZ246" i="15" s="1"/>
  <c r="A114" i="15"/>
  <c r="AA114" i="15" s="1"/>
  <c r="AZ114" i="15" s="1"/>
  <c r="A202" i="15"/>
  <c r="AA202" i="15" s="1"/>
  <c r="AZ202" i="15" s="1"/>
  <c r="A191" i="15"/>
  <c r="AA191" i="15" s="1"/>
  <c r="AZ191" i="15" s="1"/>
  <c r="A229" i="15"/>
  <c r="AA229" i="15" s="1"/>
  <c r="AZ229" i="15" s="1"/>
  <c r="A120" i="15"/>
  <c r="AA120" i="15" s="1"/>
  <c r="AZ120" i="15" s="1"/>
  <c r="A245" i="15"/>
  <c r="AA245" i="15" s="1"/>
  <c r="AZ245" i="15" s="1"/>
  <c r="A183" i="15"/>
  <c r="AA183" i="15" s="1"/>
  <c r="AZ183" i="15" s="1"/>
  <c r="A312" i="15"/>
  <c r="AA312" i="15" s="1"/>
  <c r="AZ312" i="15" s="1"/>
  <c r="A16" i="15"/>
  <c r="AA16" i="15" s="1"/>
  <c r="AZ16" i="15" s="1"/>
  <c r="A81" i="15"/>
  <c r="AA81" i="15" s="1"/>
  <c r="AZ81" i="15" s="1"/>
  <c r="A38" i="15"/>
  <c r="AA38" i="15" s="1"/>
  <c r="AZ38" i="15" s="1"/>
  <c r="A220" i="15"/>
  <c r="AA220" i="15" s="1"/>
  <c r="AZ220" i="15" s="1"/>
  <c r="A231" i="15"/>
  <c r="AA231" i="15" s="1"/>
  <c r="AZ231" i="15" s="1"/>
  <c r="A129" i="15"/>
  <c r="AA129" i="15" s="1"/>
  <c r="AZ129" i="15" s="1"/>
  <c r="A257" i="15"/>
  <c r="AA257" i="15" s="1"/>
  <c r="AZ257" i="15" s="1"/>
  <c r="A149" i="15"/>
  <c r="AA149" i="15" s="1"/>
  <c r="AZ149" i="15" s="1"/>
  <c r="BA295" i="15"/>
  <c r="CA295" i="15" s="1"/>
  <c r="CZ295" i="15" s="1"/>
  <c r="BA288" i="15"/>
  <c r="CA288" i="15" s="1"/>
  <c r="CZ288" i="15" s="1"/>
  <c r="BA62" i="15"/>
  <c r="CA62" i="15" s="1"/>
  <c r="CZ62" i="15" s="1"/>
  <c r="BA230" i="15"/>
  <c r="CA230" i="15" s="1"/>
  <c r="CZ230" i="15" s="1"/>
  <c r="BA274" i="15"/>
  <c r="CA274" i="15" s="1"/>
  <c r="CZ274" i="15" s="1"/>
  <c r="BA246" i="15"/>
  <c r="CA246" i="15" s="1"/>
  <c r="CZ246" i="15" s="1"/>
  <c r="BA152" i="15"/>
  <c r="CA152" i="15" s="1"/>
  <c r="CZ152" i="15" s="1"/>
  <c r="BA285" i="15"/>
  <c r="CA285" i="15" s="1"/>
  <c r="CZ285" i="15" s="1"/>
  <c r="BA49" i="15"/>
  <c r="CA49" i="15" s="1"/>
  <c r="CZ49" i="15" s="1"/>
  <c r="BA118" i="15"/>
  <c r="CA118" i="15" s="1"/>
  <c r="CZ118" i="15" s="1"/>
  <c r="BA176" i="15"/>
  <c r="CA176" i="15" s="1"/>
  <c r="CZ176" i="15" s="1"/>
  <c r="BA306" i="15"/>
  <c r="CA306" i="15" s="1"/>
  <c r="CZ306" i="15" s="1"/>
  <c r="BA229" i="15"/>
  <c r="CA229" i="15" s="1"/>
  <c r="CZ229" i="15" s="1"/>
  <c r="BA172" i="15"/>
  <c r="CA172" i="15" s="1"/>
  <c r="CZ172" i="15" s="1"/>
  <c r="BA206" i="15"/>
  <c r="CA206" i="15" s="1"/>
  <c r="CZ206" i="15" s="1"/>
  <c r="BA168" i="15"/>
  <c r="CA168" i="15" s="1"/>
  <c r="CZ168" i="15" s="1"/>
  <c r="BA129" i="15"/>
  <c r="CA129" i="15" s="1"/>
  <c r="CZ129" i="15" s="1"/>
  <c r="BA189" i="15"/>
  <c r="CA189" i="15" s="1"/>
  <c r="CZ189" i="15" s="1"/>
  <c r="BA104" i="15"/>
  <c r="CA104" i="15" s="1"/>
  <c r="CZ104" i="15" s="1"/>
  <c r="BA158" i="15"/>
  <c r="CA158" i="15" s="1"/>
  <c r="CZ158" i="15" s="1"/>
  <c r="BA216" i="15"/>
  <c r="CA216" i="15" s="1"/>
  <c r="CZ216" i="15" s="1"/>
  <c r="BA313" i="15"/>
  <c r="CA313" i="15" s="1"/>
  <c r="CZ313" i="15" s="1"/>
  <c r="BA148" i="15"/>
  <c r="CA148" i="15" s="1"/>
  <c r="CZ148" i="15" s="1"/>
  <c r="BA120" i="15"/>
  <c r="CA120" i="15" s="1"/>
  <c r="CZ120" i="15" s="1"/>
  <c r="BA86" i="15"/>
  <c r="CA86" i="15" s="1"/>
  <c r="CZ86" i="15" s="1"/>
  <c r="BA69" i="15"/>
  <c r="CA69" i="15" s="1"/>
  <c r="CZ69" i="15" s="1"/>
  <c r="BA81" i="15"/>
  <c r="CA81" i="15" s="1"/>
  <c r="CZ81" i="15" s="1"/>
  <c r="BA218" i="15"/>
  <c r="CA218" i="15" s="1"/>
  <c r="CZ218" i="15" s="1"/>
  <c r="BA13" i="15"/>
  <c r="CA13" i="15" s="1"/>
  <c r="BA75" i="15"/>
  <c r="CA75" i="15" s="1"/>
  <c r="CZ75" i="15" s="1"/>
  <c r="BA34" i="15"/>
  <c r="CA34" i="15" s="1"/>
  <c r="CZ34" i="15" s="1"/>
  <c r="BA290" i="15"/>
  <c r="CA290" i="15" s="1"/>
  <c r="CZ290" i="15" s="1"/>
  <c r="BA43" i="15"/>
  <c r="CA43" i="15" s="1"/>
  <c r="CZ43" i="15" s="1"/>
  <c r="BA60" i="15"/>
  <c r="CA60" i="15" s="1"/>
  <c r="CZ60" i="15" s="1"/>
  <c r="BA151" i="15"/>
  <c r="CA151" i="15" s="1"/>
  <c r="CZ151" i="15" s="1"/>
  <c r="BA296" i="15"/>
  <c r="CA296" i="15" s="1"/>
  <c r="CZ296" i="15" s="1"/>
  <c r="BA128" i="15"/>
  <c r="CA128" i="15" s="1"/>
  <c r="CZ128" i="15" s="1"/>
  <c r="BA217" i="15"/>
  <c r="CA217" i="15" s="1"/>
  <c r="CZ217" i="15" s="1"/>
  <c r="BA90" i="15"/>
  <c r="CA90" i="15" s="1"/>
  <c r="CZ90" i="15" s="1"/>
  <c r="BA17" i="15"/>
  <c r="CA17" i="15" s="1"/>
  <c r="CZ17" i="15" s="1"/>
  <c r="BA268" i="15"/>
  <c r="CA268" i="15" s="1"/>
  <c r="CZ268" i="15" s="1"/>
  <c r="BA267" i="15"/>
  <c r="CA267" i="15" s="1"/>
  <c r="CZ267" i="15" s="1"/>
  <c r="BA27" i="15"/>
  <c r="CA27" i="15" s="1"/>
  <c r="CZ27" i="15" s="1"/>
  <c r="BA136" i="15"/>
  <c r="CA136" i="15" s="1"/>
  <c r="CZ136" i="15" s="1"/>
  <c r="BA131" i="15"/>
  <c r="CA131" i="15" s="1"/>
  <c r="CZ131" i="15" s="1"/>
  <c r="BA147" i="15"/>
  <c r="CA147" i="15" s="1"/>
  <c r="CZ147" i="15" s="1"/>
  <c r="BA130" i="15"/>
  <c r="CA130" i="15" s="1"/>
  <c r="CZ130" i="15" s="1"/>
  <c r="BA233" i="15"/>
  <c r="CA233" i="15" s="1"/>
  <c r="CZ233" i="15" s="1"/>
  <c r="BA299" i="15"/>
  <c r="CA299" i="15" s="1"/>
  <c r="CZ299" i="15" s="1"/>
  <c r="BA59" i="15"/>
  <c r="CA59" i="15" s="1"/>
  <c r="CZ59" i="15" s="1"/>
  <c r="BA46" i="15"/>
  <c r="CA46" i="15" s="1"/>
  <c r="CZ46" i="15" s="1"/>
  <c r="BA167" i="15"/>
  <c r="CA167" i="15" s="1"/>
  <c r="CZ167" i="15" s="1"/>
  <c r="A65" i="15"/>
  <c r="AA65" i="15" s="1"/>
  <c r="AZ65" i="15" s="1"/>
  <c r="A127" i="15"/>
  <c r="AA127" i="15" s="1"/>
  <c r="AZ127" i="15" s="1"/>
  <c r="A72" i="15"/>
  <c r="AA72" i="15" s="1"/>
  <c r="AZ72" i="15" s="1"/>
  <c r="A63" i="15"/>
  <c r="AA63" i="15" s="1"/>
  <c r="AZ63" i="15" s="1"/>
  <c r="A145" i="15"/>
  <c r="AA145" i="15" s="1"/>
  <c r="AZ145" i="15" s="1"/>
  <c r="A119" i="15"/>
  <c r="AA119" i="15" s="1"/>
  <c r="AZ119" i="15" s="1"/>
  <c r="A52" i="15"/>
  <c r="AA52" i="15" s="1"/>
  <c r="AZ52" i="15" s="1"/>
  <c r="A272" i="15"/>
  <c r="AA272" i="15" s="1"/>
  <c r="AZ272" i="15" s="1"/>
  <c r="A154" i="15"/>
  <c r="AA154" i="15" s="1"/>
  <c r="AZ154" i="15" s="1"/>
  <c r="A297" i="15"/>
  <c r="AA297" i="15" s="1"/>
  <c r="AZ297" i="15" s="1"/>
  <c r="A174" i="15"/>
  <c r="AA174" i="15" s="1"/>
  <c r="AZ174" i="15" s="1"/>
  <c r="A241" i="15"/>
  <c r="AA241" i="15" s="1"/>
  <c r="AZ241" i="15" s="1"/>
  <c r="A253" i="15"/>
  <c r="AA253" i="15" s="1"/>
  <c r="AZ253" i="15" s="1"/>
  <c r="A288" i="15"/>
  <c r="AA288" i="15" s="1"/>
  <c r="AZ288" i="15" s="1"/>
  <c r="A132" i="15"/>
  <c r="AA132" i="15" s="1"/>
  <c r="AZ132" i="15" s="1"/>
  <c r="A209" i="15"/>
  <c r="AA209" i="15" s="1"/>
  <c r="AZ209" i="15" s="1"/>
  <c r="A116" i="15"/>
  <c r="AA116" i="15" s="1"/>
  <c r="AZ116" i="15" s="1"/>
  <c r="A177" i="15"/>
  <c r="AA177" i="15" s="1"/>
  <c r="AZ177" i="15" s="1"/>
  <c r="A264" i="15"/>
  <c r="AA264" i="15" s="1"/>
  <c r="AZ264" i="15" s="1"/>
  <c r="A56" i="15"/>
  <c r="AA56" i="15" s="1"/>
  <c r="AZ56" i="15" s="1"/>
  <c r="A190" i="15"/>
  <c r="AA190" i="15" s="1"/>
  <c r="AZ190" i="15" s="1"/>
  <c r="A223" i="15"/>
  <c r="AA223" i="15" s="1"/>
  <c r="AZ223" i="15" s="1"/>
  <c r="A225" i="15"/>
  <c r="AA225" i="15" s="1"/>
  <c r="AZ225" i="15" s="1"/>
  <c r="A201" i="15"/>
  <c r="AA201" i="15" s="1"/>
  <c r="AZ201" i="15" s="1"/>
  <c r="A259" i="15"/>
  <c r="AA259" i="15" s="1"/>
  <c r="AZ259" i="15" s="1"/>
  <c r="A175" i="15"/>
  <c r="AA175" i="15" s="1"/>
  <c r="AZ175" i="15" s="1"/>
  <c r="A283" i="15"/>
  <c r="AA283" i="15" s="1"/>
  <c r="AZ283" i="15" s="1"/>
  <c r="A287" i="15"/>
  <c r="AA287" i="15" s="1"/>
  <c r="AZ287" i="15" s="1"/>
  <c r="A75" i="15"/>
  <c r="AA75" i="15" s="1"/>
  <c r="AZ75" i="15" s="1"/>
  <c r="A55" i="15"/>
  <c r="AA55" i="15" s="1"/>
  <c r="AZ55" i="15" s="1"/>
  <c r="A266" i="15"/>
  <c r="AA266" i="15" s="1"/>
  <c r="AZ266" i="15" s="1"/>
  <c r="A74" i="15"/>
  <c r="AA74" i="15" s="1"/>
  <c r="AZ74" i="15" s="1"/>
  <c r="A139" i="15"/>
  <c r="AA139" i="15" s="1"/>
  <c r="AZ139" i="15" s="1"/>
  <c r="A273" i="15"/>
  <c r="AA273" i="15" s="1"/>
  <c r="AZ273" i="15" s="1"/>
  <c r="A251" i="15"/>
  <c r="AA251" i="15" s="1"/>
  <c r="AZ251" i="15" s="1"/>
  <c r="A138" i="15"/>
  <c r="AA138" i="15" s="1"/>
  <c r="AZ138" i="15" s="1"/>
  <c r="A98" i="15"/>
  <c r="AA98" i="15" s="1"/>
  <c r="AZ98" i="15" s="1"/>
  <c r="A192" i="15"/>
  <c r="AA192" i="15" s="1"/>
  <c r="AZ192" i="15" s="1"/>
  <c r="A40" i="15"/>
  <c r="AA40" i="15" s="1"/>
  <c r="AZ40" i="15" s="1"/>
  <c r="A118" i="15"/>
  <c r="AA118" i="15" s="1"/>
  <c r="AZ118" i="15" s="1"/>
  <c r="A239" i="15"/>
  <c r="AA239" i="15" s="1"/>
  <c r="AZ239" i="15" s="1"/>
  <c r="A68" i="15"/>
  <c r="AA68" i="15" s="1"/>
  <c r="AZ68" i="15" s="1"/>
  <c r="A73" i="15"/>
  <c r="AA73" i="15" s="1"/>
  <c r="AZ73" i="15" s="1"/>
  <c r="A252" i="15"/>
  <c r="AA252" i="15" s="1"/>
  <c r="AZ252" i="15" s="1"/>
  <c r="A61" i="15"/>
  <c r="AA61" i="15" s="1"/>
  <c r="AZ61" i="15" s="1"/>
  <c r="A44" i="15"/>
  <c r="AA44" i="15" s="1"/>
  <c r="AZ44" i="15" s="1"/>
  <c r="A15" i="15"/>
  <c r="AA15" i="15" s="1"/>
  <c r="AZ15" i="15" s="1"/>
  <c r="A62" i="15"/>
  <c r="AA62" i="15" s="1"/>
  <c r="AZ62" i="15" s="1"/>
  <c r="A193" i="15"/>
  <c r="AA193" i="15" s="1"/>
  <c r="AZ193" i="15" s="1"/>
  <c r="A227" i="15"/>
  <c r="AA227" i="15" s="1"/>
  <c r="AZ227" i="15" s="1"/>
  <c r="A89" i="15"/>
  <c r="AA89" i="15" s="1"/>
  <c r="AZ89" i="15" s="1"/>
  <c r="A219" i="15"/>
  <c r="AA219" i="15" s="1"/>
  <c r="AZ219" i="15" s="1"/>
  <c r="A280" i="15"/>
  <c r="AA280" i="15" s="1"/>
  <c r="AZ280" i="15" s="1"/>
  <c r="A158" i="15"/>
  <c r="AA158" i="15" s="1"/>
  <c r="AZ158" i="15" s="1"/>
  <c r="A249" i="15"/>
  <c r="AA249" i="15" s="1"/>
  <c r="AZ249" i="15" s="1"/>
  <c r="A142" i="15"/>
  <c r="AA142" i="15" s="1"/>
  <c r="AZ142" i="15" s="1"/>
  <c r="A115" i="15"/>
  <c r="AA115" i="15" s="1"/>
  <c r="AZ115" i="15" s="1"/>
  <c r="A196" i="15"/>
  <c r="AA196" i="15" s="1"/>
  <c r="AZ196" i="15" s="1"/>
  <c r="A275" i="15"/>
  <c r="AA275" i="15" s="1"/>
  <c r="AZ275" i="15" s="1"/>
  <c r="A299" i="15"/>
  <c r="AA299" i="15" s="1"/>
  <c r="AZ299" i="15" s="1"/>
  <c r="A307" i="15"/>
  <c r="AA307" i="15" s="1"/>
  <c r="AZ307" i="15" s="1"/>
  <c r="A85" i="15"/>
  <c r="AA85" i="15" s="1"/>
  <c r="AZ85" i="15" s="1"/>
  <c r="A230" i="15"/>
  <c r="AA230" i="15" s="1"/>
  <c r="AZ230" i="15" s="1"/>
  <c r="A36" i="15"/>
  <c r="AA36" i="15" s="1"/>
  <c r="AZ36" i="15" s="1"/>
  <c r="A224" i="15"/>
  <c r="AA224" i="15" s="1"/>
  <c r="AZ224" i="15" s="1"/>
  <c r="A77" i="15"/>
  <c r="AA77" i="15" s="1"/>
  <c r="AZ77" i="15" s="1"/>
  <c r="A306" i="15"/>
  <c r="AA306" i="15" s="1"/>
  <c r="AZ306" i="15" s="1"/>
  <c r="A270" i="15"/>
  <c r="AA270" i="15" s="1"/>
  <c r="AZ270" i="15" s="1"/>
  <c r="A188" i="15"/>
  <c r="AA188" i="15" s="1"/>
  <c r="AZ188" i="15" s="1"/>
  <c r="A248" i="15"/>
  <c r="AA248" i="15" s="1"/>
  <c r="AZ248" i="15" s="1"/>
  <c r="A122" i="15"/>
  <c r="AA122" i="15" s="1"/>
  <c r="AZ122" i="15" s="1"/>
  <c r="A213" i="15"/>
  <c r="AA213" i="15" s="1"/>
  <c r="AZ213" i="15" s="1"/>
  <c r="A208" i="15"/>
  <c r="AA208" i="15" s="1"/>
  <c r="AZ208" i="15" s="1"/>
  <c r="A80" i="15"/>
  <c r="AA80" i="15" s="1"/>
  <c r="AZ80" i="15" s="1"/>
  <c r="A22" i="15"/>
  <c r="AA22" i="15" s="1"/>
  <c r="AZ22" i="15" s="1"/>
  <c r="BO13" i="1"/>
  <c r="BC13" i="1"/>
  <c r="AZ13" i="15" l="1"/>
  <c r="BB13" i="15"/>
  <c r="CB13" i="15" s="1"/>
  <c r="CZ13" i="15" s="1"/>
  <c r="AD13" i="5" s="1"/>
</calcChain>
</file>

<file path=xl/comments1.xml><?xml version="1.0" encoding="utf-8"?>
<comments xmlns="http://schemas.openxmlformats.org/spreadsheetml/2006/main">
  <authors>
    <author>Jordi Castillo Quer</author>
    <author>tc={96AF6BAC-330F-433E-B389-AE1E7F4F4EB5}</author>
    <author>tc={8EB6179B-8CA5-4285-B874-36984D150177}</author>
    <author>tc={66CA2A34-59C8-4904-B8CD-5AB8A3DFD41E}</author>
    <author>tc={1007FBC6-7597-416E-8A0A-12F431B210BB}</author>
    <author>Enric Sayos LLorente</author>
  </authors>
  <commentList>
    <comment ref="A11" authorId="0" shapeId="0">
      <text>
        <r>
          <rPr>
            <b/>
            <sz val="9"/>
            <color indexed="81"/>
            <rFont val="Tahoma"/>
            <family val="2"/>
          </rPr>
          <t>Jordi Castillo Quer:</t>
        </r>
        <r>
          <rPr>
            <sz val="9"/>
            <color indexed="81"/>
            <rFont val="Tahoma"/>
            <family val="2"/>
          </rPr>
          <t xml:space="preserve">
Range will be removed since we do not need the information, we only need Field to be the exact name</t>
        </r>
      </text>
    </comment>
    <comment ref="A15"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6"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Data - each row should be parsed to create a new credential.</t>
        </r>
      </text>
    </comment>
    <comment ref="C52" authorId="0" shapeId="0">
      <text>
        <r>
          <rPr>
            <b/>
            <sz val="9"/>
            <color indexed="81"/>
            <rFont val="Tahoma"/>
            <family val="2"/>
          </rPr>
          <t>Jordi Castillo Quer:</t>
        </r>
        <r>
          <rPr>
            <sz val="9"/>
            <color indexed="81"/>
            <rFont val="Tahoma"/>
            <family val="2"/>
          </rPr>
          <t xml:space="preserve">
Dynamic with Visual Basic. Should update RangeRef with the row where the association is</t>
        </r>
      </text>
    </comment>
    <comment ref="D52" authorId="0" shapeId="0">
      <text>
        <r>
          <rPr>
            <b/>
            <sz val="9"/>
            <color indexed="81"/>
            <rFont val="Tahoma"/>
            <family val="2"/>
          </rPr>
          <t>Jordi Castillo Quer:</t>
        </r>
        <r>
          <rPr>
            <sz val="9"/>
            <color indexed="81"/>
            <rFont val="Tahoma"/>
            <family val="2"/>
          </rPr>
          <t xml:space="preserve">
Row where the association is</t>
        </r>
      </text>
    </comment>
    <comment ref="D57" authorId="5" shapeId="0">
      <text>
        <r>
          <rPr>
            <b/>
            <sz val="9"/>
            <color indexed="81"/>
            <rFont val="Tahoma"/>
            <family val="2"/>
          </rPr>
          <t>Enric Sayos LLorente:</t>
        </r>
        <r>
          <rPr>
            <sz val="9"/>
            <color indexed="81"/>
            <rFont val="Tahoma"/>
            <family val="2"/>
          </rPr>
          <t xml:space="preserve">
It is possible to insert any level of depth, and use or not the RangeProperty field</t>
        </r>
      </text>
    </comment>
    <comment ref="G58" authorId="5" shapeId="0">
      <text>
        <r>
          <rPr>
            <b/>
            <sz val="9"/>
            <color indexed="81"/>
            <rFont val="Tahoma"/>
            <family val="2"/>
          </rPr>
          <t>Enric Sayos LLorente:</t>
        </r>
        <r>
          <rPr>
            <sz val="9"/>
            <color indexed="81"/>
            <rFont val="Tahoma"/>
            <family val="2"/>
          </rPr>
          <t xml:space="preserve">
Here must be informed the type and field to be related if in other sheet. In format [TYPE.field]
</t>
        </r>
      </text>
    </comment>
    <comment ref="G60" authorId="5" shapeId="0">
      <text>
        <r>
          <rPr>
            <b/>
            <sz val="9"/>
            <color indexed="81"/>
            <rFont val="Tahoma"/>
            <family val="2"/>
          </rPr>
          <t>Enric Sayos LLorente:</t>
        </r>
        <r>
          <rPr>
            <sz val="9"/>
            <color indexed="81"/>
            <rFont val="Tahoma"/>
            <family val="2"/>
          </rPr>
          <t xml:space="preserve">
Here must be set the destination type to be associated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<sst xmlns="http://schemas.openxmlformats.org/spreadsheetml/2006/main" count="3666" uniqueCount="2529">
  <si>
    <t>CASE 1: ENTITY PROPERTY</t>
  </si>
  <si>
    <t>CASE 2: ENTITY LIST PROPERTY</t>
  </si>
  <si>
    <t>CASE 3: ENTITY OBJECT PROPERTY</t>
  </si>
  <si>
    <t>CASE 4: ENTITY OBJECT LIST</t>
  </si>
  <si>
    <t>(made up case since we have not found any case)</t>
  </si>
  <si>
    <t>Class</t>
  </si>
  <si>
    <t>VerifiableCredential</t>
  </si>
  <si>
    <t>Person</t>
  </si>
  <si>
    <t>Entitlement</t>
  </si>
  <si>
    <t>Field</t>
  </si>
  <si>
    <t>issuanceDate</t>
  </si>
  <si>
    <t>xxxx</t>
  </si>
  <si>
    <t>nationalId</t>
  </si>
  <si>
    <t>identifier</t>
  </si>
  <si>
    <t>code</t>
  </si>
  <si>
    <t>Type</t>
  </si>
  <si>
    <t>Property</t>
  </si>
  <si>
    <t>Range</t>
  </si>
  <si>
    <t>Datetime</t>
  </si>
  <si>
    <t>LegalIdentifier</t>
  </si>
  <si>
    <t>Code</t>
  </si>
  <si>
    <t>RangeProperty</t>
  </si>
  <si>
    <t>spatialId</t>
  </si>
  <si>
    <t>issuedDate</t>
  </si>
  <si>
    <t>content</t>
  </si>
  <si>
    <t>RangeRef</t>
  </si>
  <si>
    <t>Language</t>
  </si>
  <si>
    <t>Definition</t>
  </si>
  <si>
    <t>Description</t>
  </si>
  <si>
    <t>Data</t>
  </si>
  <si>
    <t>35252366L</t>
  </si>
  <si>
    <t>iden1</t>
  </si>
  <si>
    <t>code1</t>
  </si>
  <si>
    <t>code2</t>
  </si>
  <si>
    <t>code3</t>
  </si>
  <si>
    <t>CASE 5: MULTILANGUAGE ENTITY OBJECT PROPERTY</t>
  </si>
  <si>
    <t>CASE 6: MULTILANGUAGE ENTITY LIST OBJECT</t>
  </si>
  <si>
    <t>EuropassCredential</t>
  </si>
  <si>
    <t>title</t>
  </si>
  <si>
    <t>note</t>
  </si>
  <si>
    <t>Text</t>
  </si>
  <si>
    <t>language</t>
  </si>
  <si>
    <t>topic</t>
  </si>
  <si>
    <t>en</t>
  </si>
  <si>
    <t>mt</t>
  </si>
  <si>
    <t>ca</t>
  </si>
  <si>
    <t>es</t>
  </si>
  <si>
    <t>Diploma in Sociology</t>
  </si>
  <si>
    <r>
      <t>Diploma fis-So</t>
    </r>
    <r>
      <rPr>
        <sz val="11"/>
        <color theme="1"/>
        <rFont val="Calibri"/>
        <family val="2"/>
      </rPr>
      <t>ċjoloġija</t>
    </r>
  </si>
  <si>
    <t>Topic 1st note</t>
  </si>
  <si>
    <t>1st note EN</t>
  </si>
  <si>
    <t>1ª nota cat</t>
  </si>
  <si>
    <t>1ª nota esp</t>
  </si>
  <si>
    <t>Topic 2nd note</t>
  </si>
  <si>
    <t>2nd note EN</t>
  </si>
  <si>
    <t>2ª nota cat</t>
  </si>
  <si>
    <t>2ª nota esp</t>
  </si>
  <si>
    <t>CASE 7: ASSOCIATION</t>
  </si>
  <si>
    <t>credentialSubject</t>
  </si>
  <si>
    <t>Reference</t>
  </si>
  <si>
    <t>Association</t>
  </si>
  <si>
    <t>Jordi Castillo</t>
  </si>
  <si>
    <t>Enric</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</si>
  <si>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</si>
  <si>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description</t>
  </si>
  <si>
    <t>issuer</t>
  </si>
  <si>
    <t>expirationDate</t>
  </si>
  <si>
    <t>Organization</t>
  </si>
  <si>
    <t>bg</t>
  </si>
  <si>
    <t>cs</t>
  </si>
  <si>
    <t>da</t>
  </si>
  <si>
    <t>de</t>
  </si>
  <si>
    <t>el</t>
  </si>
  <si>
    <t>et</t>
  </si>
  <si>
    <t>fi</t>
  </si>
  <si>
    <t>fr</t>
  </si>
  <si>
    <t>ga</t>
  </si>
  <si>
    <t>hr</t>
  </si>
  <si>
    <t>hu</t>
  </si>
  <si>
    <t>is</t>
  </si>
  <si>
    <t>it</t>
  </si>
  <si>
    <t>lt</t>
  </si>
  <si>
    <t>lv</t>
  </si>
  <si>
    <t>nl</t>
  </si>
  <si>
    <t>no</t>
  </si>
  <si>
    <t>pl</t>
  </si>
  <si>
    <t>pt</t>
  </si>
  <si>
    <t>ro</t>
  </si>
  <si>
    <t>sk</t>
  </si>
  <si>
    <t>sl</t>
  </si>
  <si>
    <t>sv</t>
  </si>
  <si>
    <t>The issuance date</t>
  </si>
  <si>
    <t>The expiration date</t>
  </si>
  <si>
    <t>The issuance date. A verifiable credential MUST have an issuanceDate property. The value represents the date and time the credential was issued. Note that this date represents the earliest date when the information associated with the credentialSubject property became valid. This is not the date of generation of the credential.</t>
  </si>
  <si>
    <t>The expiration date. The value of the expirationDate property  represents the date and time the credential ceases to be valid.</t>
  </si>
  <si>
    <t>English</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</si>
  <si>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</si>
  <si>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</si>
  <si>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</si>
  <si>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</si>
  <si>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</si>
  <si>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</si>
  <si>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</si>
  <si>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</si>
  <si>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</si>
  <si>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</si>
  <si>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</si>
  <si>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</si>
  <si>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</si>
  <si>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</si>
  <si>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</si>
  <si>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</si>
  <si>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</si>
  <si>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Nederlands</t>
  </si>
  <si>
    <t>norsk</t>
  </si>
  <si>
    <t>polski</t>
  </si>
  <si>
    <t>português</t>
  </si>
  <si>
    <t>română</t>
  </si>
  <si>
    <t>slovenčina</t>
  </si>
  <si>
    <t>slovenščina</t>
  </si>
  <si>
    <t>svenska</t>
  </si>
  <si>
    <t>Default Value</t>
  </si>
  <si>
    <t>Column1</t>
  </si>
  <si>
    <t>Column2</t>
  </si>
  <si>
    <t>Column3</t>
  </si>
  <si>
    <t>Column4</t>
  </si>
  <si>
    <t>Column33</t>
  </si>
  <si>
    <t>Column42</t>
  </si>
  <si>
    <t>NOT PROCESSED YET</t>
  </si>
  <si>
    <t>id</t>
  </si>
  <si>
    <t>fullName</t>
  </si>
  <si>
    <t>givenNames</t>
  </si>
  <si>
    <t>familyName</t>
  </si>
  <si>
    <t>dateOfBirth</t>
  </si>
  <si>
    <t>alternativeName</t>
  </si>
  <si>
    <t>ID/PK</t>
  </si>
  <si>
    <t>URI</t>
  </si>
  <si>
    <t>codeId</t>
  </si>
  <si>
    <t>iden2</t>
  </si>
  <si>
    <t>PersonTopic</t>
  </si>
  <si>
    <t>enNote</t>
  </si>
  <si>
    <t>caNote</t>
  </si>
  <si>
    <t>esNote</t>
  </si>
  <si>
    <t>PersonTopic2</t>
  </si>
  <si>
    <t>enNote2</t>
  </si>
  <si>
    <t>caNote2</t>
  </si>
  <si>
    <t>esNote2</t>
  </si>
  <si>
    <t xml:space="preserve">Jordi </t>
  </si>
  <si>
    <t>Castillo</t>
  </si>
  <si>
    <t>BCN</t>
  </si>
  <si>
    <t>male</t>
  </si>
  <si>
    <t>codeId1</t>
  </si>
  <si>
    <t>codeId2</t>
  </si>
  <si>
    <t>AlternativeCA1</t>
  </si>
  <si>
    <t>AlternativeEN1</t>
  </si>
  <si>
    <t>AlternativeCA2</t>
  </si>
  <si>
    <t>AlternativeEN2</t>
  </si>
  <si>
    <t>preferredName</t>
  </si>
  <si>
    <t>Achievement</t>
  </si>
  <si>
    <t>Identifier</t>
  </si>
  <si>
    <t>name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</si>
  <si>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</si>
  <si>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</si>
  <si>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</si>
  <si>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</si>
  <si>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</si>
  <si>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</si>
  <si>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</si>
  <si>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</si>
  <si>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</si>
  <si>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</si>
  <si>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</si>
  <si>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</si>
  <si>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</si>
  <si>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</si>
  <si>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</si>
  <si>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</si>
  <si>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</si>
  <si>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</si>
  <si>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</si>
  <si>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</si>
  <si>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</si>
  <si>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</si>
  <si>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</si>
  <si>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</si>
  <si>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</si>
  <si>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</si>
  <si>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CASE 7: ASSOCIATION LIST</t>
  </si>
  <si>
    <t>contains</t>
  </si>
  <si>
    <t>CASE 8: ENTITY OBJECT LIST LIST</t>
  </si>
  <si>
    <t>EuropassCredential.title.Property.Text.content.1.en</t>
  </si>
  <si>
    <t>EuropassCredential.title.Property.Text.content.1.bg</t>
  </si>
  <si>
    <t>EuropassCredential.title.Property.Text.content.1.cs</t>
  </si>
  <si>
    <t>EuropassCredential.title.Property.Text.content.1.da</t>
  </si>
  <si>
    <t>EuropassCredential.title.Property.Text.content.1.de</t>
  </si>
  <si>
    <t>EuropassCredential.title.Property.Text.content.1.el</t>
  </si>
  <si>
    <t>EuropassCredential.title.Property.Text.content.1.es</t>
  </si>
  <si>
    <t>EuropassCredential.title.Property.Text.content.1.et</t>
  </si>
  <si>
    <t>EuropassCredential.title.Property.Text.content.1.fi</t>
  </si>
  <si>
    <t>EuropassCredential.title.Property.Text.content.1.fr</t>
  </si>
  <si>
    <t>EuropassCredential.title.Property.Text.content.1.ga</t>
  </si>
  <si>
    <t>EuropassCredential.title.Property.Text.content.1.hr</t>
  </si>
  <si>
    <t>EuropassCredential.title.Property.Text.content.1.hu</t>
  </si>
  <si>
    <t>EuropassCredential.title.Property.Text.content.1.is</t>
  </si>
  <si>
    <t>EuropassCredential.title.Property.Text.content.1.it</t>
  </si>
  <si>
    <t>EuropassCredential.title.Property.Text.content.1.lt</t>
  </si>
  <si>
    <t>EuropassCredential.title.Property.Text.content.1.lv</t>
  </si>
  <si>
    <t>EuropassCredential.title.Property.Text.content.1.mt</t>
  </si>
  <si>
    <t>EuropassCredential.title.Property.Text.content.1.nl</t>
  </si>
  <si>
    <t>EuropassCredential.title.Property.Text.content.1.no</t>
  </si>
  <si>
    <t>EuropassCredential.title.Property.Text.content.1.pl</t>
  </si>
  <si>
    <t>EuropassCredential.title.Property.Text.content.1.pt</t>
  </si>
  <si>
    <t>EuropassCredential.title.Property.Text.content.1.ro</t>
  </si>
  <si>
    <t>EuropassCredential.title.Property.Text.content.1.sk</t>
  </si>
  <si>
    <t>EuropassCredential.title.Property.Text.content.1.sl</t>
  </si>
  <si>
    <t>EuropassCredential.title.Property.Text.content.1.sv</t>
  </si>
  <si>
    <t>EuropassCredential.description.Property.Note.content.2.en</t>
  </si>
  <si>
    <t>EuropassCredential.description.Property.Note.content.2.bg</t>
  </si>
  <si>
    <t>EuropassCredential.description.Property.Note.content.2.cs</t>
  </si>
  <si>
    <t>EuropassCredential.description.Property.Note.content.2.da</t>
  </si>
  <si>
    <t>EuropassCredential.description.Property.Note.content.2.de</t>
  </si>
  <si>
    <t>EuropassCredential.description.Property.Note.content.2.el</t>
  </si>
  <si>
    <t>EuropassCredential.description.Property.Note.content.2.es</t>
  </si>
  <si>
    <t>EuropassCredential.description.Property.Note.content.2.et</t>
  </si>
  <si>
    <t>EuropassCredential.description.Property.Note.content.2.fi</t>
  </si>
  <si>
    <t>EuropassCredential.description.Property.Note.content.2.fr</t>
  </si>
  <si>
    <t>EuropassCredential.description.Property.Note.content.2.ga</t>
  </si>
  <si>
    <t>EuropassCredential.description.Property.Note.content.2.hr</t>
  </si>
  <si>
    <t>EuropassCredential.description.Property.Note.content.2.hu</t>
  </si>
  <si>
    <t>EuropassCredential.description.Property.Note.content.2.is</t>
  </si>
  <si>
    <t>EuropassCredential.description.Property.Note.content.2.it</t>
  </si>
  <si>
    <t>EuropassCredential.description.Property.Note.content.2.lt</t>
  </si>
  <si>
    <t>EuropassCredential.description.Property.Note.content.2.lv</t>
  </si>
  <si>
    <t>EuropassCredential.description.Property.Note.content.2.mt</t>
  </si>
  <si>
    <t>EuropassCredential.description.Property.Note.content.2.nl</t>
  </si>
  <si>
    <t>EuropassCredential.description.Property.Note.content.2.no</t>
  </si>
  <si>
    <t>EuropassCredential.description.Property.Note.content.2.pl</t>
  </si>
  <si>
    <t>EuropassCredential.description.Property.Note.content.2.pt</t>
  </si>
  <si>
    <t>EuropassCredential.description.Property.Note.content.2.ro</t>
  </si>
  <si>
    <t>EuropassCredential.description.Property.Note.content.2.sk</t>
  </si>
  <si>
    <t>EuropassCredential.description.Property.Note.content.2.sl</t>
  </si>
  <si>
    <t>EuropassCredential.description.Property.Note.content.2.sv</t>
  </si>
  <si>
    <t>EuropassCredential.issuer.Association..Organization.3.</t>
  </si>
  <si>
    <t>EuropassCredential.issuer.Association..Organization.3.2</t>
  </si>
  <si>
    <t>EuropassCredential.credentialSubject.Association..Person.4.</t>
  </si>
  <si>
    <t>EuropassCredential.credentialSubject.Association..Person.4.3</t>
  </si>
  <si>
    <t>VerifiableCredential.issuanceDate.Property.Datetime...</t>
  </si>
  <si>
    <t>VerifiableCredential.expirationDate.Property.Datetime...</t>
  </si>
  <si>
    <t>identifierType</t>
  </si>
  <si>
    <t>content11</t>
  </si>
  <si>
    <t>identifierType111</t>
  </si>
  <si>
    <t>identifierType112</t>
  </si>
  <si>
    <t>issuedDate11</t>
  </si>
  <si>
    <t>content12</t>
  </si>
  <si>
    <t>content21</t>
  </si>
  <si>
    <t>issuedDate21</t>
  </si>
  <si>
    <t>identifierType211</t>
  </si>
  <si>
    <t>identifierType212</t>
  </si>
  <si>
    <t>content22</t>
  </si>
  <si>
    <t>Data Type</t>
  </si>
  <si>
    <t>Field (property/association)</t>
  </si>
  <si>
    <t>Range
(data type)</t>
  </si>
  <si>
    <t>Card</t>
  </si>
  <si>
    <t>Identifier Type</t>
  </si>
  <si>
    <t>Attribute</t>
  </si>
  <si>
    <t>String</t>
  </si>
  <si>
    <t>*</t>
  </si>
  <si>
    <t>Person.id.ID/PK.URI...</t>
  </si>
  <si>
    <t>Person.nationalId.Property.LegalIdentifier.spatialId...</t>
  </si>
  <si>
    <t>Person.identifier.Property.identifier.issuedDate.1..</t>
  </si>
  <si>
    <t>Person.identifier.Property.identifier.content.1..</t>
  </si>
  <si>
    <t>Person.identifier.Property.identifier.issuedDate.2..</t>
  </si>
  <si>
    <t>Person.identifier.Property.identifier.content.2..</t>
  </si>
  <si>
    <t>Person.note.Property..topic.1..</t>
  </si>
  <si>
    <t>Person.note.Property.contents.content.1.en.</t>
  </si>
  <si>
    <t>Person.note.Property.contents.content.1.ca.</t>
  </si>
  <si>
    <t>Person.note.Property.contents.content.1.es.</t>
  </si>
  <si>
    <t>Person.note.Property..topic.2..</t>
  </si>
  <si>
    <t>Person.note.Property.contents.content.2.en.</t>
  </si>
  <si>
    <t>Person.note.Property.contents.content.2.ca.</t>
  </si>
  <si>
    <t>Person.note.Property.contents.content.2.es.</t>
  </si>
  <si>
    <t>Person.fullName.Property.Text.content..ca.</t>
  </si>
  <si>
    <t>Person.givenNames.Property.Text .content..ca.</t>
  </si>
  <si>
    <t>Person.familyName.Property.Text.content..ca.</t>
  </si>
  <si>
    <t>Person.dateOfBirth.Property.Date....</t>
  </si>
  <si>
    <t>Person.placeOfBirth.Association..Location.12..</t>
  </si>
  <si>
    <t>Person.gender.Property.Code.codeId...</t>
  </si>
  <si>
    <t>Person.citizenshipCountry.Property.Code.codeId.1..</t>
  </si>
  <si>
    <t>Person.citizenshipCountry.Property.Code.codeId.2..</t>
  </si>
  <si>
    <t>Person.alternativeName.Property.contents.content.1.ca.</t>
  </si>
  <si>
    <t>Person.alternativeName.Property.contents.content.1.en.</t>
  </si>
  <si>
    <t>Person.alternativeName.Property.contents.content.2.ca.</t>
  </si>
  <si>
    <t>Person.alternativeName.Property.contents.content.2.en.</t>
  </si>
  <si>
    <t>Range 
(data type)</t>
  </si>
  <si>
    <t>Primary Language</t>
  </si>
  <si>
    <t>recognises excellence in Sociological thinking</t>
  </si>
  <si>
    <t>Language to Add/Remove</t>
  </si>
  <si>
    <t>type</t>
  </si>
  <si>
    <t>http://data.europa.eu/europass/credentialType/generic</t>
  </si>
  <si>
    <t>generic</t>
  </si>
  <si>
    <t>http://data.europa.eu/europass/credentialType/qualification</t>
  </si>
  <si>
    <t>qualification award</t>
  </si>
  <si>
    <t>http://data.europa.eu/europass/credentialType/diplomaSupplement</t>
  </si>
  <si>
    <t>diploma supplement</t>
  </si>
  <si>
    <t>Europass Standard List of Credential Types</t>
  </si>
  <si>
    <t>Sub-Credentials</t>
  </si>
  <si>
    <t>BackgroundImage</t>
  </si>
  <si>
    <t>display</t>
  </si>
  <si>
    <t>DisplayParameters</t>
  </si>
  <si>
    <t>summaryDisplay</t>
  </si>
  <si>
    <t>https://everis.com/image.jpg</t>
  </si>
  <si>
    <t>Smaller sub-credentials (micro-credentials), which when combined make up this  learning opportunity.</t>
  </si>
  <si>
    <t>The organisaton that issued the credential and sealed it with their digital e-seal. The organisaton that issued the credential and sealed it with their digital e-seal.</t>
  </si>
  <si>
    <t>Issuer</t>
  </si>
  <si>
    <t>The person about which claims are made and who owns the credential.</t>
  </si>
  <si>
    <t>Owner</t>
  </si>
  <si>
    <t>The full official title of the issued credential.</t>
  </si>
  <si>
    <t>A summary of the claim of the claim or group of claims being made about a person. Typically should start with a verb, for example "has achieved", "is entitled to", "has attended", "knows".</t>
  </si>
  <si>
    <t>Title</t>
  </si>
  <si>
    <t>Long Description</t>
  </si>
  <si>
    <t>Legal Name</t>
  </si>
  <si>
    <t>Column5</t>
  </si>
  <si>
    <t>Column6</t>
  </si>
  <si>
    <t>Column7</t>
  </si>
  <si>
    <t>Column8</t>
  </si>
  <si>
    <t>Column9</t>
  </si>
  <si>
    <t>Column10</t>
  </si>
  <si>
    <t>Column11</t>
  </si>
  <si>
    <t>Column116</t>
  </si>
  <si>
    <t>Afghanistan</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</si>
  <si>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</si>
  <si>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</si>
  <si>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</si>
  <si>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</si>
  <si>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</si>
  <si>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</si>
  <si>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</si>
  <si>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</si>
  <si>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</si>
  <si>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</si>
  <si>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</si>
  <si>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</si>
  <si>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</si>
  <si>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</si>
  <si>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</si>
  <si>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</si>
  <si>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</si>
  <si>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</si>
  <si>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</si>
  <si>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</si>
  <si>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</si>
  <si>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</si>
  <si>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</si>
  <si>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</si>
  <si>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</si>
  <si>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</si>
  <si>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</si>
  <si>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</si>
  <si>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</si>
  <si>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</si>
  <si>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</si>
  <si>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</si>
  <si>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</si>
  <si>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</si>
  <si>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</si>
  <si>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</si>
  <si>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</si>
  <si>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</si>
  <si>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</si>
  <si>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</si>
  <si>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</si>
  <si>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</si>
  <si>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</si>
  <si>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</si>
  <si>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</si>
  <si>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</si>
  <si>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</si>
  <si>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</si>
  <si>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</si>
  <si>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</si>
  <si>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</si>
  <si>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</si>
  <si>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</si>
  <si>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</si>
  <si>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</si>
  <si>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</si>
  <si>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</si>
  <si>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</si>
  <si>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</si>
  <si>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</si>
  <si>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</si>
  <si>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</si>
  <si>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</si>
  <si>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</si>
  <si>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</si>
  <si>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</si>
  <si>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</si>
  <si>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</si>
  <si>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</si>
  <si>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</si>
  <si>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</si>
  <si>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</si>
  <si>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</si>
  <si>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</si>
  <si>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</si>
  <si>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</si>
  <si>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</si>
  <si>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</si>
  <si>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</si>
  <si>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</si>
  <si>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</si>
  <si>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</si>
  <si>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</si>
  <si>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</si>
  <si>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</si>
  <si>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</si>
  <si>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</si>
  <si>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</si>
  <si>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</si>
  <si>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</si>
  <si>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</si>
  <si>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</si>
  <si>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</si>
  <si>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</si>
  <si>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</si>
  <si>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</si>
  <si>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</si>
  <si>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</si>
  <si>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</si>
  <si>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</si>
  <si>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</si>
  <si>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</si>
  <si>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</si>
  <si>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</si>
  <si>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</si>
  <si>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</si>
  <si>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</si>
  <si>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</si>
  <si>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</si>
  <si>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</si>
  <si>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</si>
  <si>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</si>
  <si>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</si>
  <si>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</si>
  <si>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</si>
  <si>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</si>
  <si>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</si>
  <si>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</si>
  <si>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</si>
  <si>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</si>
  <si>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</si>
  <si>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</si>
  <si>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</si>
  <si>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</si>
  <si>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</si>
  <si>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</si>
  <si>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</si>
  <si>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</si>
  <si>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</si>
  <si>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</si>
  <si>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</si>
  <si>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</si>
  <si>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</si>
  <si>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</si>
  <si>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</si>
  <si>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</si>
  <si>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</si>
  <si>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</si>
  <si>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</si>
  <si>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</si>
  <si>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</si>
  <si>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</si>
  <si>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</si>
  <si>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</si>
  <si>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</si>
  <si>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</si>
  <si>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</si>
  <si>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</si>
  <si>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</si>
  <si>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</si>
  <si>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</si>
  <si>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</si>
  <si>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</si>
  <si>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</si>
  <si>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</si>
  <si>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</si>
  <si>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</si>
  <si>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</si>
  <si>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</si>
  <si>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</si>
  <si>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</si>
  <si>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</si>
  <si>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</si>
  <si>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</si>
  <si>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</si>
  <si>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</si>
  <si>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</si>
  <si>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</si>
  <si>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</si>
  <si>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</si>
  <si>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</si>
  <si>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</si>
  <si>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</si>
  <si>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</si>
  <si>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</si>
  <si>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</si>
  <si>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</si>
  <si>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</si>
  <si>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</si>
  <si>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</si>
  <si>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</si>
  <si>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</si>
  <si>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</si>
  <si>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</si>
  <si>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</si>
  <si>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</si>
  <si>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</si>
  <si>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</si>
  <si>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</si>
  <si>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</si>
  <si>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</si>
  <si>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</si>
  <si>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</si>
  <si>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</si>
  <si>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</si>
  <si>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</si>
  <si>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</si>
  <si>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</si>
  <si>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</si>
  <si>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</si>
  <si>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</si>
  <si>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</si>
  <si>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</si>
  <si>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</si>
  <si>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</si>
  <si>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</si>
  <si>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</si>
  <si>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</si>
  <si>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</si>
  <si>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</si>
  <si>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</si>
  <si>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</si>
  <si>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</si>
  <si>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</si>
  <si>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</si>
  <si>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</si>
  <si>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</si>
  <si>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</si>
  <si>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</si>
  <si>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</si>
  <si>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</si>
  <si>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</si>
  <si>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</si>
  <si>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</si>
  <si>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</si>
  <si>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</si>
  <si>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</si>
  <si>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</si>
  <si>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</si>
  <si>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</si>
  <si>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</si>
  <si>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</si>
  <si>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</si>
  <si>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</si>
  <si>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</si>
  <si>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</si>
  <si>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</si>
  <si>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</si>
  <si>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</si>
  <si>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</si>
  <si>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</si>
  <si>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</si>
  <si>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</si>
  <si>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</si>
  <si>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</si>
  <si>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</si>
  <si>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</si>
  <si>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</si>
  <si>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</si>
  <si>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</si>
  <si>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</si>
  <si>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</si>
  <si>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</si>
  <si>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</si>
  <si>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</si>
  <si>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</si>
  <si>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</si>
  <si>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</si>
  <si>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</si>
  <si>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</si>
  <si>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</si>
  <si>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</si>
  <si>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</si>
  <si>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</si>
  <si>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</si>
  <si>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</si>
  <si>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</si>
  <si>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</si>
  <si>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</si>
  <si>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</si>
  <si>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</si>
  <si>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</si>
  <si>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</si>
  <si>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</si>
  <si>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</si>
  <si>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</si>
  <si>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</si>
  <si>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</si>
  <si>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</si>
  <si>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</si>
  <si>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</si>
  <si>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</si>
  <si>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</si>
  <si>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</si>
  <si>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</si>
  <si>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</si>
  <si>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</si>
  <si>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</si>
  <si>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</si>
  <si>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</si>
  <si>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</si>
  <si>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</si>
  <si>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</si>
  <si>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</si>
  <si>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</si>
  <si>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</si>
  <si>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</si>
  <si>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</si>
  <si>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</si>
  <si>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</si>
  <si>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</si>
  <si>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</si>
  <si>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</si>
  <si>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</si>
  <si>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</si>
  <si>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</si>
  <si>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</si>
  <si>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</si>
  <si>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</si>
  <si>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</si>
  <si>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</si>
  <si>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</si>
  <si>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</si>
  <si>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</si>
  <si>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</si>
  <si>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</si>
  <si>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</si>
  <si>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</si>
  <si>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</si>
  <si>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</si>
  <si>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</si>
  <si>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</si>
  <si>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</si>
  <si>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</si>
  <si>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</si>
  <si>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</si>
  <si>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</si>
  <si>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</si>
  <si>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</si>
  <si>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</si>
  <si>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</si>
  <si>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</si>
  <si>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</si>
  <si>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</si>
  <si>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</si>
  <si>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</si>
  <si>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</si>
  <si>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</si>
  <si>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</si>
  <si>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</si>
  <si>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</si>
  <si>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</si>
  <si>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</si>
  <si>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</si>
  <si>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</si>
  <si>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</si>
  <si>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</si>
  <si>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</si>
  <si>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</si>
  <si>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</si>
  <si>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</si>
  <si>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</si>
  <si>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</si>
  <si>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</si>
  <si>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</si>
  <si>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</si>
  <si>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</si>
  <si>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</si>
  <si>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</si>
  <si>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</si>
  <si>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</si>
  <si>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</si>
  <si>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</si>
  <si>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</si>
  <si>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</si>
  <si>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</si>
  <si>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</si>
  <si>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</si>
  <si>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</si>
  <si>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</si>
  <si>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</si>
  <si>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</si>
  <si>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</si>
  <si>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</si>
  <si>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</si>
  <si>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</si>
  <si>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</si>
  <si>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</si>
  <si>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</si>
  <si>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</si>
  <si>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</si>
  <si>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</si>
  <si>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</si>
  <si>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</si>
  <si>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</si>
  <si>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</si>
  <si>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</si>
  <si>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</si>
  <si>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</si>
  <si>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</si>
  <si>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</si>
  <si>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</si>
  <si>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</si>
  <si>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</si>
  <si>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</si>
  <si>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</si>
  <si>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</si>
  <si>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</si>
  <si>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</si>
  <si>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</si>
  <si>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</si>
  <si>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</si>
  <si>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</si>
  <si>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</si>
  <si>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</si>
  <si>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</si>
  <si>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</si>
  <si>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</si>
  <si>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</si>
  <si>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</si>
  <si>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</si>
  <si>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</si>
  <si>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</si>
  <si>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</si>
  <si>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</si>
  <si>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</si>
  <si>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</si>
  <si>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</si>
  <si>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</si>
  <si>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</si>
  <si>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</si>
  <si>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</si>
  <si>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</si>
  <si>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</si>
  <si>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</si>
  <si>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</si>
  <si>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</si>
  <si>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</si>
  <si>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</si>
  <si>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</si>
  <si>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</si>
  <si>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</si>
  <si>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</si>
  <si>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</si>
  <si>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</si>
  <si>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</si>
  <si>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</si>
  <si>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</si>
  <si>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</si>
  <si>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</si>
  <si>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</si>
  <si>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</si>
  <si>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</si>
  <si>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</si>
  <si>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</si>
  <si>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</si>
  <si>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</si>
  <si>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</si>
  <si>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</si>
  <si>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</si>
  <si>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</si>
  <si>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</si>
  <si>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</si>
  <si>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</si>
  <si>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</si>
  <si>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</si>
  <si>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</si>
  <si>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</si>
  <si>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</si>
  <si>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</si>
  <si>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</si>
  <si>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</si>
  <si>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</si>
  <si>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</si>
  <si>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</si>
  <si>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</si>
  <si>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</si>
  <si>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</si>
  <si>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</si>
  <si>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</si>
  <si>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</si>
  <si>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</si>
  <si>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</si>
  <si>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</si>
  <si>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</si>
  <si>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</si>
  <si>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</si>
  <si>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</si>
  <si>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</si>
  <si>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</si>
  <si>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</si>
  <si>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</si>
  <si>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</si>
  <si>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</si>
  <si>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</si>
  <si>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</si>
  <si>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</si>
  <si>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</si>
  <si>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</si>
  <si>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</si>
  <si>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</si>
  <si>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</si>
  <si>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</si>
  <si>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</si>
  <si>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</si>
  <si>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</si>
  <si>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</si>
  <si>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</si>
  <si>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</si>
  <si>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</si>
  <si>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</si>
  <si>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</si>
  <si>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</si>
  <si>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</si>
  <si>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</si>
  <si>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</si>
  <si>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</si>
  <si>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</si>
  <si>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</si>
  <si>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</si>
  <si>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</si>
  <si>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</si>
  <si>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</si>
  <si>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</si>
  <si>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</si>
  <si>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</si>
  <si>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</si>
  <si>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</si>
  <si>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</si>
  <si>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</si>
  <si>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</si>
  <si>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</si>
  <si>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</si>
  <si>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</si>
  <si>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</si>
  <si>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</si>
  <si>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</si>
  <si>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</si>
  <si>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</si>
  <si>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</si>
  <si>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</si>
  <si>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</si>
  <si>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</si>
  <si>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</si>
  <si>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</si>
  <si>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</si>
  <si>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</si>
  <si>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</si>
  <si>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</si>
  <si>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</si>
  <si>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</si>
  <si>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</si>
  <si>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</si>
  <si>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</si>
  <si>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</si>
  <si>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</si>
  <si>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</si>
  <si>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</si>
  <si>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</si>
  <si>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</si>
  <si>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</si>
  <si>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</si>
  <si>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</si>
  <si>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</si>
  <si>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</si>
  <si>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</si>
  <si>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</si>
  <si>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</si>
  <si>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</si>
  <si>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</si>
  <si>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</si>
  <si>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</si>
  <si>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</si>
  <si>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</si>
  <si>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</si>
  <si>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</si>
  <si>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</si>
  <si>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</si>
  <si>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</si>
  <si>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</si>
  <si>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</si>
  <si>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</si>
  <si>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</si>
  <si>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</si>
  <si>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</si>
  <si>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</si>
  <si>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</si>
  <si>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</si>
  <si>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</si>
  <si>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</si>
  <si>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</si>
  <si>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</si>
  <si>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</si>
  <si>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</si>
  <si>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</si>
  <si>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</si>
  <si>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</si>
  <si>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</si>
  <si>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</si>
  <si>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</si>
  <si>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</si>
  <si>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</si>
  <si>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</si>
  <si>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</si>
  <si>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</si>
  <si>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</si>
  <si>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</si>
  <si>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</si>
  <si>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</si>
  <si>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</si>
  <si>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</si>
  <si>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</si>
  <si>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</si>
  <si>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</si>
  <si>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</si>
  <si>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</si>
  <si>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</si>
  <si>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</si>
  <si>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</si>
  <si>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</si>
  <si>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</si>
  <si>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</si>
  <si>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</si>
  <si>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</si>
  <si>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</si>
  <si>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</si>
  <si>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</si>
  <si>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</si>
  <si>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</si>
  <si>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</si>
  <si>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</si>
  <si>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</si>
  <si>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</si>
  <si>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</si>
  <si>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</si>
  <si>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</si>
  <si>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</si>
  <si>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</si>
  <si>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</si>
  <si>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</si>
  <si>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</si>
  <si>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</si>
  <si>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</si>
  <si>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</si>
  <si>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</si>
  <si>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</si>
  <si>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</si>
  <si>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</si>
  <si>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</si>
  <si>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</si>
  <si>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</si>
  <si>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</si>
  <si>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</si>
  <si>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</si>
  <si>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</si>
  <si>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</si>
  <si>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</si>
  <si>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</si>
  <si>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</si>
  <si>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</si>
  <si>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</si>
  <si>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</si>
  <si>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</si>
  <si>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</si>
  <si>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</si>
  <si>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</si>
  <si>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</si>
  <si>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</si>
  <si>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</si>
  <si>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</si>
  <si>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</si>
  <si>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</si>
  <si>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</si>
  <si>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</si>
  <si>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</si>
  <si>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</si>
  <si>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</si>
  <si>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</si>
  <si>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</si>
  <si>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</si>
  <si>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</si>
  <si>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</si>
  <si>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</si>
  <si>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</si>
  <si>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</si>
  <si>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</si>
  <si>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</si>
  <si>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</si>
  <si>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</si>
  <si>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</si>
  <si>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</si>
  <si>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</si>
  <si>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</si>
  <si>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</si>
  <si>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</si>
  <si>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</si>
  <si>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</si>
  <si>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</si>
  <si>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</si>
  <si>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</si>
  <si>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</si>
  <si>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</si>
  <si>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</si>
  <si>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</si>
  <si>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</si>
  <si>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</si>
  <si>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</si>
  <si>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</si>
  <si>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</si>
  <si>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</si>
  <si>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</si>
  <si>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</si>
  <si>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</si>
  <si>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</si>
  <si>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</si>
  <si>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</si>
  <si>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</si>
  <si>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</si>
  <si>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</si>
  <si>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</si>
  <si>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</si>
  <si>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</si>
  <si>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</si>
  <si>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</si>
  <si>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</si>
  <si>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</si>
  <si>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</si>
  <si>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</si>
  <si>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</si>
  <si>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</si>
  <si>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</si>
  <si>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</si>
  <si>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</si>
  <si>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</si>
  <si>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</si>
  <si>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</si>
  <si>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</si>
  <si>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</si>
  <si>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</si>
  <si>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</si>
  <si>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</si>
  <si>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</si>
  <si>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</si>
  <si>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</si>
  <si>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</si>
  <si>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</si>
  <si>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</si>
  <si>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</si>
  <si>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</si>
  <si>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</si>
  <si>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</si>
  <si>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</si>
  <si>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</si>
  <si>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</si>
  <si>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</si>
  <si>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</si>
  <si>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</si>
  <si>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</si>
  <si>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</si>
  <si>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</si>
  <si>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</si>
  <si>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</si>
  <si>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</si>
  <si>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</si>
  <si>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</si>
  <si>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</si>
  <si>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</si>
  <si>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</si>
  <si>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</si>
  <si>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</si>
  <si>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</si>
  <si>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</si>
  <si>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</si>
  <si>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</si>
  <si>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</si>
  <si>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</si>
  <si>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</si>
  <si>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</si>
  <si>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</si>
  <si>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</si>
  <si>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</si>
  <si>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</si>
  <si>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</si>
  <si>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</si>
  <si>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</si>
  <si>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</si>
  <si>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</si>
  <si>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</si>
  <si>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</si>
  <si>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</si>
  <si>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</si>
  <si>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</si>
  <si>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</si>
  <si>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</si>
  <si>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</si>
  <si>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</si>
  <si>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</si>
  <si>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</si>
  <si>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</si>
  <si>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</si>
  <si>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</si>
  <si>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</si>
  <si>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</si>
  <si>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</si>
  <si>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</si>
  <si>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</si>
  <si>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</si>
  <si>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</si>
  <si>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</si>
  <si>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</si>
  <si>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</si>
  <si>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</si>
  <si>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</si>
  <si>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</si>
  <si>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</si>
  <si>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</si>
  <si>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</si>
  <si>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</si>
  <si>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</si>
  <si>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</si>
  <si>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</si>
  <si>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</si>
  <si>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</si>
  <si>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</si>
  <si>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</si>
  <si>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</si>
  <si>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</si>
  <si>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</si>
  <si>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</si>
  <si>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</si>
  <si>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</si>
  <si>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</si>
  <si>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</si>
  <si>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</si>
  <si>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</si>
  <si>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</si>
  <si>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</si>
  <si>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</si>
  <si>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</si>
  <si>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</si>
  <si>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</si>
  <si>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</si>
  <si>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</si>
  <si>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</si>
  <si>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</si>
  <si>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</si>
  <si>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</si>
  <si>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</si>
  <si>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</si>
  <si>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</si>
  <si>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</si>
  <si>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</si>
  <si>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</si>
  <si>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</si>
  <si>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MDR Countries</t>
  </si>
  <si>
    <t>Column117</t>
  </si>
  <si>
    <t>NOTE: LAST UPDATED  WORKING COPY:</t>
  </si>
  <si>
    <t>If this excel does not work, go to the issuer application and download the "Dynamic Higher Education Diploma" it should contain last working version</t>
  </si>
  <si>
    <t>CASE 9: NESTED PROPERTY</t>
  </si>
  <si>
    <t>CASE 10: NESTED ASSOCIATION</t>
  </si>
  <si>
    <t>EuropassCredential.display.background</t>
  </si>
  <si>
    <t>contentType</t>
  </si>
  <si>
    <t>Person.achieved</t>
  </si>
  <si>
    <t>NestedProperty</t>
  </si>
  <si>
    <t>NestedAssociation</t>
  </si>
  <si>
    <t>http://test.image.com</t>
  </si>
  <si>
    <t>image/jpg</t>
  </si>
  <si>
    <t>here will be a reference selected by user, on selection, association column will be filled</t>
  </si>
  <si>
    <t>Achievements &gt; Sub-Achievements</t>
  </si>
  <si>
    <t>Generic programmes and qualifications</t>
  </si>
  <si>
    <t>Generic programmes and qualifications not further defined</t>
  </si>
  <si>
    <t>Generic programmes and qualificationsn.f.d.</t>
  </si>
  <si>
    <t>Basic programmes and qualifications</t>
  </si>
  <si>
    <t>Literacy and numeracy</t>
  </si>
  <si>
    <t>Personal skills and development</t>
  </si>
  <si>
    <t>Generic programmes and qualifications not elsewhere classified</t>
  </si>
  <si>
    <t>Generic programmes and qualificationsn.e.c</t>
  </si>
  <si>
    <t>Education</t>
  </si>
  <si>
    <t>Education not further defined</t>
  </si>
  <si>
    <t>Education science</t>
  </si>
  <si>
    <t>Training for pre-school teachers</t>
  </si>
  <si>
    <t>Teacher training without subject specialisation</t>
  </si>
  <si>
    <t>Teacher training with subject specialisation</t>
  </si>
  <si>
    <t>Education not elsewhere classified</t>
  </si>
  <si>
    <t>Interdisciplinary programmes involving broad field 01</t>
  </si>
  <si>
    <t>Arts and humanities</t>
  </si>
  <si>
    <t>Arts and humanities not further defined</t>
  </si>
  <si>
    <t>Arts</t>
  </si>
  <si>
    <t>Arts not further defined</t>
  </si>
  <si>
    <t>Audio-visual techniques and media production</t>
  </si>
  <si>
    <t>Fashion, interior and industrial design</t>
  </si>
  <si>
    <t>Fine arts</t>
  </si>
  <si>
    <t>Handicrafts</t>
  </si>
  <si>
    <t>Music and performing arts</t>
  </si>
  <si>
    <t>Arts not elsewhere classified</t>
  </si>
  <si>
    <t>Humanities (except languages)</t>
  </si>
  <si>
    <t>Humanities (except languages) not further defined</t>
  </si>
  <si>
    <t>Religion and theology</t>
  </si>
  <si>
    <t>History and archaeology</t>
  </si>
  <si>
    <t>Philosophy and ethics</t>
  </si>
  <si>
    <t>Humanities (except languages) not elsewhere classified</t>
  </si>
  <si>
    <t>Languages</t>
  </si>
  <si>
    <t>Languages not further defined</t>
  </si>
  <si>
    <t>Language acquisition</t>
  </si>
  <si>
    <t>Literature and linguistics</t>
  </si>
  <si>
    <t>Languages not elsewhere classified</t>
  </si>
  <si>
    <t>Interdisciplinary programmes involving broad field 02</t>
  </si>
  <si>
    <t>Arts and humanities not elsewhere classified</t>
  </si>
  <si>
    <t>Social sciences, journalism and information</t>
  </si>
  <si>
    <t>Social sciences, journalism and informationn.f.d.</t>
  </si>
  <si>
    <t>Social and behavioural sciences</t>
  </si>
  <si>
    <t>Social and behavioural sciences not further defined.</t>
  </si>
  <si>
    <t>Economics</t>
  </si>
  <si>
    <t>Political sciences and civics</t>
  </si>
  <si>
    <t>Psychology</t>
  </si>
  <si>
    <t>Sociology and cultural studies</t>
  </si>
  <si>
    <t>Social and behavioural sciencesn.e.c.</t>
  </si>
  <si>
    <t>Journalism and information</t>
  </si>
  <si>
    <t>Journalism and information not further defined</t>
  </si>
  <si>
    <t>Journalism and reporting</t>
  </si>
  <si>
    <t>Library, information and archival studies</t>
  </si>
  <si>
    <t>Journalism and information not elsewhere classified</t>
  </si>
  <si>
    <t>Interdisciplinary programmes involving broad field 03</t>
  </si>
  <si>
    <t>Social sciences, journalism and information not elsewhere classified</t>
  </si>
  <si>
    <t>Social sciences, journalism and information n.e.c.</t>
  </si>
  <si>
    <t>Business, administration and law</t>
  </si>
  <si>
    <t>Business, administration and law not further defined</t>
  </si>
  <si>
    <t>Business and administration</t>
  </si>
  <si>
    <t>Business and administration not further defined</t>
  </si>
  <si>
    <t>Accounting and taxation</t>
  </si>
  <si>
    <t>Finance, banking and insurance</t>
  </si>
  <si>
    <t>Management and administration</t>
  </si>
  <si>
    <t>Marketing and advertising</t>
  </si>
  <si>
    <t>Secretarial and office work</t>
  </si>
  <si>
    <t>Wholesale and retail sales</t>
  </si>
  <si>
    <t>Work skills</t>
  </si>
  <si>
    <t>Business and administration not elsewhere classified</t>
  </si>
  <si>
    <t>Law</t>
  </si>
  <si>
    <t>Interdisciplinary programmes involving broad field 04</t>
  </si>
  <si>
    <t>Business, administration and law not elsewhere classified</t>
  </si>
  <si>
    <t>Business, administration and law n.e.c.</t>
  </si>
  <si>
    <t>Natural sciences, mathematics and statistics</t>
  </si>
  <si>
    <t>Natural sciences, mathematics and statisticsn.f.d.</t>
  </si>
  <si>
    <t>Biological and related sciences</t>
  </si>
  <si>
    <t>Biological and related sciences not further defined</t>
  </si>
  <si>
    <t>Biology</t>
  </si>
  <si>
    <t>Biochemistry</t>
  </si>
  <si>
    <t>Biological and related sciences not elsewhere classified</t>
  </si>
  <si>
    <t>Environment</t>
  </si>
  <si>
    <t>Environment not further defined</t>
  </si>
  <si>
    <t>Environmental sciences</t>
  </si>
  <si>
    <t>Natural environments and wildlife</t>
  </si>
  <si>
    <t>Environment not elsewhere classified</t>
  </si>
  <si>
    <t>Physical sciences</t>
  </si>
  <si>
    <t>Physical sciences not further defined</t>
  </si>
  <si>
    <t>Chemistry</t>
  </si>
  <si>
    <t>Earth sciences</t>
  </si>
  <si>
    <t>Physics</t>
  </si>
  <si>
    <t>Physical sciences not elsewhere classified</t>
  </si>
  <si>
    <t>Mathematics and statistics</t>
  </si>
  <si>
    <t>Mathematics and statistics not further defined</t>
  </si>
  <si>
    <t>Mathematics</t>
  </si>
  <si>
    <t>Statistics</t>
  </si>
  <si>
    <t>Interdisciplinary programmes involving broad field 05</t>
  </si>
  <si>
    <t>Natural sciences, mathematics and statisticsn.e.c.</t>
  </si>
  <si>
    <t>Information and Communication Technologies</t>
  </si>
  <si>
    <t>Information and Communication Technologiesn.f.d.</t>
  </si>
  <si>
    <t>Computer use</t>
  </si>
  <si>
    <t>Database and network design and administration</t>
  </si>
  <si>
    <t>Software and applications development and analysis</t>
  </si>
  <si>
    <t>Information and Communication Technologiesn.e.c.</t>
  </si>
  <si>
    <t>Interdisciplinary programmes involving broad field 06</t>
  </si>
  <si>
    <t>Engineering, manufacturing and construction</t>
  </si>
  <si>
    <t>Engineering, manufacturing and constructionn.f.d.</t>
  </si>
  <si>
    <t>Engineering and engineering trades</t>
  </si>
  <si>
    <t>Engineering and engineering tradesn.f.d.</t>
  </si>
  <si>
    <t>Chemical engineering and processes</t>
  </si>
  <si>
    <t>Environmental protection technology</t>
  </si>
  <si>
    <t>Electricity and energy</t>
  </si>
  <si>
    <t>Electronics and automation</t>
  </si>
  <si>
    <t>Mechanics and metal trades</t>
  </si>
  <si>
    <t>Motor vehicles, ships and aircraft</t>
  </si>
  <si>
    <t>Engineering and engineering tradesn.e.c.</t>
  </si>
  <si>
    <t>Manufacturing and processing</t>
  </si>
  <si>
    <t>Manufacturing and processing not further defined</t>
  </si>
  <si>
    <t>Food processing</t>
  </si>
  <si>
    <t>Materials (glass, paper, plastic and wood)</t>
  </si>
  <si>
    <t>Textiles (clothes, footwear and leather)</t>
  </si>
  <si>
    <t>Mining and extraction</t>
  </si>
  <si>
    <t>Manufacturing and processing not elsewhere classified</t>
  </si>
  <si>
    <t>Architecture and construction</t>
  </si>
  <si>
    <t>Architecture and construction not further defined</t>
  </si>
  <si>
    <t>Architecture and town planning</t>
  </si>
  <si>
    <t>Building and civil engineering</t>
  </si>
  <si>
    <t>Interdisciplinary programmes involving broad field 07</t>
  </si>
  <si>
    <t>Engineering, manufacturing and constructionn.e.c.</t>
  </si>
  <si>
    <t>Agriculture, forestry, fisheries and veterinary</t>
  </si>
  <si>
    <t>Agriculture, forestry, fisheries and veterinaryn.f.d.</t>
  </si>
  <si>
    <t>Agriculture</t>
  </si>
  <si>
    <t>Agriculture not further defined</t>
  </si>
  <si>
    <t>Crop and livestock production</t>
  </si>
  <si>
    <t>Horticulture</t>
  </si>
  <si>
    <t>Agriculture not elsewhere classified</t>
  </si>
  <si>
    <t>Forestry</t>
  </si>
  <si>
    <t>Fisheries</t>
  </si>
  <si>
    <t>Veterinary</t>
  </si>
  <si>
    <t>Interdisciplinary programmes involving broad field 08</t>
  </si>
  <si>
    <t>Agriculture, forestry, fisheries and veterinaryn.e.c.</t>
  </si>
  <si>
    <t>Health and welfare</t>
  </si>
  <si>
    <t>Health and welfare not further defined</t>
  </si>
  <si>
    <t>Health</t>
  </si>
  <si>
    <t>Health not further defined</t>
  </si>
  <si>
    <t>Dental studies</t>
  </si>
  <si>
    <t>Medicine</t>
  </si>
  <si>
    <t>Nursing and midwifery</t>
  </si>
  <si>
    <t>Medical diagnostic and treatment technology</t>
  </si>
  <si>
    <t>Therapy and rehabilitation</t>
  </si>
  <si>
    <t>Pharmacy</t>
  </si>
  <si>
    <t>Traditional and complementary medicine and therapy</t>
  </si>
  <si>
    <t>Health not elsewhere classified</t>
  </si>
  <si>
    <t>Welfare</t>
  </si>
  <si>
    <t>Welfare not further defined</t>
  </si>
  <si>
    <t>Care of the elderly and of disabled adults</t>
  </si>
  <si>
    <t>Child care and youth services</t>
  </si>
  <si>
    <t>Social work and counselling</t>
  </si>
  <si>
    <t>Welfare not elsewhere classified</t>
  </si>
  <si>
    <t>Interdisciplinary programmes involving broad field 09</t>
  </si>
  <si>
    <t>Health and welfare not elsewhere classified</t>
  </si>
  <si>
    <t>Health and welfare n.e.c.</t>
  </si>
  <si>
    <t>Services</t>
  </si>
  <si>
    <t>Services not further defined</t>
  </si>
  <si>
    <t>Personal services</t>
  </si>
  <si>
    <t>Personal services not further defined</t>
  </si>
  <si>
    <t>Domestic services</t>
  </si>
  <si>
    <t>Hair and beauty services</t>
  </si>
  <si>
    <t>Hotel, restaurants and catering</t>
  </si>
  <si>
    <t>Sports</t>
  </si>
  <si>
    <t>Travel, tourism and leisure</t>
  </si>
  <si>
    <t>Personal services not elsewhere classified</t>
  </si>
  <si>
    <t>Hygiene and occupational health services</t>
  </si>
  <si>
    <t>Hygiene and occupational health servicesn.f.d.</t>
  </si>
  <si>
    <t>Community sanitation</t>
  </si>
  <si>
    <t>Occupational health and safety</t>
  </si>
  <si>
    <t>Hygiene and occupational health servicesn.e.c.</t>
  </si>
  <si>
    <t>Security services</t>
  </si>
  <si>
    <t>Security services not further defined</t>
  </si>
  <si>
    <t>Military and defence</t>
  </si>
  <si>
    <t>Protection of persons and property</t>
  </si>
  <si>
    <t>Security services not elsewhere classified</t>
  </si>
  <si>
    <t>Transport services</t>
  </si>
  <si>
    <t>Interdisciplinary programmes involving broad field 10</t>
  </si>
  <si>
    <t>Services not elsewhere classified</t>
  </si>
  <si>
    <t>Field unknown</t>
  </si>
  <si>
    <t>00</t>
  </si>
  <si>
    <t>000</t>
  </si>
  <si>
    <t>0000</t>
  </si>
  <si>
    <t>001</t>
  </si>
  <si>
    <t>0011</t>
  </si>
  <si>
    <t>002</t>
  </si>
  <si>
    <t>0021</t>
  </si>
  <si>
    <t>003</t>
  </si>
  <si>
    <t>0031</t>
  </si>
  <si>
    <t>009</t>
  </si>
  <si>
    <t>0099</t>
  </si>
  <si>
    <t>01</t>
  </si>
  <si>
    <t>011</t>
  </si>
  <si>
    <t>0110</t>
  </si>
  <si>
    <t>0111</t>
  </si>
  <si>
    <t>0112</t>
  </si>
  <si>
    <t>0113</t>
  </si>
  <si>
    <t>0114</t>
  </si>
  <si>
    <t>0119</t>
  </si>
  <si>
    <t>018</t>
  </si>
  <si>
    <t>0188</t>
  </si>
  <si>
    <t>02</t>
  </si>
  <si>
    <t>020</t>
  </si>
  <si>
    <t>0200</t>
  </si>
  <si>
    <t>021</t>
  </si>
  <si>
    <t>0210</t>
  </si>
  <si>
    <t>0211</t>
  </si>
  <si>
    <t>0212</t>
  </si>
  <si>
    <t>0213</t>
  </si>
  <si>
    <t>0214</t>
  </si>
  <si>
    <t>0215</t>
  </si>
  <si>
    <t>0219</t>
  </si>
  <si>
    <t>022</t>
  </si>
  <si>
    <t>0220</t>
  </si>
  <si>
    <t>0221</t>
  </si>
  <si>
    <t>0222</t>
  </si>
  <si>
    <t>0223</t>
  </si>
  <si>
    <t>0229</t>
  </si>
  <si>
    <t>023</t>
  </si>
  <si>
    <t>0230</t>
  </si>
  <si>
    <t>0231</t>
  </si>
  <si>
    <t>0232</t>
  </si>
  <si>
    <t>0239</t>
  </si>
  <si>
    <t>028</t>
  </si>
  <si>
    <t>0288</t>
  </si>
  <si>
    <t>029</t>
  </si>
  <si>
    <t>0299</t>
  </si>
  <si>
    <t>03</t>
  </si>
  <si>
    <t>030</t>
  </si>
  <si>
    <t>0300</t>
  </si>
  <si>
    <t>031</t>
  </si>
  <si>
    <t>0310</t>
  </si>
  <si>
    <t>0311</t>
  </si>
  <si>
    <t>0312</t>
  </si>
  <si>
    <t>0313</t>
  </si>
  <si>
    <t>0314</t>
  </si>
  <si>
    <t>0319</t>
  </si>
  <si>
    <t>032</t>
  </si>
  <si>
    <t>0320</t>
  </si>
  <si>
    <t>0321</t>
  </si>
  <si>
    <t>0322</t>
  </si>
  <si>
    <t>0329</t>
  </si>
  <si>
    <t>038</t>
  </si>
  <si>
    <t>0388</t>
  </si>
  <si>
    <t>039</t>
  </si>
  <si>
    <t>0399</t>
  </si>
  <si>
    <t>04</t>
  </si>
  <si>
    <t>040</t>
  </si>
  <si>
    <t>0400</t>
  </si>
  <si>
    <t>041</t>
  </si>
  <si>
    <t>0410</t>
  </si>
  <si>
    <t>0411</t>
  </si>
  <si>
    <t>0412</t>
  </si>
  <si>
    <t>0413</t>
  </si>
  <si>
    <t>0414</t>
  </si>
  <si>
    <t>0415</t>
  </si>
  <si>
    <t>0416</t>
  </si>
  <si>
    <t>0417</t>
  </si>
  <si>
    <t>0419</t>
  </si>
  <si>
    <t>042</t>
  </si>
  <si>
    <t>0421</t>
  </si>
  <si>
    <t>048</t>
  </si>
  <si>
    <t>0488</t>
  </si>
  <si>
    <t>049</t>
  </si>
  <si>
    <t>0499</t>
  </si>
  <si>
    <t>05</t>
  </si>
  <si>
    <t>050</t>
  </si>
  <si>
    <t>0500</t>
  </si>
  <si>
    <t>051</t>
  </si>
  <si>
    <t>0510</t>
  </si>
  <si>
    <t>0511</t>
  </si>
  <si>
    <t>0512</t>
  </si>
  <si>
    <t>0519</t>
  </si>
  <si>
    <t>052</t>
  </si>
  <si>
    <t>0520</t>
  </si>
  <si>
    <t>0521</t>
  </si>
  <si>
    <t>0522</t>
  </si>
  <si>
    <t>0529</t>
  </si>
  <si>
    <t>053</t>
  </si>
  <si>
    <t>0530</t>
  </si>
  <si>
    <t>0531</t>
  </si>
  <si>
    <t>0532</t>
  </si>
  <si>
    <t>0533</t>
  </si>
  <si>
    <t>0539</t>
  </si>
  <si>
    <t>054</t>
  </si>
  <si>
    <t>0540</t>
  </si>
  <si>
    <t>0541</t>
  </si>
  <si>
    <t>0542</t>
  </si>
  <si>
    <t>058</t>
  </si>
  <si>
    <t>0588</t>
  </si>
  <si>
    <t>059</t>
  </si>
  <si>
    <t>0599</t>
  </si>
  <si>
    <t>06</t>
  </si>
  <si>
    <t>061</t>
  </si>
  <si>
    <t>0610</t>
  </si>
  <si>
    <t>0611</t>
  </si>
  <si>
    <t>0612</t>
  </si>
  <si>
    <t>0613</t>
  </si>
  <si>
    <t>0619</t>
  </si>
  <si>
    <t>068</t>
  </si>
  <si>
    <t>0688</t>
  </si>
  <si>
    <t>07</t>
  </si>
  <si>
    <t>070</t>
  </si>
  <si>
    <t>0700</t>
  </si>
  <si>
    <t>071</t>
  </si>
  <si>
    <t>0710</t>
  </si>
  <si>
    <t>0711</t>
  </si>
  <si>
    <t>0712</t>
  </si>
  <si>
    <t>0713</t>
  </si>
  <si>
    <t>0714</t>
  </si>
  <si>
    <t>0715</t>
  </si>
  <si>
    <t>0716</t>
  </si>
  <si>
    <t>0719</t>
  </si>
  <si>
    <t>072</t>
  </si>
  <si>
    <t>0720</t>
  </si>
  <si>
    <t>0721</t>
  </si>
  <si>
    <t>0722</t>
  </si>
  <si>
    <t>0723</t>
  </si>
  <si>
    <t>0724</t>
  </si>
  <si>
    <t>0729</t>
  </si>
  <si>
    <t>073</t>
  </si>
  <si>
    <t>0730</t>
  </si>
  <si>
    <t>0731</t>
  </si>
  <si>
    <t>0732</t>
  </si>
  <si>
    <t>078</t>
  </si>
  <si>
    <t>0788</t>
  </si>
  <si>
    <t>079</t>
  </si>
  <si>
    <t>0799</t>
  </si>
  <si>
    <t>08</t>
  </si>
  <si>
    <t>080</t>
  </si>
  <si>
    <t>0800</t>
  </si>
  <si>
    <t>081</t>
  </si>
  <si>
    <t>0810</t>
  </si>
  <si>
    <t>0811</t>
  </si>
  <si>
    <t>0812</t>
  </si>
  <si>
    <t>0819</t>
  </si>
  <si>
    <t>082</t>
  </si>
  <si>
    <t>0821</t>
  </si>
  <si>
    <t>083</t>
  </si>
  <si>
    <t>0831</t>
  </si>
  <si>
    <t>084</t>
  </si>
  <si>
    <t>0841</t>
  </si>
  <si>
    <t>088</t>
  </si>
  <si>
    <t>0888</t>
  </si>
  <si>
    <t>089</t>
  </si>
  <si>
    <t>0899</t>
  </si>
  <si>
    <t>09</t>
  </si>
  <si>
    <t>090</t>
  </si>
  <si>
    <t>0900</t>
  </si>
  <si>
    <t>091</t>
  </si>
  <si>
    <t>0910</t>
  </si>
  <si>
    <t>0911</t>
  </si>
  <si>
    <t>0912</t>
  </si>
  <si>
    <t>0913</t>
  </si>
  <si>
    <t>0914</t>
  </si>
  <si>
    <t>0915</t>
  </si>
  <si>
    <t>0916</t>
  </si>
  <si>
    <t>0917</t>
  </si>
  <si>
    <t>0919</t>
  </si>
  <si>
    <t>092</t>
  </si>
  <si>
    <t>0920</t>
  </si>
  <si>
    <t>0921</t>
  </si>
  <si>
    <t>0922</t>
  </si>
  <si>
    <t>0923</t>
  </si>
  <si>
    <t>0929</t>
  </si>
  <si>
    <t>098</t>
  </si>
  <si>
    <t>0988</t>
  </si>
  <si>
    <t>099</t>
  </si>
  <si>
    <t>0999</t>
  </si>
  <si>
    <t>10</t>
  </si>
  <si>
    <t>100</t>
  </si>
  <si>
    <t>1000</t>
  </si>
  <si>
    <t>101</t>
  </si>
  <si>
    <t>1010</t>
  </si>
  <si>
    <t>1011</t>
  </si>
  <si>
    <t>1012</t>
  </si>
  <si>
    <t>1013</t>
  </si>
  <si>
    <t>1014</t>
  </si>
  <si>
    <t>1015</t>
  </si>
  <si>
    <t>1019</t>
  </si>
  <si>
    <t>102</t>
  </si>
  <si>
    <t>1020</t>
  </si>
  <si>
    <t>1021</t>
  </si>
  <si>
    <t>1022</t>
  </si>
  <si>
    <t>1029</t>
  </si>
  <si>
    <t>103</t>
  </si>
  <si>
    <t>1030</t>
  </si>
  <si>
    <t>1031</t>
  </si>
  <si>
    <t>1032</t>
  </si>
  <si>
    <t>1039</t>
  </si>
  <si>
    <t>104</t>
  </si>
  <si>
    <t>1041</t>
  </si>
  <si>
    <t>108</t>
  </si>
  <si>
    <t>1088</t>
  </si>
  <si>
    <t>109</t>
  </si>
  <si>
    <t>1099</t>
  </si>
  <si>
    <t>99</t>
  </si>
  <si>
    <t>999</t>
  </si>
  <si>
    <t>9999</t>
  </si>
  <si>
    <t>http://data.europa.eu/esco/isced-f/00</t>
  </si>
  <si>
    <t>http://data.europa.eu/esco/isced-f/000</t>
  </si>
  <si>
    <t>http://data.europa.eu/esco/isced-f/0000</t>
  </si>
  <si>
    <t>http://data.europa.eu/esco/isced-f/001</t>
  </si>
  <si>
    <t>http://data.europa.eu/esco/isced-f/0011</t>
  </si>
  <si>
    <t>http://data.europa.eu/esco/isced-f/002</t>
  </si>
  <si>
    <t>http://data.europa.eu/esco/isced-f/0021</t>
  </si>
  <si>
    <t>http://data.europa.eu/esco/isced-f/003</t>
  </si>
  <si>
    <t>http://data.europa.eu/esco/isced-f/0031</t>
  </si>
  <si>
    <t>http://data.europa.eu/esco/isced-f/009</t>
  </si>
  <si>
    <t>http://data.europa.eu/esco/isced-f/0099</t>
  </si>
  <si>
    <t>http://data.europa.eu/esco/isced-f/01</t>
  </si>
  <si>
    <t>http://data.europa.eu/esco/isced-f/011</t>
  </si>
  <si>
    <t>http://data.europa.eu/esco/isced-f/0110</t>
  </si>
  <si>
    <t>http://data.europa.eu/esco/isced-f/0111</t>
  </si>
  <si>
    <t>http://data.europa.eu/esco/isced-f/0112</t>
  </si>
  <si>
    <t>http://data.europa.eu/esco/isced-f/0113</t>
  </si>
  <si>
    <t>http://data.europa.eu/esco/isced-f/0114</t>
  </si>
  <si>
    <t>http://data.europa.eu/esco/isced-f/0119</t>
  </si>
  <si>
    <t>http://data.europa.eu/esco/isced-f/018</t>
  </si>
  <si>
    <t>http://data.europa.eu/esco/isced-f/0188</t>
  </si>
  <si>
    <t>http://data.europa.eu/esco/isced-f/02</t>
  </si>
  <si>
    <t>http://data.europa.eu/esco/isced-f/020</t>
  </si>
  <si>
    <t>http://data.europa.eu/esco/isced-f/0200</t>
  </si>
  <si>
    <t>http://data.europa.eu/esco/isced-f/021</t>
  </si>
  <si>
    <t>http://data.europa.eu/esco/isced-f/0210</t>
  </si>
  <si>
    <t>http://data.europa.eu/esco/isced-f/0211</t>
  </si>
  <si>
    <t>http://data.europa.eu/esco/isced-f/0212</t>
  </si>
  <si>
    <t>http://data.europa.eu/esco/isced-f/0213</t>
  </si>
  <si>
    <t>http://data.europa.eu/esco/isced-f/0214</t>
  </si>
  <si>
    <t>http://data.europa.eu/esco/isced-f/0215</t>
  </si>
  <si>
    <t>http://data.europa.eu/esco/isced-f/0219</t>
  </si>
  <si>
    <t>http://data.europa.eu/esco/isced-f/022</t>
  </si>
  <si>
    <t>http://data.europa.eu/esco/isced-f/0220</t>
  </si>
  <si>
    <t>http://data.europa.eu/esco/isced-f/0221</t>
  </si>
  <si>
    <t>http://data.europa.eu/esco/isced-f/0222</t>
  </si>
  <si>
    <t>http://data.europa.eu/esco/isced-f/0223</t>
  </si>
  <si>
    <t>http://data.europa.eu/esco/isced-f/0229</t>
  </si>
  <si>
    <t>http://data.europa.eu/esco/isced-f/023</t>
  </si>
  <si>
    <t>http://data.europa.eu/esco/isced-f/0230</t>
  </si>
  <si>
    <t>http://data.europa.eu/esco/isced-f/0231</t>
  </si>
  <si>
    <t>http://data.europa.eu/esco/isced-f/0232</t>
  </si>
  <si>
    <t>http://data.europa.eu/esco/isced-f/0239</t>
  </si>
  <si>
    <t>http://data.europa.eu/esco/isced-f/028</t>
  </si>
  <si>
    <t>http://data.europa.eu/esco/isced-f/0288</t>
  </si>
  <si>
    <t>http://data.europa.eu/esco/isced-f/029</t>
  </si>
  <si>
    <t>http://data.europa.eu/esco/isced-f/0299</t>
  </si>
  <si>
    <t>http://data.europa.eu/esco/isced-f/03</t>
  </si>
  <si>
    <t>http://data.europa.eu/esco/isced-f/030</t>
  </si>
  <si>
    <t>http://data.europa.eu/esco/isced-f/0300</t>
  </si>
  <si>
    <t>http://data.europa.eu/esco/isced-f/031</t>
  </si>
  <si>
    <t>http://data.europa.eu/esco/isced-f/0310</t>
  </si>
  <si>
    <t>http://data.europa.eu/esco/isced-f/0311</t>
  </si>
  <si>
    <t>http://data.europa.eu/esco/isced-f/0312</t>
  </si>
  <si>
    <t>http://data.europa.eu/esco/isced-f/0313</t>
  </si>
  <si>
    <t>http://data.europa.eu/esco/isced-f/0314</t>
  </si>
  <si>
    <t>http://data.europa.eu/esco/isced-f/0319</t>
  </si>
  <si>
    <t>http://data.europa.eu/esco/isced-f/032</t>
  </si>
  <si>
    <t>http://data.europa.eu/esco/isced-f/0320</t>
  </si>
  <si>
    <t>http://data.europa.eu/esco/isced-f/0321</t>
  </si>
  <si>
    <t>http://data.europa.eu/esco/isced-f/0322</t>
  </si>
  <si>
    <t>http://data.europa.eu/esco/isced-f/0329</t>
  </si>
  <si>
    <t>http://data.europa.eu/esco/isced-f/038</t>
  </si>
  <si>
    <t>http://data.europa.eu/esco/isced-f/0388</t>
  </si>
  <si>
    <t>http://data.europa.eu/esco/isced-f/039</t>
  </si>
  <si>
    <t>http://data.europa.eu/esco/isced-f/0399</t>
  </si>
  <si>
    <t>http://data.europa.eu/esco/isced-f/04</t>
  </si>
  <si>
    <t>http://data.europa.eu/esco/isced-f/040</t>
  </si>
  <si>
    <t>http://data.europa.eu/esco/isced-f/0400</t>
  </si>
  <si>
    <t>http://data.europa.eu/esco/isced-f/041</t>
  </si>
  <si>
    <t>http://data.europa.eu/esco/isced-f/0410</t>
  </si>
  <si>
    <t>http://data.europa.eu/esco/isced-f/0411</t>
  </si>
  <si>
    <t>http://data.europa.eu/esco/isced-f/0412</t>
  </si>
  <si>
    <t>http://data.europa.eu/esco/isced-f/0413</t>
  </si>
  <si>
    <t>http://data.europa.eu/esco/isced-f/0414</t>
  </si>
  <si>
    <t>http://data.europa.eu/esco/isced-f/0415</t>
  </si>
  <si>
    <t>http://data.europa.eu/esco/isced-f/0416</t>
  </si>
  <si>
    <t>http://data.europa.eu/esco/isced-f/0417</t>
  </si>
  <si>
    <t>http://data.europa.eu/esco/isced-f/0419</t>
  </si>
  <si>
    <t>http://data.europa.eu/esco/isced-f/042</t>
  </si>
  <si>
    <t>http://data.europa.eu/esco/isced-f/0421</t>
  </si>
  <si>
    <t>http://data.europa.eu/esco/isced-f/048</t>
  </si>
  <si>
    <t>http://data.europa.eu/esco/isced-f/0488</t>
  </si>
  <si>
    <t>http://data.europa.eu/esco/isced-f/049</t>
  </si>
  <si>
    <t>http://data.europa.eu/esco/isced-f/0499</t>
  </si>
  <si>
    <t>http://data.europa.eu/esco/isced-f/05</t>
  </si>
  <si>
    <t>http://data.europa.eu/esco/isced-f/050</t>
  </si>
  <si>
    <t>http://data.europa.eu/esco/isced-f/0500</t>
  </si>
  <si>
    <t>http://data.europa.eu/esco/isced-f/051</t>
  </si>
  <si>
    <t>http://data.europa.eu/esco/isced-f/0510</t>
  </si>
  <si>
    <t>http://data.europa.eu/esco/isced-f/0511</t>
  </si>
  <si>
    <t>http://data.europa.eu/esco/isced-f/0512</t>
  </si>
  <si>
    <t>http://data.europa.eu/esco/isced-f/0519</t>
  </si>
  <si>
    <t>http://data.europa.eu/esco/isced-f/052</t>
  </si>
  <si>
    <t>http://data.europa.eu/esco/isced-f/0520</t>
  </si>
  <si>
    <t>http://data.europa.eu/esco/isced-f/0521</t>
  </si>
  <si>
    <t>http://data.europa.eu/esco/isced-f/0522</t>
  </si>
  <si>
    <t>http://data.europa.eu/esco/isced-f/0529</t>
  </si>
  <si>
    <t>http://data.europa.eu/esco/isced-f/053</t>
  </si>
  <si>
    <t>http://data.europa.eu/esco/isced-f/0530</t>
  </si>
  <si>
    <t>http://data.europa.eu/esco/isced-f/0531</t>
  </si>
  <si>
    <t>http://data.europa.eu/esco/isced-f/0532</t>
  </si>
  <si>
    <t>http://data.europa.eu/esco/isced-f/0533</t>
  </si>
  <si>
    <t>http://data.europa.eu/esco/isced-f/0539</t>
  </si>
  <si>
    <t>http://data.europa.eu/esco/isced-f/054</t>
  </si>
  <si>
    <t>http://data.europa.eu/esco/isced-f/0540</t>
  </si>
  <si>
    <t>http://data.europa.eu/esco/isced-f/0541</t>
  </si>
  <si>
    <t>http://data.europa.eu/esco/isced-f/0542</t>
  </si>
  <si>
    <t>http://data.europa.eu/esco/isced-f/058</t>
  </si>
  <si>
    <t>http://data.europa.eu/esco/isced-f/0588</t>
  </si>
  <si>
    <t>http://data.europa.eu/esco/isced-f/059</t>
  </si>
  <si>
    <t>http://data.europa.eu/esco/isced-f/0599</t>
  </si>
  <si>
    <t>http://data.europa.eu/esco/isced-f/06</t>
  </si>
  <si>
    <t>http://data.europa.eu/esco/isced-f/061</t>
  </si>
  <si>
    <t>http://data.europa.eu/esco/isced-f/0610</t>
  </si>
  <si>
    <t>http://data.europa.eu/esco/isced-f/0611</t>
  </si>
  <si>
    <t>http://data.europa.eu/esco/isced-f/0612</t>
  </si>
  <si>
    <t>http://data.europa.eu/esco/isced-f/0613</t>
  </si>
  <si>
    <t>http://data.europa.eu/esco/isced-f/0619</t>
  </si>
  <si>
    <t>http://data.europa.eu/esco/isced-f/068</t>
  </si>
  <si>
    <t>http://data.europa.eu/esco/isced-f/0688</t>
  </si>
  <si>
    <t>http://data.europa.eu/esco/isced-f/07</t>
  </si>
  <si>
    <t>http://data.europa.eu/esco/isced-f/070</t>
  </si>
  <si>
    <t>http://data.europa.eu/esco/isced-f/0700</t>
  </si>
  <si>
    <t>http://data.europa.eu/esco/isced-f/071</t>
  </si>
  <si>
    <t>http://data.europa.eu/esco/isced-f/0710</t>
  </si>
  <si>
    <t>http://data.europa.eu/esco/isced-f/0711</t>
  </si>
  <si>
    <t>http://data.europa.eu/esco/isced-f/0712</t>
  </si>
  <si>
    <t>http://data.europa.eu/esco/isced-f/0713</t>
  </si>
  <si>
    <t>http://data.europa.eu/esco/isced-f/0714</t>
  </si>
  <si>
    <t>http://data.europa.eu/esco/isced-f/0715</t>
  </si>
  <si>
    <t>http://data.europa.eu/esco/isced-f/0716</t>
  </si>
  <si>
    <t>http://data.europa.eu/esco/isced-f/0719</t>
  </si>
  <si>
    <t>http://data.europa.eu/esco/isced-f/072</t>
  </si>
  <si>
    <t>http://data.europa.eu/esco/isced-f/0720</t>
  </si>
  <si>
    <t>http://data.europa.eu/esco/isced-f/0721</t>
  </si>
  <si>
    <t>http://data.europa.eu/esco/isced-f/0722</t>
  </si>
  <si>
    <t>http://data.europa.eu/esco/isced-f/0723</t>
  </si>
  <si>
    <t>http://data.europa.eu/esco/isced-f/0724</t>
  </si>
  <si>
    <t>http://data.europa.eu/esco/isced-f/0729</t>
  </si>
  <si>
    <t>http://data.europa.eu/esco/isced-f/073</t>
  </si>
  <si>
    <t>http://data.europa.eu/esco/isced-f/0730</t>
  </si>
  <si>
    <t>http://data.europa.eu/esco/isced-f/0731</t>
  </si>
  <si>
    <t>http://data.europa.eu/esco/isced-f/0732</t>
  </si>
  <si>
    <t>http://data.europa.eu/esco/isced-f/078</t>
  </si>
  <si>
    <t>http://data.europa.eu/esco/isced-f/0788</t>
  </si>
  <si>
    <t>http://data.europa.eu/esco/isced-f/079</t>
  </si>
  <si>
    <t>http://data.europa.eu/esco/isced-f/0799</t>
  </si>
  <si>
    <t>http://data.europa.eu/esco/isced-f/08</t>
  </si>
  <si>
    <t>http://data.europa.eu/esco/isced-f/080</t>
  </si>
  <si>
    <t>http://data.europa.eu/esco/isced-f/0800</t>
  </si>
  <si>
    <t>http://data.europa.eu/esco/isced-f/081</t>
  </si>
  <si>
    <t>http://data.europa.eu/esco/isced-f/0810</t>
  </si>
  <si>
    <t>http://data.europa.eu/esco/isced-f/0811</t>
  </si>
  <si>
    <t>http://data.europa.eu/esco/isced-f/0812</t>
  </si>
  <si>
    <t>http://data.europa.eu/esco/isced-f/0819</t>
  </si>
  <si>
    <t>http://data.europa.eu/esco/isced-f/082</t>
  </si>
  <si>
    <t>http://data.europa.eu/esco/isced-f/0821</t>
  </si>
  <si>
    <t>http://data.europa.eu/esco/isced-f/083</t>
  </si>
  <si>
    <t>http://data.europa.eu/esco/isced-f/0831</t>
  </si>
  <si>
    <t>http://data.europa.eu/esco/isced-f/084</t>
  </si>
  <si>
    <t>http://data.europa.eu/esco/isced-f/0841</t>
  </si>
  <si>
    <t>http://data.europa.eu/esco/isced-f/088</t>
  </si>
  <si>
    <t>http://data.europa.eu/esco/isced-f/0888</t>
  </si>
  <si>
    <t>http://data.europa.eu/esco/isced-f/089</t>
  </si>
  <si>
    <t>http://data.europa.eu/esco/isced-f/0899</t>
  </si>
  <si>
    <t>http://data.europa.eu/esco/isced-f/09</t>
  </si>
  <si>
    <t>http://data.europa.eu/esco/isced-f/090</t>
  </si>
  <si>
    <t>http://data.europa.eu/esco/isced-f/0900</t>
  </si>
  <si>
    <t>http://data.europa.eu/esco/isced-f/091</t>
  </si>
  <si>
    <t>http://data.europa.eu/esco/isced-f/0910</t>
  </si>
  <si>
    <t>http://data.europa.eu/esco/isced-f/0911</t>
  </si>
  <si>
    <t>http://data.europa.eu/esco/isced-f/0912</t>
  </si>
  <si>
    <t>http://data.europa.eu/esco/isced-f/0913</t>
  </si>
  <si>
    <t>http://data.europa.eu/esco/isced-f/0914</t>
  </si>
  <si>
    <t>http://data.europa.eu/esco/isced-f/0915</t>
  </si>
  <si>
    <t>http://data.europa.eu/esco/isced-f/0916</t>
  </si>
  <si>
    <t>http://data.europa.eu/esco/isced-f/0917</t>
  </si>
  <si>
    <t>http://data.europa.eu/esco/isced-f/0919</t>
  </si>
  <si>
    <t>http://data.europa.eu/esco/isced-f/092</t>
  </si>
  <si>
    <t>http://data.europa.eu/esco/isced-f/0920</t>
  </si>
  <si>
    <t>http://data.europa.eu/esco/isced-f/0921</t>
  </si>
  <si>
    <t>http://data.europa.eu/esco/isced-f/0922</t>
  </si>
  <si>
    <t>http://data.europa.eu/esco/isced-f/0923</t>
  </si>
  <si>
    <t>http://data.europa.eu/esco/isced-f/0929</t>
  </si>
  <si>
    <t>http://data.europa.eu/esco/isced-f/098</t>
  </si>
  <si>
    <t>http://data.europa.eu/esco/isced-f/0988</t>
  </si>
  <si>
    <t>http://data.europa.eu/esco/isced-f/099</t>
  </si>
  <si>
    <t>http://data.europa.eu/esco/isced-f/0999</t>
  </si>
  <si>
    <t>http://data.europa.eu/esco/isced-f/10</t>
  </si>
  <si>
    <t>http://data.europa.eu/esco/isced-f/100</t>
  </si>
  <si>
    <t>http://data.europa.eu/esco/isced-f/1000</t>
  </si>
  <si>
    <t>http://data.europa.eu/esco/isced-f/101</t>
  </si>
  <si>
    <t>http://data.europa.eu/esco/isced-f/1010</t>
  </si>
  <si>
    <t>http://data.europa.eu/esco/isced-f/1011</t>
  </si>
  <si>
    <t>http://data.europa.eu/esco/isced-f/1012</t>
  </si>
  <si>
    <t>http://data.europa.eu/esco/isced-f/1013</t>
  </si>
  <si>
    <t>http://data.europa.eu/esco/isced-f/1014</t>
  </si>
  <si>
    <t>http://data.europa.eu/esco/isced-f/1015</t>
  </si>
  <si>
    <t>http://data.europa.eu/esco/isced-f/1019</t>
  </si>
  <si>
    <t>http://data.europa.eu/esco/isced-f/102</t>
  </si>
  <si>
    <t>http://data.europa.eu/esco/isced-f/1020</t>
  </si>
  <si>
    <t>http://data.europa.eu/esco/isced-f/1021</t>
  </si>
  <si>
    <t>http://data.europa.eu/esco/isced-f/1022</t>
  </si>
  <si>
    <t>http://data.europa.eu/esco/isced-f/1029</t>
  </si>
  <si>
    <t>http://data.europa.eu/esco/isced-f/103</t>
  </si>
  <si>
    <t>http://data.europa.eu/esco/isced-f/1030</t>
  </si>
  <si>
    <t>http://data.europa.eu/esco/isced-f/1031</t>
  </si>
  <si>
    <t>http://data.europa.eu/esco/isced-f/1032</t>
  </si>
  <si>
    <t>http://data.europa.eu/esco/isced-f/1039</t>
  </si>
  <si>
    <t>http://data.europa.eu/esco/isced-f/104</t>
  </si>
  <si>
    <t>http://data.europa.eu/esco/isced-f/1041</t>
  </si>
  <si>
    <t>http://data.europa.eu/esco/isced-f/108</t>
  </si>
  <si>
    <t>http://data.europa.eu/esco/isced-f/1088</t>
  </si>
  <si>
    <t>http://data.europa.eu/esco/isced-f/109</t>
  </si>
  <si>
    <t>http://data.europa.eu/esco/isced-f/1099</t>
  </si>
  <si>
    <t>http://data.europa.eu/esco/isced-f/99</t>
  </si>
  <si>
    <t>http://data.europa.eu/esco/isced-f/999</t>
  </si>
  <si>
    <t>http://data.europa.eu/esco/isced-f/9999</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</si>
  <si>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</si>
  <si>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</si>
  <si>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</si>
  <si>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</si>
  <si>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</si>
  <si>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</si>
  <si>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</si>
  <si>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</si>
  <si>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</si>
  <si>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</si>
  <si>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</si>
  <si>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</si>
  <si>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</si>
  <si>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</si>
  <si>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</si>
  <si>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</si>
  <si>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</si>
  <si>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</si>
  <si>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</si>
  <si>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</si>
  <si>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</si>
  <si>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</si>
  <si>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</si>
  <si>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</si>
  <si>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</si>
  <si>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</si>
  <si>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</si>
  <si>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</si>
  <si>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</si>
  <si>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</si>
  <si>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</si>
  <si>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</si>
  <si>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</si>
  <si>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</si>
  <si>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</si>
  <si>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</si>
  <si>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</si>
  <si>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</si>
  <si>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</si>
  <si>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</si>
  <si>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</si>
  <si>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</si>
  <si>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</si>
  <si>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</si>
  <si>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</si>
  <si>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</si>
  <si>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</si>
  <si>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</si>
  <si>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</si>
  <si>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</si>
  <si>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</si>
  <si>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</si>
  <si>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</si>
  <si>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</si>
  <si>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</si>
  <si>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</si>
  <si>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</si>
  <si>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</si>
  <si>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</si>
  <si>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</si>
  <si>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</si>
  <si>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</si>
  <si>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</si>
  <si>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</si>
  <si>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</si>
  <si>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</si>
  <si>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</si>
  <si>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</si>
  <si>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</si>
  <si>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</si>
  <si>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</si>
  <si>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</si>
  <si>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</si>
  <si>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</si>
  <si>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</si>
  <si>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</si>
  <si>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</si>
  <si>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</si>
  <si>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</si>
  <si>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</si>
  <si>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</si>
  <si>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</si>
  <si>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</si>
  <si>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</si>
  <si>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</si>
  <si>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</si>
  <si>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</si>
  <si>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</si>
  <si>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</si>
  <si>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</si>
  <si>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</si>
  <si>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</si>
  <si>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</si>
  <si>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</si>
  <si>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</si>
  <si>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</si>
  <si>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</si>
  <si>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</si>
  <si>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</si>
  <si>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</si>
  <si>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</si>
  <si>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</si>
  <si>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</si>
  <si>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</si>
  <si>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</si>
  <si>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</si>
  <si>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</si>
  <si>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</si>
  <si>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</si>
  <si>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</si>
  <si>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</si>
  <si>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</si>
  <si>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</si>
  <si>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</si>
  <si>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</si>
  <si>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</si>
  <si>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</si>
  <si>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</si>
  <si>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</si>
  <si>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</si>
  <si>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</si>
  <si>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</si>
  <si>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</si>
  <si>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</si>
  <si>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</si>
  <si>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</si>
  <si>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</si>
  <si>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</si>
  <si>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</si>
  <si>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</si>
  <si>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</si>
  <si>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</si>
  <si>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</si>
  <si>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</si>
  <si>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</si>
  <si>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</si>
  <si>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</si>
  <si>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</si>
  <si>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</si>
  <si>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</si>
  <si>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</si>
  <si>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</si>
  <si>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</si>
  <si>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</si>
  <si>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</si>
  <si>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</si>
  <si>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</si>
  <si>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</si>
  <si>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</si>
  <si>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</si>
  <si>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</si>
  <si>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</si>
  <si>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</si>
  <si>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</si>
  <si>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</si>
  <si>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</si>
  <si>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</si>
  <si>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</si>
  <si>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</si>
  <si>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</si>
  <si>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</si>
  <si>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</si>
  <si>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</si>
  <si>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</si>
  <si>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</si>
  <si>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</si>
  <si>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</si>
  <si>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</si>
  <si>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</si>
  <si>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</si>
  <si>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</si>
  <si>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</si>
  <si>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</si>
  <si>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</si>
  <si>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</si>
  <si>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</si>
  <si>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</si>
  <si>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</si>
  <si>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</si>
  <si>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</si>
  <si>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</si>
  <si>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</si>
  <si>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</si>
  <si>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</si>
  <si>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</si>
  <si>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</si>
  <si>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</si>
  <si>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</si>
  <si>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</si>
  <si>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</si>
  <si>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</si>
  <si>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</si>
  <si>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</si>
  <si>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</si>
  <si>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</si>
  <si>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</si>
  <si>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</si>
  <si>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</si>
  <si>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</si>
  <si>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</si>
  <si>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</si>
  <si>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</si>
  <si>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</si>
  <si>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</si>
  <si>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</si>
  <si>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</si>
  <si>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</si>
  <si>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</si>
  <si>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</si>
  <si>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</si>
  <si>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</si>
  <si>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</si>
  <si>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</si>
  <si>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</si>
  <si>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</si>
  <si>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</si>
  <si>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</si>
  <si>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</si>
  <si>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</si>
  <si>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</si>
  <si>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</si>
  <si>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</si>
  <si>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</si>
  <si>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</si>
  <si>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</si>
  <si>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</si>
  <si>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</si>
  <si>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</si>
  <si>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</si>
  <si>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</si>
  <si>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</si>
  <si>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</si>
  <si>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</si>
  <si>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</si>
  <si>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</si>
  <si>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</si>
  <si>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</si>
  <si>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</si>
  <si>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</si>
  <si>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</si>
  <si>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</si>
  <si>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</si>
  <si>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</si>
  <si>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</si>
  <si>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</si>
  <si>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</si>
  <si>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</si>
  <si>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</si>
  <si>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</si>
  <si>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</si>
  <si>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</si>
  <si>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</si>
  <si>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</si>
  <si>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</si>
  <si>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</si>
  <si>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</si>
  <si>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</si>
  <si>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</si>
  <si>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</si>
  <si>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</si>
  <si>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</si>
  <si>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</si>
  <si>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</si>
  <si>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</si>
  <si>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</si>
  <si>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</si>
  <si>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</si>
  <si>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</si>
  <si>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</si>
  <si>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</si>
  <si>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</si>
  <si>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</si>
  <si>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</si>
  <si>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</si>
  <si>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</si>
  <si>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</si>
  <si>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</si>
  <si>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</si>
  <si>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</si>
  <si>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</si>
  <si>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</si>
  <si>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</si>
  <si>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</si>
  <si>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</si>
  <si>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</si>
  <si>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</si>
  <si>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</si>
  <si>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</si>
  <si>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</si>
  <si>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</si>
  <si>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</si>
  <si>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</si>
  <si>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</si>
  <si>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</si>
  <si>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</si>
  <si>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</si>
  <si>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</si>
  <si>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</si>
  <si>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</si>
  <si>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</si>
  <si>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</si>
  <si>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</si>
  <si>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</si>
  <si>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</si>
  <si>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</si>
  <si>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</si>
  <si>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</si>
  <si>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</si>
  <si>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</si>
  <si>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</si>
  <si>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</si>
  <si>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</si>
  <si>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</si>
  <si>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</si>
  <si>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</si>
  <si>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</si>
  <si>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</si>
  <si>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</si>
  <si>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</si>
  <si>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</si>
  <si>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</si>
  <si>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</si>
  <si>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</si>
  <si>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</si>
  <si>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</si>
  <si>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</si>
  <si>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</si>
  <si>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</si>
  <si>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</si>
  <si>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</si>
  <si>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</si>
  <si>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</si>
  <si>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</si>
  <si>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</si>
  <si>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</si>
  <si>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</si>
  <si>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</si>
  <si>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</si>
  <si>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</si>
  <si>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</si>
  <si>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</si>
  <si>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</si>
  <si>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</si>
  <si>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</si>
  <si>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</si>
  <si>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</si>
  <si>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</si>
  <si>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</si>
  <si>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</si>
  <si>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</si>
  <si>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</si>
  <si>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</si>
  <si>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</si>
  <si>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</si>
  <si>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</si>
  <si>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</si>
  <si>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</si>
  <si>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</si>
  <si>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</si>
  <si>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</si>
  <si>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</si>
  <si>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</si>
  <si>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</si>
  <si>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</si>
  <si>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</si>
  <si>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</si>
  <si>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</si>
  <si>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</si>
  <si>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</si>
  <si>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</si>
  <si>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</si>
  <si>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</si>
  <si>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</si>
  <si>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</si>
  <si>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</si>
  <si>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</si>
  <si>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</si>
  <si>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</si>
  <si>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</si>
  <si>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</si>
  <si>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</si>
  <si>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</si>
  <si>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</si>
  <si>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</si>
  <si>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</si>
  <si>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</si>
  <si>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</si>
  <si>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</si>
  <si>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</si>
  <si>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</si>
  <si>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</si>
  <si>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</si>
  <si>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</si>
  <si>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</si>
  <si>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</si>
  <si>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</si>
  <si>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</si>
  <si>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</si>
  <si>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</si>
  <si>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</si>
  <si>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</si>
  <si>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</si>
  <si>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</si>
  <si>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</si>
  <si>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</si>
  <si>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</si>
  <si>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</si>
  <si>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</si>
  <si>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</si>
  <si>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</si>
  <si>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</si>
  <si>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</si>
  <si>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</si>
  <si>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</si>
  <si>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</si>
  <si>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</si>
  <si>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</si>
  <si>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</si>
  <si>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</si>
  <si>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</si>
  <si>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</si>
  <si>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</si>
  <si>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</si>
  <si>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</si>
  <si>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</si>
  <si>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</si>
  <si>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</si>
  <si>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</si>
  <si>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</si>
  <si>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</si>
  <si>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</si>
  <si>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</si>
  <si>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</si>
  <si>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</si>
  <si>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</si>
  <si>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</si>
  <si>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</si>
  <si>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</si>
  <si>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</si>
  <si>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</si>
  <si>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</si>
  <si>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</si>
  <si>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</si>
  <si>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</si>
  <si>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</si>
  <si>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</si>
  <si>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</si>
  <si>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</si>
  <si>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</si>
  <si>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</si>
  <si>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</si>
  <si>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</si>
  <si>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</si>
  <si>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</si>
  <si>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</si>
  <si>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</si>
  <si>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</si>
  <si>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</si>
  <si>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</si>
  <si>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</si>
  <si>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</si>
  <si>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</si>
  <si>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</si>
  <si>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</si>
  <si>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</si>
  <si>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</si>
  <si>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</si>
  <si>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</si>
  <si>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</si>
  <si>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</si>
  <si>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</si>
  <si>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</si>
  <si>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</si>
  <si>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</si>
  <si>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</si>
  <si>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</si>
  <si>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</si>
  <si>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</si>
  <si>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</si>
  <si>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</si>
  <si>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</si>
  <si>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</si>
  <si>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</si>
  <si>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</si>
  <si>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</si>
  <si>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</si>
  <si>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</si>
  <si>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</si>
  <si>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</si>
  <si>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</si>
  <si>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</si>
  <si>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</si>
  <si>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</si>
  <si>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</si>
  <si>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</si>
  <si>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</si>
  <si>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</si>
  <si>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</si>
  <si>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Presential</t>
  </si>
  <si>
    <t>Blended</t>
  </si>
  <si>
    <t>Workbased</t>
  </si>
  <si>
    <t>Project based</t>
  </si>
  <si>
    <t>Research-Lab based</t>
  </si>
  <si>
    <t>http://data.europa.eu/europass/modeOfLearningAndAssessment/online</t>
  </si>
  <si>
    <t>http://data.europa.eu/europass/modeOfLearningAndAssessment/presential</t>
  </si>
  <si>
    <t>http://data.europa.eu/europass/modeOfLearningAndAssessment/blended</t>
  </si>
  <si>
    <t>http://data.europa.eu/europass/modeOfLearningAndAssessment/workbased</t>
  </si>
  <si>
    <t>http://data.europa.eu/europass/modeOfLearningAndAssessment/projectBased</t>
  </si>
  <si>
    <t>http://data.europa.eu/europass/modeOfLearningAndAssessment/laboratoryPractice</t>
  </si>
  <si>
    <t>formal learning</t>
  </si>
  <si>
    <t>formal</t>
  </si>
  <si>
    <t>non-formal learning</t>
  </si>
  <si>
    <t>non-formal</t>
  </si>
  <si>
    <t>http://data.europa.eu/europass/learningSettingType/formal</t>
  </si>
  <si>
    <t>http://data.europa.eu/europass/learningSettingType/nonFormal</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</si>
  <si>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</si>
  <si>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Add Code Description to all references sheets and github</t>
  </si>
  <si>
    <t>TODO1</t>
  </si>
  <si>
    <t>TODO2</t>
  </si>
  <si>
    <t>Link Credentials &gt; Achievements via multiselect to achievements</t>
  </si>
  <si>
    <t>TODO3</t>
  </si>
  <si>
    <t>Decide on whether you have multiple languages in language of instruction</t>
  </si>
  <si>
    <t>http://data.europa.eu/europass/targetGroup/completedprimary</t>
  </si>
  <si>
    <t>Persons who have completed primary education</t>
  </si>
  <si>
    <t>http://data.europa.eu/europass/targetGroup/completedcompulsory</t>
  </si>
  <si>
    <t>Persons who have completed secondary/compulsory education</t>
  </si>
  <si>
    <t>http://data.europa.eu/europass/targetGroup/completedEQF6</t>
  </si>
  <si>
    <t>Persons who have completed tertiary education (EQF 6)</t>
  </si>
  <si>
    <t>http://data.europa.eu/europass/targetGroup/completedEQF7</t>
  </si>
  <si>
    <t>Persons who have completed tertiary education (EQF 7)</t>
  </si>
  <si>
    <t>http://data.europa.eu/europass/targetGroup/completedEQF8</t>
  </si>
  <si>
    <t>Persons who have completed tertiary education (EQF 8)</t>
  </si>
  <si>
    <t>http://data.europa.eu/europass/targetGroup/inprimary</t>
  </si>
  <si>
    <t>Persons in primary education</t>
  </si>
  <si>
    <t>http://data.europa.eu/europass/targetGroup/incompulsory</t>
  </si>
  <si>
    <t>Persons in secondary/compulsory education</t>
  </si>
  <si>
    <t>http://data.europa.eu/europass/targetGroup/inEQF6</t>
  </si>
  <si>
    <t>Persons in tertiary education (EQF 6)</t>
  </si>
  <si>
    <t>http://data.europa.eu/europass/targetGroup/inEQF7</t>
  </si>
  <si>
    <t>Persons in tertiary education (EQF 7)</t>
  </si>
  <si>
    <t>http://data.europa.eu/europass/targetGroup/inEQF8</t>
  </si>
  <si>
    <t>Persons in tertiary education (EQF 8)</t>
  </si>
  <si>
    <t>http://data.europa.eu/europass/targetGroup/0yearwork</t>
  </si>
  <si>
    <t>Persons with 0-3 years work experience</t>
  </si>
  <si>
    <t>http://data.europa.eu/europass/targetGroup/3yearwork</t>
  </si>
  <si>
    <t>Persons with 3-10 years work experience</t>
  </si>
  <si>
    <t>http://data.europa.eu/europass/targetGroup/10yearwork</t>
  </si>
  <si>
    <t>Persons with 10+ years work experience</t>
  </si>
  <si>
    <t>http://data.europa.eu/europass/targetGroup/requireretraining</t>
  </si>
  <si>
    <t>Persons requiring employment retraining</t>
  </si>
  <si>
    <t>http://data.europa.eu/europass/targetGroup/lowachievers</t>
  </si>
  <si>
    <t>Low Achievers</t>
  </si>
  <si>
    <t>http://data.europa.eu/europass/targetGroup/highachievers</t>
  </si>
  <si>
    <t>High Achievers</t>
  </si>
  <si>
    <t>http://data.europa.eu/europass/targetGroup/migrants</t>
  </si>
  <si>
    <t>Migrants</t>
  </si>
  <si>
    <t>http://data.europa.eu/europass/targetGroup/learningdisability</t>
  </si>
  <si>
    <t>Persons with a learning disability</t>
  </si>
  <si>
    <t>http://data.europa.eu/europass/targetGroup/nativespeakers</t>
  </si>
  <si>
    <t>Native Speakers</t>
  </si>
  <si>
    <t>http://data.europa.eu/europass/targetGroup/nonnativespeakers</t>
  </si>
  <si>
    <t>Non-Native Speakers</t>
  </si>
  <si>
    <t>TODO4</t>
  </si>
  <si>
    <t>Decide on whether to allow multiple target groups</t>
  </si>
  <si>
    <t>Level 1</t>
  </si>
  <si>
    <t>http://data.europa.eu/esco/eqf/1</t>
  </si>
  <si>
    <t>Level 2</t>
  </si>
  <si>
    <t>http://data.europa.eu/esco/eqf/2</t>
  </si>
  <si>
    <t>Level 3</t>
  </si>
  <si>
    <t>http://data.europa.eu/esco/eqf/3</t>
  </si>
  <si>
    <t>Level 4</t>
  </si>
  <si>
    <t>http://data.europa.eu/esco/eqf/4</t>
  </si>
  <si>
    <t>Level 5</t>
  </si>
  <si>
    <t>http://data.europa.eu/esco/eqf/5</t>
  </si>
  <si>
    <t>Level 6</t>
  </si>
  <si>
    <t>http://data.europa.eu/esco/eqf/6</t>
  </si>
  <si>
    <t>Level 7</t>
  </si>
  <si>
    <t>http://data.europa.eu/esco/eqf/7</t>
  </si>
  <si>
    <t>Level 8</t>
  </si>
  <si>
    <t>http://data.europa.eu/esco/eqf/8</t>
  </si>
  <si>
    <t>TODO5</t>
  </si>
  <si>
    <t>Change EQF Level to CODE</t>
  </si>
  <si>
    <t>TODO6</t>
  </si>
  <si>
    <t>http://data.europa.eu/esco/qdr/QF/AT</t>
  </si>
  <si>
    <t>http://data.europa.eu/esco/qdr/QF/BE2</t>
  </si>
  <si>
    <t>http://data.europa.eu/esco/qdr/QF/BE3</t>
  </si>
  <si>
    <t>http://data.europa.eu/esco/qdr/QF/BE4</t>
  </si>
  <si>
    <t>http://data.europa.eu/esco/qdr/QF/BG</t>
  </si>
  <si>
    <t>http://data.europa.eu/esco/qdr/QF/CH</t>
  </si>
  <si>
    <t>http://data.europa.eu/esco/qdr/QF/CY</t>
  </si>
  <si>
    <t>http://data.europa.eu/esco/qdr/QF/CZ</t>
  </si>
  <si>
    <t>http://data.europa.eu/esco/qdr/QF/DE</t>
  </si>
  <si>
    <t>http://data.europa.eu/esco/qdr/QF/DK</t>
  </si>
  <si>
    <t>http://data.europa.eu/esco/qdr/QF/EE</t>
  </si>
  <si>
    <t>http://data.europa.eu/esco/qdr/QF/EL</t>
  </si>
  <si>
    <t>http://data.europa.eu/esco/qdr/QF/ES</t>
  </si>
  <si>
    <t>http://data.europa.eu/esco/qdr/QF/FI</t>
  </si>
  <si>
    <t>http://data.europa.eu/esco/qdr/QF/FR</t>
  </si>
  <si>
    <t>http://data.europa.eu/esco/qdr/QF/HR</t>
  </si>
  <si>
    <t>http://data.europa.eu/esco/qdr/QF/HU</t>
  </si>
  <si>
    <t>http://data.europa.eu/esco/qdr/QF/IE</t>
  </si>
  <si>
    <t>http://data.europa.eu/esco/qdr/QF/IS</t>
  </si>
  <si>
    <t>http://data.europa.eu/esco/qdr/QF/IT</t>
  </si>
  <si>
    <t>http://data.europa.eu/esco/qdr/QF/LI</t>
  </si>
  <si>
    <t>http://data.europa.eu/esco/qdr/QF/LT</t>
  </si>
  <si>
    <t>http://data.europa.eu/esco/qdr/QF/LU</t>
  </si>
  <si>
    <t>http://data.europa.eu/esco/qdr/QF/LV</t>
  </si>
  <si>
    <t>http://data.europa.eu/esco/qdr/QF/ME</t>
  </si>
  <si>
    <t>http://data.europa.eu/esco/qdr/QF/MK</t>
  </si>
  <si>
    <t>http://data.europa.eu/esco/qdr/QF/MT</t>
  </si>
  <si>
    <t>http://data.europa.eu/esco/qdr/QF/NL</t>
  </si>
  <si>
    <t>http://data.europa.eu/esco/qdr/QF/NO</t>
  </si>
  <si>
    <t>http://data.europa.eu/esco/qdr/QF/PL</t>
  </si>
  <si>
    <t>http://data.europa.eu/esco/qdr/QF/PT</t>
  </si>
  <si>
    <t>http://data.europa.eu/esco/qdr/QF/RO</t>
  </si>
  <si>
    <t>http://data.europa.eu/esco/qdr/QF/SE</t>
  </si>
  <si>
    <t>http://data.europa.eu/esco/qdr/QF/SK</t>
  </si>
  <si>
    <t>http://data.europa.eu/esco/qdr/QF/SI</t>
  </si>
  <si>
    <t>http://data.europa.eu/esco/qdr/QF/TR</t>
  </si>
  <si>
    <t>http://data.europa.eu/esco/qdr/QF/UK</t>
  </si>
  <si>
    <t>http://data.europa.eu/esco/qdr/QF/UKM</t>
  </si>
  <si>
    <t>http://data.europa.eu/esco/qdr/QF/UKL</t>
  </si>
  <si>
    <t>AT Qualifications Framework</t>
  </si>
  <si>
    <t>BE2 Qualifications Framework</t>
  </si>
  <si>
    <t>BE3 Qualifications Framework</t>
  </si>
  <si>
    <t>BE4 Qualifications Framework</t>
  </si>
  <si>
    <t>BG Qualifications Framework</t>
  </si>
  <si>
    <t>CH Qualifications Framework</t>
  </si>
  <si>
    <t>CY Qualifications Framework</t>
  </si>
  <si>
    <t>CZ Qualifications Framework</t>
  </si>
  <si>
    <t>DE Qualifications Framework</t>
  </si>
  <si>
    <t>DK Qualifications Framework</t>
  </si>
  <si>
    <t>EE Qualifications Framework</t>
  </si>
  <si>
    <t>EL Qualifications Framework</t>
  </si>
  <si>
    <t>ES Qualifications Framework</t>
  </si>
  <si>
    <t>FI Qualifications Framework</t>
  </si>
  <si>
    <t>FR Qualifications Framework</t>
  </si>
  <si>
    <t>HR Qualifications Framework</t>
  </si>
  <si>
    <t>HU Qualifications Framework</t>
  </si>
  <si>
    <t>IE Qualifications Framework</t>
  </si>
  <si>
    <t>IS Qualifications Framework</t>
  </si>
  <si>
    <t>IT Qualifications Framework</t>
  </si>
  <si>
    <t>LI Qualifications Framework</t>
  </si>
  <si>
    <t>LT Qualifications Framework</t>
  </si>
  <si>
    <t>LU Qualifications Framework</t>
  </si>
  <si>
    <t>LV Qualifications Framework</t>
  </si>
  <si>
    <t>ME Qualifications Framework</t>
  </si>
  <si>
    <t>MK Qualifications Framework</t>
  </si>
  <si>
    <t>MT Qualifications Framework</t>
  </si>
  <si>
    <t>NL Qualifications Framework</t>
  </si>
  <si>
    <t>NO Qualifications Framework</t>
  </si>
  <si>
    <t>PL Qualifications Framework</t>
  </si>
  <si>
    <t>PT Qualifications Framework</t>
  </si>
  <si>
    <t>RO Qualifications Framework</t>
  </si>
  <si>
    <t>SE Qualifications Framework</t>
  </si>
  <si>
    <t>SK Qualifications Framework</t>
  </si>
  <si>
    <t>SI Qualifications Framework</t>
  </si>
  <si>
    <t>TR Qualifications Framework</t>
  </si>
  <si>
    <t>UK Qualifications Framework</t>
  </si>
  <si>
    <t>UKM Qualifications Framework</t>
  </si>
  <si>
    <t>UKL Qualifications Framework</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</si>
  <si>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</si>
  <si>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Column110</t>
  </si>
  <si>
    <t>Column111</t>
  </si>
  <si>
    <t>Column112</t>
  </si>
  <si>
    <t>Column113</t>
  </si>
  <si>
    <t>Column114</t>
  </si>
  <si>
    <t>Column115</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</si>
  <si>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</si>
  <si>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</si>
  <si>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</si>
  <si>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</si>
  <si>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</si>
  <si>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</si>
  <si>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</si>
  <si>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</si>
  <si>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</si>
  <si>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</si>
  <si>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</si>
  <si>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</si>
  <si>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</si>
  <si>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</si>
  <si>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</si>
  <si>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</si>
  <si>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</si>
  <si>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achieved</t>
  </si>
  <si>
    <t>Credental Metadata &gt; Achievements</t>
  </si>
  <si>
    <t>Default text</t>
  </si>
  <si>
    <t>Universitat de Barcelona</t>
  </si>
  <si>
    <t>Issuer - Should come from drop-down</t>
  </si>
  <si>
    <t xml:space="preserve">Achievement 1 title EN </t>
  </si>
  <si>
    <t xml:space="preserve">Achievement 2 title EN </t>
  </si>
  <si>
    <t>Reference.ignore</t>
  </si>
  <si>
    <t>Association.ignore</t>
  </si>
  <si>
    <t>EuropassCredential.display</t>
  </si>
  <si>
    <t>contentUrl</t>
  </si>
  <si>
    <t>Person
This sheet allows you to list any Organizations referenced in the credential. The first row should ALWAYS be the issuing organization of the credential.</t>
  </si>
  <si>
    <t>Full legal name of the organization, as registered with national authorities. The legal name should only be translated to languages where official translations (submitted to national authorities) exist.</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</si>
  <si>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organizations for their members, their target group or the general public.</t>
  </si>
  <si>
    <r>
      <rPr>
        <b/>
        <i/>
        <sz val="11"/>
        <color theme="1"/>
        <rFont val="Calibri"/>
        <family val="2"/>
        <scheme val="minor"/>
      </rPr>
      <t>Organizations</t>
    </r>
    <r>
      <rPr>
        <i/>
        <sz val="11"/>
        <color theme="1"/>
        <rFont val="Calibri"/>
        <family val="2"/>
        <scheme val="minor"/>
      </rPr>
      <t xml:space="preserve">
This is the main sheet for describing legal persons / registered organization.</t>
    </r>
  </si>
  <si>
    <t>Person.placeOfBirth</t>
  </si>
  <si>
    <t>geographicName</t>
  </si>
  <si>
    <t>background</t>
  </si>
  <si>
    <t>Person.gender</t>
  </si>
  <si>
    <t>Person.citizenshipCountry#1</t>
  </si>
  <si>
    <t>Person.citizenshipCountry#2</t>
  </si>
  <si>
    <t>Columna1</t>
  </si>
  <si>
    <t>Columna2</t>
  </si>
  <si>
    <t>type1</t>
  </si>
  <si>
    <t>type2</t>
  </si>
  <si>
    <t>Person.contactPoint#1.email#1</t>
  </si>
  <si>
    <t>jordi.castillo.quer@everis.com</t>
  </si>
  <si>
    <t>EuropassCredential.contains#1</t>
  </si>
  <si>
    <t>Column32</t>
  </si>
  <si>
    <t>http://localhost:8080/europass2/edci-wallet/api/v1/wallets/esayosll@everis.com/credentials/urn_credential_0ddc5ce2-70bd-4cac-b97a-8ef2806c0c9a</t>
  </si>
  <si>
    <t>application/octet-stream</t>
  </si>
  <si>
    <t>LearningAchievement</t>
  </si>
  <si>
    <t>Organisation</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</si>
</sst>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i/>
      <sz val="11"/>
      <color theme="1"/>
      <name val="Calibri"/>
      <family val="2"/>
      <scheme val="minor"/>
    </font>
    <font>
      <sz val="8"/>
      <color theme="1"/>
      <name val="Calibri"/>
      <family val="2"/>
      <scheme val="minor"/>
    </font>
    <font>
      <i/>
      <sz val="18"/>
      <color theme="1"/>
      <name val="Calibri"/>
      <family val="2"/>
      <scheme val="minor"/>
    </font>
    <font>
      <sz val="11"/>
      <color theme="1"/>
      <name val="Calibri"/>
      <family val="2"/>
    </font>
    <font>
      <b/>
      <sz val="11"/>
      <color rgb="FFFF000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sz val="11"/>
      <color theme="1"/>
      <name val="Calibri"/>
      <family val="2"/>
      <scheme val="minor"/>
    </font>
    <font>
      <b/>
      <i/>
      <sz val="11"/>
      <color theme="1"/>
      <name val="Calibri"/>
      <family val="2"/>
      <scheme val="minor"/>
    </font>
    <font>
      <sz val="11"/>
      <color rgb="FFFFFFFF"/>
      <name val="Calibri"/>
      <family val="2"/>
      <scheme val="minor"/>
    </font>
    <font>
      <sz val="14"/>
      <color theme="1"/>
      <name val="Calibri"/>
      <family val="2"/>
      <scheme val="minor"/>
    </font>
    <font>
      <b/>
      <sz val="11"/>
      <color theme="0"/>
      <name val="Calibri"/>
      <family val="2"/>
      <scheme val="minor"/>
    </font>
    <font>
      <b/>
      <sz val="11"/>
      <color rgb="FFFA7D00"/>
      <name val="Calibri"/>
      <family val="2"/>
      <scheme val="minor"/>
    </font>
    <font>
      <b/>
      <sz val="18"/>
      <color rgb="FFFA7D00"/>
      <name val="Calibri"/>
      <family val="2"/>
      <scheme val="minor"/>
    </font>
    <font>
      <sz val="11"/>
      <name val="Calibri"/>
      <family val="2"/>
      <scheme val="minor"/>
    </font>
    <font>
      <sz val="11"/>
      <color rgb="FF9C0006"/>
      <name val="Calibri"/>
      <family val="2"/>
      <scheme val="minor"/>
    </font>
    <font>
      <sz val="9"/>
      <color rgb="FF505050"/>
      <name val="Arial"/>
      <family val="2"/>
    </font>
  </fonts>
  <fills count="14">
    <fill>
      <patternFill patternType="none"/>
    </fill>
    <fill>
      <patternFill patternType="gray125"/>
    </fill>
    <fill>
      <patternFill patternType="lightDown"/>
    </fill>
    <fill>
      <patternFill patternType="solid">
        <fgColor indexed="6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548235"/>
        <bgColor indexed="64"/>
      </patternFill>
    </fill>
    <fill>
      <patternFill patternType="darkDown">
        <bgColor theme="7" tint="0.79995117038483843"/>
      </patternFill>
    </fill>
    <fill>
      <patternFill patternType="solid">
        <fgColor theme="4"/>
        <bgColor theme="4"/>
      </patternFill>
    </fill>
    <fill>
      <patternFill patternType="solid">
        <fgColor theme="0"/>
        <bgColor indexed="64"/>
      </patternFill>
    </fill>
    <fill>
      <patternFill patternType="solid">
        <fgColor rgb="FFF2F2F2"/>
      </patternFill>
    </fill>
    <fill>
      <patternFill patternType="solid">
        <fgColor theme="4" tint="0.79998168889431442"/>
        <bgColor theme="4" tint="0.79998168889431442"/>
      </patternFill>
    </fill>
    <fill>
      <patternFill patternType="solid">
        <fgColor rgb="FFFFC7CE"/>
      </patternFill>
    </fill>
  </fills>
  <borders count="26">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s>
  <cellStyleXfs count="6">
    <xf numFmtId="0" fontId="0" fillId="0" borderId="0"/>
    <xf numFmtId="0" fontId="10" fillId="0" borderId="0" applyNumberFormat="0" applyFill="0" applyBorder="0" applyAlignment="0" applyProtection="0"/>
    <xf numFmtId="14" fontId="11" fillId="0" borderId="0" applyNumberFormat="0" applyProtection="0">
      <alignment vertical="top" wrapText="1"/>
    </xf>
    <xf numFmtId="0" fontId="16" fillId="11" borderId="20" applyNumberFormat="0" applyAlignment="0" applyProtection="0"/>
    <xf numFmtId="0" fontId="11" fillId="0" borderId="0"/>
    <xf numFmtId="0" fontId="19" fillId="13" borderId="0" applyNumberFormat="0" applyBorder="0" applyAlignment="0" applyProtection="0"/>
  </cellStyleXfs>
  <cellXfs count="149">
    <xf numFmtId="0" fontId="0" fillId="0" borderId="0" xfId="0"/>
    <xf numFmtId="0" fontId="0" fillId="0" borderId="0" xfId="0" applyAlignment="1">
      <alignment vertical="top"/>
    </xf>
    <xf numFmtId="0" fontId="1" fillId="0" borderId="1" xfId="0" applyFont="1" applyBorder="1" applyAlignment="1">
      <alignment vertical="top"/>
    </xf>
    <xf numFmtId="0" fontId="1" fillId="0" borderId="0" xfId="0" applyFont="1" applyAlignment="1">
      <alignment vertical="top"/>
    </xf>
    <xf numFmtId="0" fontId="0" fillId="0" borderId="0" xfId="0" applyBorder="1" applyAlignment="1">
      <alignment vertical="top"/>
    </xf>
    <xf numFmtId="0" fontId="2" fillId="0" borderId="3" xfId="0" applyFont="1" applyBorder="1" applyAlignment="1">
      <alignment vertical="top" wrapText="1"/>
    </xf>
    <xf numFmtId="0" fontId="2" fillId="0" borderId="3" xfId="0" applyFont="1" applyBorder="1" applyAlignment="1">
      <alignment vertical="top"/>
    </xf>
    <xf numFmtId="0" fontId="1" fillId="0" borderId="0" xfId="0" applyFont="1" applyBorder="1" applyAlignment="1">
      <alignment vertical="top"/>
    </xf>
    <xf numFmtId="14" fontId="0" fillId="0" borderId="0" xfId="0" applyNumberFormat="1" applyBorder="1" applyAlignment="1">
      <alignment vertical="top"/>
    </xf>
    <xf numFmtId="0" fontId="1" fillId="0" borderId="0" xfId="0" applyFont="1"/>
    <xf numFmtId="14" fontId="0" fillId="0" borderId="0" xfId="0" applyNumberFormat="1"/>
    <xf numFmtId="14" fontId="0" fillId="0" borderId="0" xfId="0" applyNumberFormat="1" applyFill="1" applyBorder="1" applyAlignment="1">
      <alignment vertical="top"/>
    </xf>
    <xf numFmtId="0" fontId="2" fillId="0" borderId="0" xfId="0" applyFont="1" applyBorder="1" applyAlignment="1">
      <alignment vertical="top" wrapText="1"/>
    </xf>
    <xf numFmtId="0" fontId="1" fillId="2" borderId="0" xfId="0" applyFont="1" applyFill="1" applyAlignment="1">
      <alignment vertical="top"/>
    </xf>
    <xf numFmtId="14" fontId="0" fillId="2" borderId="0" xfId="0" applyNumberFormat="1" applyFill="1" applyBorder="1" applyAlignment="1">
      <alignment vertical="top"/>
    </xf>
    <xf numFmtId="0" fontId="6" fillId="3" borderId="0" xfId="0" applyFont="1" applyFill="1" applyAlignment="1">
      <alignment vertical="top"/>
    </xf>
    <xf numFmtId="0" fontId="1" fillId="4" borderId="1" xfId="0" applyFont="1" applyFill="1" applyBorder="1" applyAlignment="1">
      <alignment vertical="top"/>
    </xf>
    <xf numFmtId="0" fontId="0" fillId="4" borderId="1" xfId="0" applyFill="1" applyBorder="1" applyAlignment="1">
      <alignment vertical="top"/>
    </xf>
    <xf numFmtId="0" fontId="1" fillId="4" borderId="0" xfId="0" applyFont="1" applyFill="1" applyAlignment="1">
      <alignment vertical="top"/>
    </xf>
    <xf numFmtId="0" fontId="3" fillId="4" borderId="0" xfId="0" applyFont="1" applyFill="1" applyAlignment="1">
      <alignment vertical="top" wrapText="1"/>
    </xf>
    <xf numFmtId="0" fontId="0" fillId="4" borderId="0" xfId="0" applyFill="1" applyAlignment="1">
      <alignment vertical="top"/>
    </xf>
    <xf numFmtId="0" fontId="1" fillId="4" borderId="2" xfId="0" applyFont="1" applyFill="1" applyBorder="1" applyAlignment="1">
      <alignment vertical="top"/>
    </xf>
    <xf numFmtId="0" fontId="0" fillId="4" borderId="2" xfId="0" applyFill="1" applyBorder="1" applyAlignment="1">
      <alignment vertical="top"/>
    </xf>
    <xf numFmtId="0" fontId="0" fillId="4" borderId="0" xfId="0" applyFill="1"/>
    <xf numFmtId="0" fontId="1" fillId="0" borderId="4" xfId="0" applyFont="1" applyBorder="1" applyAlignment="1">
      <alignment vertical="top"/>
    </xf>
    <xf numFmtId="0" fontId="1" fillId="0" borderId="5" xfId="0" applyFont="1" applyBorder="1" applyAlignment="1">
      <alignment vertical="top"/>
    </xf>
    <xf numFmtId="0" fontId="1" fillId="4" borderId="6" xfId="0" applyFont="1" applyFill="1" applyBorder="1" applyAlignment="1">
      <alignment horizontal="left" vertical="top" wrapText="1"/>
    </xf>
    <xf numFmtId="0" fontId="3" fillId="4" borderId="5" xfId="0" applyFont="1" applyFill="1" applyBorder="1" applyAlignment="1">
      <alignment vertical="top" wrapText="1"/>
    </xf>
    <xf numFmtId="0" fontId="3" fillId="4" borderId="7" xfId="0" applyFont="1" applyFill="1" applyBorder="1" applyAlignment="1">
      <alignment vertical="top" wrapText="1"/>
    </xf>
    <xf numFmtId="0" fontId="1" fillId="0" borderId="8" xfId="0" applyFont="1" applyBorder="1" applyAlignment="1">
      <alignment vertical="top"/>
    </xf>
    <xf numFmtId="0" fontId="1" fillId="0" borderId="9" xfId="0" applyFont="1" applyBorder="1" applyAlignment="1">
      <alignment vertical="top"/>
    </xf>
    <xf numFmtId="0" fontId="1" fillId="0" borderId="10" xfId="0" applyFont="1" applyBorder="1" applyAlignment="1">
      <alignment vertical="top"/>
    </xf>
    <xf numFmtId="0" fontId="1" fillId="0" borderId="11" xfId="0" applyFont="1" applyBorder="1" applyAlignment="1">
      <alignment vertical="top"/>
    </xf>
    <xf numFmtId="0" fontId="1" fillId="4" borderId="12" xfId="0" applyFont="1" applyFill="1" applyBorder="1" applyAlignment="1">
      <alignment horizontal="left" vertical="top" wrapText="1"/>
    </xf>
    <xf numFmtId="0" fontId="1" fillId="4" borderId="13" xfId="0" applyFont="1" applyFill="1" applyBorder="1" applyAlignment="1">
      <alignment horizontal="left" vertical="top" wrapText="1"/>
    </xf>
    <xf numFmtId="0" fontId="3" fillId="4" borderId="10" xfId="0" applyFont="1" applyFill="1" applyBorder="1" applyAlignment="1">
      <alignment vertical="top" wrapText="1"/>
    </xf>
    <xf numFmtId="0" fontId="3" fillId="4" borderId="11" xfId="0" applyFont="1" applyFill="1" applyBorder="1" applyAlignment="1">
      <alignment vertical="top" wrapText="1"/>
    </xf>
    <xf numFmtId="0" fontId="3" fillId="4" borderId="14" xfId="0" applyFont="1" applyFill="1" applyBorder="1" applyAlignment="1">
      <alignment vertical="top" wrapText="1"/>
    </xf>
    <xf numFmtId="0" fontId="3" fillId="4" borderId="15" xfId="0" applyFont="1" applyFill="1" applyBorder="1" applyAlignment="1">
      <alignment vertical="top" wrapText="1"/>
    </xf>
    <xf numFmtId="0" fontId="1" fillId="0" borderId="16" xfId="0" applyFont="1" applyBorder="1" applyAlignment="1">
      <alignment vertical="top"/>
    </xf>
    <xf numFmtId="0" fontId="0" fillId="4" borderId="10" xfId="0" applyFill="1" applyBorder="1" applyAlignment="1">
      <alignment vertical="top"/>
    </xf>
    <xf numFmtId="0" fontId="0" fillId="4" borderId="11" xfId="0" applyFill="1" applyBorder="1" applyAlignment="1">
      <alignment vertical="top"/>
    </xf>
    <xf numFmtId="0" fontId="0" fillId="4" borderId="14" xfId="0" applyFill="1" applyBorder="1" applyAlignment="1">
      <alignment vertical="top"/>
    </xf>
    <xf numFmtId="0" fontId="0" fillId="4" borderId="15" xfId="0" applyFill="1" applyBorder="1" applyAlignment="1">
      <alignment vertical="top"/>
    </xf>
    <xf numFmtId="0" fontId="0" fillId="0" borderId="10" xfId="0" applyBorder="1"/>
    <xf numFmtId="0" fontId="0" fillId="0" borderId="11" xfId="0" applyBorder="1"/>
    <xf numFmtId="0" fontId="1" fillId="4" borderId="12" xfId="0" applyFont="1" applyFill="1" applyBorder="1" applyAlignment="1">
      <alignment vertical="top"/>
    </xf>
    <xf numFmtId="0" fontId="1" fillId="4" borderId="13" xfId="0" applyFont="1" applyFill="1" applyBorder="1" applyAlignment="1">
      <alignment vertical="top"/>
    </xf>
    <xf numFmtId="0" fontId="1" fillId="4" borderId="10" xfId="0" applyFont="1" applyFill="1" applyBorder="1" applyAlignment="1">
      <alignment vertical="top"/>
    </xf>
    <xf numFmtId="0" fontId="1" fillId="4" borderId="11" xfId="0" applyFont="1" applyFill="1" applyBorder="1" applyAlignment="1">
      <alignment vertical="top"/>
    </xf>
    <xf numFmtId="0" fontId="1" fillId="4" borderId="14" xfId="0" applyFont="1" applyFill="1" applyBorder="1" applyAlignment="1">
      <alignment vertical="top"/>
    </xf>
    <xf numFmtId="0" fontId="1" fillId="4" borderId="15" xfId="0" applyFont="1" applyFill="1" applyBorder="1" applyAlignment="1">
      <alignment vertical="top"/>
    </xf>
    <xf numFmtId="0" fontId="0" fillId="2" borderId="0" xfId="0" applyFill="1"/>
    <xf numFmtId="0" fontId="1" fillId="2" borderId="5" xfId="0" applyFont="1" applyFill="1" applyBorder="1" applyAlignment="1">
      <alignment vertical="top"/>
    </xf>
    <xf numFmtId="0" fontId="1" fillId="2" borderId="10" xfId="0" applyFont="1" applyFill="1" applyBorder="1" applyAlignment="1">
      <alignment vertical="top"/>
    </xf>
    <xf numFmtId="0" fontId="1" fillId="2" borderId="11" xfId="0" applyFont="1" applyFill="1" applyBorder="1" applyAlignment="1">
      <alignment vertical="top"/>
    </xf>
    <xf numFmtId="0" fontId="0" fillId="2" borderId="10" xfId="0" applyFill="1" applyBorder="1"/>
    <xf numFmtId="0" fontId="0" fillId="2" borderId="11" xfId="0" applyFill="1" applyBorder="1"/>
    <xf numFmtId="14" fontId="0" fillId="0" borderId="0" xfId="0" applyNumberFormat="1" applyAlignment="1">
      <alignment vertical="top"/>
    </xf>
    <xf numFmtId="0" fontId="12" fillId="0" borderId="0" xfId="0" applyFont="1"/>
    <xf numFmtId="0" fontId="0" fillId="0" borderId="0" xfId="0" applyAlignment="1">
      <alignment wrapText="1"/>
    </xf>
    <xf numFmtId="0" fontId="13" fillId="7" borderId="0" xfId="0" applyFont="1" applyFill="1"/>
    <xf numFmtId="0" fontId="13" fillId="7" borderId="0" xfId="0" applyFont="1" applyFill="1" applyAlignment="1">
      <alignment wrapText="1"/>
    </xf>
    <xf numFmtId="14" fontId="0" fillId="0" borderId="0" xfId="0" applyNumberFormat="1" applyFill="1" applyAlignment="1">
      <alignment vertical="top"/>
    </xf>
    <xf numFmtId="0" fontId="0" fillId="0" borderId="0" xfId="0" applyAlignment="1">
      <alignment horizontal="left" vertical="top"/>
    </xf>
    <xf numFmtId="0" fontId="10" fillId="0" borderId="0" xfId="1"/>
    <xf numFmtId="0" fontId="0" fillId="5" borderId="0" xfId="0" applyFill="1" applyBorder="1" applyAlignment="1" applyProtection="1">
      <alignment vertical="top" wrapText="1"/>
      <protection locked="0"/>
    </xf>
    <xf numFmtId="0" fontId="0" fillId="5" borderId="0" xfId="0" applyNumberFormat="1" applyFill="1" applyBorder="1" applyAlignment="1" applyProtection="1">
      <alignment vertical="top" wrapText="1"/>
      <protection locked="0"/>
    </xf>
    <xf numFmtId="14" fontId="0" fillId="5" borderId="0" xfId="0" applyNumberFormat="1" applyFont="1" applyFill="1" applyBorder="1" applyAlignment="1" applyProtection="1">
      <alignment vertical="top" wrapText="1"/>
      <protection locked="0"/>
    </xf>
    <xf numFmtId="0" fontId="2" fillId="0" borderId="3" xfId="0" applyFont="1" applyBorder="1" applyAlignment="1" applyProtection="1">
      <alignment vertical="top"/>
    </xf>
    <xf numFmtId="0" fontId="2" fillId="0" borderId="3" xfId="0" applyFont="1" applyBorder="1" applyAlignment="1" applyProtection="1">
      <alignment vertical="top" wrapText="1"/>
    </xf>
    <xf numFmtId="0" fontId="0" fillId="0" borderId="3" xfId="0" applyBorder="1" applyAlignment="1" applyProtection="1">
      <alignment vertical="top" wrapText="1"/>
    </xf>
    <xf numFmtId="0" fontId="0" fillId="0" borderId="3" xfId="0" applyNumberFormat="1" applyBorder="1" applyAlignment="1" applyProtection="1">
      <alignment vertical="top" wrapText="1"/>
    </xf>
    <xf numFmtId="0" fontId="2" fillId="0" borderId="3" xfId="0" applyNumberFormat="1" applyFont="1" applyBorder="1" applyAlignment="1" applyProtection="1">
      <alignment vertical="top" wrapText="1"/>
    </xf>
    <xf numFmtId="0" fontId="0" fillId="0" borderId="0" xfId="0" applyAlignment="1" applyProtection="1">
      <alignment vertical="top" wrapText="1"/>
    </xf>
    <xf numFmtId="0" fontId="1" fillId="0" borderId="0" xfId="0" applyFont="1" applyAlignment="1" applyProtection="1">
      <alignment vertical="top" wrapText="1"/>
    </xf>
    <xf numFmtId="0" fontId="1" fillId="0" borderId="0" xfId="0" applyNumberFormat="1" applyFont="1" applyAlignment="1" applyProtection="1">
      <alignment vertical="top" wrapText="1"/>
    </xf>
    <xf numFmtId="0" fontId="1" fillId="0" borderId="1" xfId="0" applyFont="1" applyBorder="1" applyAlignment="1" applyProtection="1">
      <alignment vertical="top" wrapText="1"/>
    </xf>
    <xf numFmtId="0" fontId="0" fillId="0" borderId="1" xfId="0" applyBorder="1" applyAlignment="1" applyProtection="1">
      <alignment vertical="top" wrapText="1"/>
    </xf>
    <xf numFmtId="0" fontId="1" fillId="4" borderId="1" xfId="0" applyFont="1" applyFill="1" applyBorder="1" applyAlignment="1" applyProtection="1">
      <alignment vertical="top" wrapText="1"/>
    </xf>
    <xf numFmtId="0" fontId="1" fillId="4" borderId="1" xfId="0" applyNumberFormat="1" applyFont="1" applyFill="1" applyBorder="1" applyAlignment="1" applyProtection="1">
      <alignment horizontal="left" vertical="top" wrapText="1"/>
    </xf>
    <xf numFmtId="0" fontId="1" fillId="4" borderId="0" xfId="0" applyFont="1" applyFill="1" applyAlignment="1" applyProtection="1">
      <alignment vertical="top" wrapText="1"/>
    </xf>
    <xf numFmtId="0" fontId="0" fillId="4" borderId="0" xfId="0" applyFill="1" applyAlignment="1" applyProtection="1">
      <alignment vertical="top" wrapText="1"/>
    </xf>
    <xf numFmtId="0" fontId="3" fillId="4" borderId="0" xfId="0" applyNumberFormat="1" applyFont="1" applyFill="1" applyAlignment="1" applyProtection="1">
      <alignment vertical="top" wrapText="1"/>
    </xf>
    <xf numFmtId="0" fontId="1" fillId="4" borderId="2" xfId="0" applyFont="1" applyFill="1" applyBorder="1" applyAlignment="1" applyProtection="1">
      <alignment vertical="top" wrapText="1"/>
    </xf>
    <xf numFmtId="0" fontId="0" fillId="4" borderId="2" xfId="0" applyFill="1" applyBorder="1" applyAlignment="1" applyProtection="1">
      <alignment vertical="top" wrapText="1"/>
    </xf>
    <xf numFmtId="0" fontId="3" fillId="4" borderId="2" xfId="0" applyNumberFormat="1" applyFont="1" applyFill="1" applyBorder="1" applyAlignment="1" applyProtection="1">
      <alignment vertical="top" wrapText="1"/>
    </xf>
    <xf numFmtId="0" fontId="1" fillId="5" borderId="0" xfId="0" applyFont="1" applyFill="1" applyBorder="1" applyAlignment="1" applyProtection="1">
      <alignment vertical="top" wrapText="1"/>
    </xf>
    <xf numFmtId="0" fontId="0" fillId="5" borderId="0" xfId="0" applyFill="1" applyBorder="1" applyAlignment="1" applyProtection="1">
      <alignment vertical="top" wrapText="1"/>
    </xf>
    <xf numFmtId="14" fontId="0" fillId="5" borderId="0" xfId="0" applyNumberFormat="1" applyFill="1" applyBorder="1" applyAlignment="1" applyProtection="1">
      <alignment vertical="top" wrapText="1"/>
    </xf>
    <xf numFmtId="0" fontId="0" fillId="8" borderId="0" xfId="0" applyFill="1" applyBorder="1" applyAlignment="1" applyProtection="1">
      <alignment vertical="top" wrapText="1"/>
    </xf>
    <xf numFmtId="14" fontId="0" fillId="0" borderId="0" xfId="0" applyNumberFormat="1" applyAlignment="1" applyProtection="1">
      <alignment vertical="top" wrapText="1"/>
    </xf>
    <xf numFmtId="0" fontId="0" fillId="6" borderId="0" xfId="0" applyFill="1" applyAlignment="1" applyProtection="1">
      <alignment vertical="top" wrapText="1"/>
    </xf>
    <xf numFmtId="14" fontId="0" fillId="6" borderId="0" xfId="0" applyNumberFormat="1" applyFill="1" applyAlignment="1" applyProtection="1">
      <alignment vertical="top" wrapText="1"/>
    </xf>
    <xf numFmtId="0" fontId="10" fillId="6" borderId="0" xfId="1" applyFill="1" applyAlignment="1" applyProtection="1">
      <alignment vertical="top" wrapText="1"/>
    </xf>
    <xf numFmtId="0" fontId="14" fillId="5" borderId="0" xfId="0" applyFont="1" applyFill="1"/>
    <xf numFmtId="0" fontId="0" fillId="5" borderId="0" xfId="0" applyFill="1"/>
    <xf numFmtId="0" fontId="14" fillId="5" borderId="0" xfId="0" applyFont="1" applyFill="1" applyAlignment="1">
      <alignment vertical="center"/>
    </xf>
    <xf numFmtId="0" fontId="0" fillId="5" borderId="0" xfId="0" applyFill="1" applyAlignment="1">
      <alignment vertical="center"/>
    </xf>
    <xf numFmtId="0" fontId="15" fillId="9" borderId="17" xfId="0" applyFont="1" applyFill="1" applyBorder="1" applyAlignment="1" applyProtection="1">
      <alignment vertical="top" wrapText="1"/>
    </xf>
    <xf numFmtId="0" fontId="15" fillId="9" borderId="18" xfId="0" applyFont="1" applyFill="1" applyBorder="1" applyAlignment="1" applyProtection="1">
      <alignment vertical="top" wrapText="1"/>
    </xf>
    <xf numFmtId="0" fontId="15" fillId="9" borderId="19" xfId="0" applyFont="1" applyFill="1" applyBorder="1" applyAlignment="1" applyProtection="1">
      <alignment vertical="top" wrapText="1"/>
    </xf>
    <xf numFmtId="0" fontId="0" fillId="10" borderId="0" xfId="0" applyFill="1" applyAlignment="1" applyProtection="1">
      <alignment vertical="top" wrapText="1"/>
    </xf>
    <xf numFmtId="0" fontId="17" fillId="11" borderId="20" xfId="3" applyFont="1"/>
    <xf numFmtId="0" fontId="17" fillId="11" borderId="21" xfId="3" applyFont="1" applyBorder="1"/>
    <xf numFmtId="0" fontId="1" fillId="0" borderId="22" xfId="0" applyFont="1" applyBorder="1" applyAlignment="1">
      <alignment wrapText="1"/>
    </xf>
    <xf numFmtId="0" fontId="1" fillId="0" borderId="0" xfId="0" applyFont="1" applyAlignment="1">
      <alignment vertical="top" wrapText="1"/>
    </xf>
    <xf numFmtId="0" fontId="1" fillId="0" borderId="1" xfId="0" applyFont="1" applyBorder="1" applyAlignment="1">
      <alignment vertical="top" wrapText="1"/>
    </xf>
    <xf numFmtId="0" fontId="0" fillId="0" borderId="0" xfId="0" applyAlignment="1">
      <alignment vertical="top" wrapText="1"/>
    </xf>
    <xf numFmtId="0" fontId="1" fillId="4" borderId="1" xfId="0" applyFont="1" applyFill="1" applyBorder="1" applyAlignment="1">
      <alignment vertical="top" wrapText="1"/>
    </xf>
    <xf numFmtId="0" fontId="0" fillId="4" borderId="0" xfId="0" applyFill="1" applyAlignment="1">
      <alignment vertical="top" wrapText="1"/>
    </xf>
    <xf numFmtId="0" fontId="0" fillId="4" borderId="2" xfId="0" applyFill="1" applyBorder="1" applyAlignment="1">
      <alignment vertical="top" wrapText="1"/>
    </xf>
    <xf numFmtId="0" fontId="0" fillId="5" borderId="0" xfId="0" applyFill="1" applyAlignment="1">
      <alignment vertical="top" wrapText="1"/>
    </xf>
    <xf numFmtId="0" fontId="10" fillId="0" borderId="0" xfId="1" applyAlignment="1" applyProtection="1">
      <alignment vertical="top" wrapText="1"/>
    </xf>
    <xf numFmtId="0" fontId="0" fillId="6" borderId="0" xfId="0" applyFill="1" applyAlignment="1">
      <alignment vertical="top" wrapText="1"/>
    </xf>
    <xf numFmtId="0" fontId="15" fillId="9" borderId="24" xfId="0" applyFont="1" applyFill="1" applyBorder="1"/>
    <xf numFmtId="0" fontId="1" fillId="12" borderId="24" xfId="0" applyFont="1" applyFill="1" applyBorder="1"/>
    <xf numFmtId="0" fontId="1" fillId="12" borderId="25" xfId="0" applyFont="1" applyFill="1" applyBorder="1"/>
    <xf numFmtId="0" fontId="0" fillId="12" borderId="24" xfId="0" applyFont="1" applyFill="1" applyBorder="1"/>
    <xf numFmtId="0" fontId="1" fillId="12" borderId="23" xfId="0" applyFont="1" applyFill="1" applyBorder="1"/>
    <xf numFmtId="0" fontId="11" fillId="0" borderId="0" xfId="4"/>
    <xf numFmtId="0" fontId="0" fillId="0" borderId="0" xfId="0"/>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Fill="1"/>
    <xf numFmtId="0" fontId="0" fillId="0" borderId="0" xfId="0"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alignment vertical="top" wrapText="1"/>
    </xf>
    <xf numFmtId="0" fontId="0" fillId="0" borderId="0" xfId="0" applyAlignment="1">
      <alignment wrapText="1"/>
    </xf>
    <xf numFmtId="0" fontId="0" fillId="0" borderId="0" xfId="0"/>
    <xf numFmtId="0" fontId="0" fillId="0" borderId="0" xfId="0" applyAlignment="1">
      <alignment horizontal="left" vertical="top"/>
    </xf>
    <xf numFmtId="0" fontId="0" fillId="0" borderId="0" xfId="0"/>
    <xf numFmtId="0" fontId="0" fillId="0" borderId="0" xfId="0" applyAlignment="1">
      <alignment horizontal="left" vertical="top"/>
    </xf>
    <xf numFmtId="0" fontId="10" fillId="0" borderId="0" xfId="1" applyFill="1"/>
    <xf numFmtId="0" fontId="0" fillId="0" borderId="0" xfId="0" applyProtection="1">
      <protection locked="0"/>
    </xf>
    <xf numFmtId="0" fontId="0" fillId="0" borderId="0" xfId="0" applyNumberFormat="1" applyFill="1" applyAlignment="1">
      <alignment vertical="top"/>
    </xf>
    <xf numFmtId="0" fontId="0" fillId="10" borderId="0" xfId="0" applyNumberFormat="1" applyFont="1" applyFill="1" applyBorder="1" applyAlignment="1" applyProtection="1">
      <alignment vertical="top" wrapText="1"/>
    </xf>
    <xf numFmtId="0" fontId="15" fillId="10" borderId="18" xfId="0" applyNumberFormat="1" applyFont="1" applyFill="1" applyBorder="1" applyAlignment="1" applyProtection="1">
      <alignment vertical="top" wrapText="1"/>
    </xf>
    <xf numFmtId="0" fontId="15" fillId="10" borderId="19" xfId="0" applyNumberFormat="1" applyFont="1" applyFill="1" applyBorder="1" applyAlignment="1" applyProtection="1">
      <alignment vertical="top" wrapText="1"/>
    </xf>
    <xf numFmtId="0" fontId="15" fillId="10" borderId="0" xfId="0" applyNumberFormat="1" applyFont="1" applyFill="1" applyBorder="1" applyAlignment="1" applyProtection="1">
      <alignment vertical="top" wrapText="1"/>
    </xf>
    <xf numFmtId="0" fontId="18" fillId="10" borderId="17" xfId="0" applyNumberFormat="1" applyFont="1" applyFill="1" applyBorder="1" applyAlignment="1" applyProtection="1">
      <alignment vertical="top" wrapText="1"/>
    </xf>
    <xf numFmtId="0" fontId="0" fillId="0" borderId="0" xfId="0" applyNumberFormat="1" applyFill="1" applyBorder="1" applyAlignment="1">
      <alignment vertical="top"/>
    </xf>
    <xf numFmtId="0" fontId="19" fillId="13" borderId="0" xfId="5" applyAlignment="1" applyProtection="1">
      <alignment vertical="top" wrapText="1"/>
    </xf>
    <xf numFmtId="14" fontId="10" fillId="0" borderId="0" xfId="1" applyNumberFormat="1" applyFill="1" applyBorder="1" applyAlignment="1">
      <alignment vertical="top"/>
    </xf>
    <xf numFmtId="0" fontId="2" fillId="0" borderId="0" xfId="0" applyNumberFormat="1" applyFont="1" applyBorder="1" applyAlignment="1" applyProtection="1">
      <alignment vertical="top" wrapText="1"/>
    </xf>
    <xf numFmtId="0" fontId="20" fillId="0" borderId="0" xfId="0" applyFont="1"/>
  </cellXfs>
  <cellStyles count="6">
    <cellStyle name="Cálculo" xfId="3" builtinId="22"/>
    <cellStyle name="Data Entry" xfId="2"/>
    <cellStyle name="Hipervínculo" xfId="1" builtinId="8"/>
    <cellStyle name="Incorrecto" xfId="5" builtinId="27"/>
    <cellStyle name="Normal" xfId="0" builtinId="0"/>
    <cellStyle name="Normal 2" xfId="4"/>
  </cellStyles>
  <dxfs count="165">
    <dxf>
      <font>
        <sz val="9"/>
        <color rgb="FF505050"/>
        <name val="Arial"/>
        <scheme val="none"/>
      </font>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none">
          <fgColor indexed="64"/>
          <bgColor indexed="65"/>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patternType="none">
          <fgColor indexed="64"/>
          <bgColor indexed="65"/>
        </patternFill>
      </fill>
    </dxf>
    <dxf>
      <alignment horizontal="left" vertical="top" textRotation="0" wrapText="0" indent="0" justifyLastLine="0" shrinkToFit="0" readingOrder="0"/>
    </dxf>
    <dxf>
      <font>
        <b/>
        <i val="0"/>
        <strike val="0"/>
        <condense val="0"/>
        <extend val="0"/>
        <outline val="0"/>
        <shadow val="0"/>
        <u val="none"/>
        <vertAlign val="baseline"/>
        <sz val="11"/>
        <color theme="1"/>
        <name val="Calibri"/>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lightDown">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64"/>
      <tableStyleElement type="headerRow" dxfId="1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66675</xdr:rowOff>
    </xdr:from>
    <xdr:to>
      <xdr:col>5</xdr:col>
      <xdr:colOff>733425</xdr:colOff>
      <xdr:row>2</xdr:row>
      <xdr:rowOff>76200</xdr:rowOff>
    </xdr:to>
    <xdr:sp macro="" textlink="">
      <xdr:nvSpPr>
        <xdr:cNvPr id="2" name="CuadroTexto 1">
          <a:extLst>
            <a:ext uri="{FF2B5EF4-FFF2-40B4-BE49-F238E27FC236}">
              <a16:creationId xmlns:a16="http://schemas.microsoft.com/office/drawing/2014/main" xmlns="" id="{5C3DA7E3-BFA4-4184-AED1-1CCD2FF56B20}"/>
            </a:ext>
          </a:extLst>
        </xdr:cNvPr>
        <xdr:cNvSpPr txBox="1"/>
      </xdr:nvSpPr>
      <xdr:spPr>
        <a:xfrm>
          <a:off x="114300" y="66675"/>
          <a:ext cx="7483475"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Here are the examples of the current existing</a:t>
          </a:r>
          <a:r>
            <a:rPr lang="es-ES" sz="1100" baseline="0"/>
            <a:t> </a:t>
          </a:r>
          <a:r>
            <a:rPr lang="es-ES" sz="1100"/>
            <a:t>combinations possible</a:t>
          </a:r>
        </a:p>
      </xdr:txBody>
    </xdr:sp>
    <xdr:clientData/>
  </xdr:twoCellAnchor>
  <xdr:twoCellAnchor editAs="oneCell">
    <xdr:from>
      <xdr:col>15</xdr:col>
      <xdr:colOff>693208</xdr:colOff>
      <xdr:row>6</xdr:row>
      <xdr:rowOff>136071</xdr:rowOff>
    </xdr:from>
    <xdr:to>
      <xdr:col>22</xdr:col>
      <xdr:colOff>15875</xdr:colOff>
      <xdr:row>38</xdr:row>
      <xdr:rowOff>30566</xdr:rowOff>
    </xdr:to>
    <xdr:pic>
      <xdr:nvPicPr>
        <xdr:cNvPr id="3" name="Imagen 2">
          <a:extLst>
            <a:ext uri="{FF2B5EF4-FFF2-40B4-BE49-F238E27FC236}">
              <a16:creationId xmlns:a16="http://schemas.microsoft.com/office/drawing/2014/main" xmlns="" id="{0900AB10-95B4-4F26-8DE3-4DE5D286D3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16308" y="1456871"/>
          <a:ext cx="10520892" cy="5726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47625</xdr:colOff>
      <xdr:row>3</xdr:row>
      <xdr:rowOff>0</xdr:rowOff>
    </xdr:from>
    <xdr:to>
      <xdr:col>5</xdr:col>
      <xdr:colOff>962025</xdr:colOff>
      <xdr:row>3</xdr:row>
      <xdr:rowOff>301625</xdr:rowOff>
    </xdr:to>
    <xdr:sp macro="Sheet9.UnHide_Columns_Containing_Value_All_Sheets" textlink="">
      <xdr:nvSpPr>
        <xdr:cNvPr id="2" name="TextBox 1">
          <a:extLst>
            <a:ext uri="{FF2B5EF4-FFF2-40B4-BE49-F238E27FC236}">
              <a16:creationId xmlns:a16="http://schemas.microsoft.com/office/drawing/2014/main" xmlns="" id="{5D4CE5C1-D915-41D6-B2EF-9E9AA82E9C31}"/>
            </a:ext>
          </a:extLst>
        </xdr:cNvPr>
        <xdr:cNvSpPr txBox="1"/>
      </xdr:nvSpPr>
      <xdr:spPr>
        <a:xfrm>
          <a:off x="5057775" y="6000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3</xdr:row>
      <xdr:rowOff>9525</xdr:rowOff>
    </xdr:from>
    <xdr:to>
      <xdr:col>7</xdr:col>
      <xdr:colOff>415925</xdr:colOff>
      <xdr:row>3</xdr:row>
      <xdr:rowOff>311150</xdr:rowOff>
    </xdr:to>
    <xdr:sp macro="Sheet9.Hide_Columns_Containing_Value_All_Sheets" textlink="">
      <xdr:nvSpPr>
        <xdr:cNvPr id="3" name="TextBox 2">
          <a:extLst>
            <a:ext uri="{FF2B5EF4-FFF2-40B4-BE49-F238E27FC236}">
              <a16:creationId xmlns:a16="http://schemas.microsoft.com/office/drawing/2014/main" xmlns="" id="{9DC181CF-AFF4-4DB1-A948-801A1C20404F}"/>
            </a:ext>
          </a:extLst>
        </xdr:cNvPr>
        <xdr:cNvSpPr txBox="1"/>
      </xdr:nvSpPr>
      <xdr:spPr>
        <a:xfrm>
          <a:off x="6140450" y="60960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6</xdr:row>
      <xdr:rowOff>0</xdr:rowOff>
    </xdr:from>
    <xdr:to>
      <xdr:col>5</xdr:col>
      <xdr:colOff>1016000</xdr:colOff>
      <xdr:row>8</xdr:row>
      <xdr:rowOff>88900</xdr:rowOff>
    </xdr:to>
    <xdr:sp macro="Sheet9.UnProtect_All_Sheets" textlink="">
      <xdr:nvSpPr>
        <xdr:cNvPr id="4" name="Rectangle 3">
          <a:extLst>
            <a:ext uri="{FF2B5EF4-FFF2-40B4-BE49-F238E27FC236}">
              <a16:creationId xmlns:a16="http://schemas.microsoft.com/office/drawing/2014/main" xmlns="" id="{3F031C66-48CE-4CF8-86F9-080232F92E8D}"/>
            </a:ext>
          </a:extLst>
        </xdr:cNvPr>
        <xdr:cNvSpPr/>
      </xdr:nvSpPr>
      <xdr:spPr>
        <a:xfrm>
          <a:off x="5016500" y="131445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Unprotect All Sheets</a:t>
          </a:r>
        </a:p>
      </xdr:txBody>
    </xdr:sp>
    <xdr:clientData/>
  </xdr:twoCellAnchor>
  <xdr:twoCellAnchor>
    <xdr:from>
      <xdr:col>6</xdr:col>
      <xdr:colOff>158750</xdr:colOff>
      <xdr:row>6</xdr:row>
      <xdr:rowOff>6350</xdr:rowOff>
    </xdr:from>
    <xdr:to>
      <xdr:col>7</xdr:col>
      <xdr:colOff>558800</xdr:colOff>
      <xdr:row>8</xdr:row>
      <xdr:rowOff>95250</xdr:rowOff>
    </xdr:to>
    <xdr:sp macro="[0]!Sheet9.Protect_All_Sheets" textlink="">
      <xdr:nvSpPr>
        <xdr:cNvPr id="5" name="Rectangle 4">
          <a:extLst>
            <a:ext uri="{FF2B5EF4-FFF2-40B4-BE49-F238E27FC236}">
              <a16:creationId xmlns:a16="http://schemas.microsoft.com/office/drawing/2014/main" xmlns="" id="{8C2B6774-CBB7-4B72-8E03-31FE9B0086E1}"/>
            </a:ext>
          </a:extLst>
        </xdr:cNvPr>
        <xdr:cNvSpPr/>
      </xdr:nvSpPr>
      <xdr:spPr>
        <a:xfrm>
          <a:off x="6191250" y="132080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Protect All 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12</xdr:row>
      <xdr:rowOff>854363</xdr:rowOff>
    </xdr:to>
    <xdr:sp macro="[0]!Sheet2.AddRow" textlink="">
      <xdr:nvSpPr>
        <xdr:cNvPr id="2" name="Rectangle 1">
          <a:extLst>
            <a:ext uri="{FF2B5EF4-FFF2-40B4-BE49-F238E27FC236}">
              <a16:creationId xmlns:a16="http://schemas.microsoft.com/office/drawing/2014/main" xmlns="" id="{E0EDC5FF-099E-44CE-ACC4-B1BDDD7CCFA8}"/>
            </a:ext>
          </a:extLst>
        </xdr:cNvPr>
        <xdr:cNvSpPr/>
      </xdr:nvSpPr>
      <xdr:spPr>
        <a:xfrm>
          <a:off x="69273" y="3902363"/>
          <a:ext cx="1039091" cy="762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15</xdr:row>
      <xdr:rowOff>37454</xdr:rowOff>
    </xdr:to>
    <xdr:sp macro="[0]!Sheet11.AddRow" textlink="">
      <xdr:nvSpPr>
        <xdr:cNvPr id="2" name="Rectangle 1">
          <a:extLst>
            <a:ext uri="{FF2B5EF4-FFF2-40B4-BE49-F238E27FC236}">
              <a16:creationId xmlns:a16="http://schemas.microsoft.com/office/drawing/2014/main" xmlns="" id="{48A88A3E-21E3-4285-B051-E1E23202CC4B}"/>
            </a:ext>
          </a:extLst>
        </xdr:cNvPr>
        <xdr:cNvSpPr/>
      </xdr:nvSpPr>
      <xdr:spPr>
        <a:xfrm>
          <a:off x="69273" y="4087090"/>
          <a:ext cx="1039091" cy="684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44824</xdr:colOff>
      <xdr:row>10</xdr:row>
      <xdr:rowOff>134472</xdr:rowOff>
    </xdr:from>
    <xdr:to>
      <xdr:col>0</xdr:col>
      <xdr:colOff>1001058</xdr:colOff>
      <xdr:row>12</xdr:row>
      <xdr:rowOff>0</xdr:rowOff>
    </xdr:to>
    <xdr:sp macro="[0]!Sheet6.AddRow" textlink="">
      <xdr:nvSpPr>
        <xdr:cNvPr id="2" name="Rectangle 1">
          <a:extLst>
            <a:ext uri="{FF2B5EF4-FFF2-40B4-BE49-F238E27FC236}">
              <a16:creationId xmlns:a16="http://schemas.microsoft.com/office/drawing/2014/main" xmlns="" id="{E0391F25-E2E7-4256-8568-39D0D39BCE16}"/>
            </a:ext>
          </a:extLst>
        </xdr:cNvPr>
        <xdr:cNvSpPr/>
      </xdr:nvSpPr>
      <xdr:spPr>
        <a:xfrm>
          <a:off x="44824" y="3466354"/>
          <a:ext cx="956234" cy="724646"/>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persons/person.xml><?xml version="1.0" encoding="utf-8"?>
<personList xmlns="http://schemas.microsoft.com/office/spreadsheetml/2018/threadedcomments" xmlns:x="http://schemas.openxmlformats.org/spreadsheetml/2006/main">
  <person displayName="Anthony Camilleri" id="{FCCB893F-97EA-4CD9-A61B-C8A50A29ED53}" userId="Anthony Camilleri" providerId="None"/>
</personList>
</file>

<file path=xl/tables/table1.xml><?xml version="1.0" encoding="utf-8"?>
<table xmlns="http://schemas.openxmlformats.org/spreadsheetml/2006/main" id="4" name="Persons" displayName="Persons" ref="B12:AD13" totalsRowShown="0" dataDxfId="162">
  <autoFilter ref="B12:AD13"/>
  <tableColumns count="29">
    <tableColumn id="2" name="Person.id.ID/PK.URI..." dataDxfId="161"/>
    <tableColumn id="32" name="Person.fullName.Property.Text.content..ca." dataDxfId="160"/>
    <tableColumn id="31" name="Person.givenNames.Property.Text .content..ca." dataDxfId="159"/>
    <tableColumn id="1" name="Person.familyName.Property.Text.content..ca." dataDxfId="158"/>
    <tableColumn id="16" name="Columna1" dataDxfId="157" dataCellStyle="Hipervínculo"/>
    <tableColumn id="3" name="Person.nationalId.Property.LegalIdentifier.spatialId..." dataDxfId="156"/>
    <tableColumn id="4" name="Person.identifier.Property.identifier.issuedDate.1.." dataDxfId="155"/>
    <tableColumn id="5" name="Person.identifier.Property.identifier.content.1.." dataDxfId="154"/>
    <tableColumn id="6" name="Person.identifier.Property.identifier.issuedDate.2.." dataDxfId="153"/>
    <tableColumn id="7" name="Person.identifier.Property.identifier.content.2.." dataDxfId="152"/>
    <tableColumn id="8" name="Person.note.Property..topic.1.." dataDxfId="151"/>
    <tableColumn id="9" name="Person.note.Property.contents.content.1.en." dataDxfId="150"/>
    <tableColumn id="10" name="Person.note.Property.contents.content.1.ca." dataDxfId="149"/>
    <tableColumn id="11" name="Person.note.Property.contents.content.1.es." dataDxfId="148"/>
    <tableColumn id="12" name="Person.note.Property..topic.2.." dataDxfId="147"/>
    <tableColumn id="13" name="Person.note.Property.contents.content.2.en." dataDxfId="146"/>
    <tableColumn id="14" name="Person.note.Property.contents.content.2.ca." dataDxfId="145"/>
    <tableColumn id="15" name="Person.note.Property.contents.content.2.es." dataDxfId="144"/>
    <tableColumn id="22" name="Person.dateOfBirth.Property.Date...." dataDxfId="143"/>
    <tableColumn id="23" name="Person.placeOfBirth.Association..Location.12.." dataDxfId="142"/>
    <tableColumn id="24" name="Person.gender.Property.Code.codeId..." dataDxfId="141"/>
    <tableColumn id="25" name="Person.citizenshipCountry.Property.Code.codeId.1.." dataDxfId="140"/>
    <tableColumn id="26" name="Person.citizenshipCountry.Property.Code.codeId.2.." dataDxfId="139"/>
    <tableColumn id="27" name="Person.alternativeName.Property.contents.content.1.ca." dataDxfId="138"/>
    <tableColumn id="28" name="Person.alternativeName.Property.contents.content.1.en." dataDxfId="137"/>
    <tableColumn id="29" name="Person.alternativeName.Property.contents.content.2.ca." dataDxfId="136"/>
    <tableColumn id="30" name="Person.alternativeName.Property.contents.content.2.en." dataDxfId="135"/>
    <tableColumn id="33" name="Column1" dataDxfId="134"/>
    <tableColumn id="34" name="Column2" dataDxfId="133">
      <calculatedColumnFormula>'MultiAssociation Sheet'!CZ13</calculatedColumnFormula>
    </tableColumn>
  </tableColumns>
  <tableStyleInfo name="TableStyleMedium2" showFirstColumn="0" showLastColumn="0" showRowStripes="0" showColumnStripes="0"/>
</table>
</file>

<file path=xl/tables/table2.xml><?xml version="1.0" encoding="utf-8"?>
<table xmlns="http://schemas.openxmlformats.org/spreadsheetml/2006/main" id="1" name="Credentials" displayName="Credentials" ref="B12:BO13" totalsRowShown="0" headerRowDxfId="132" dataDxfId="131">
  <autoFilter ref="B12:BO13"/>
  <tableColumns count="66">
    <tableColumn id="1" name="EuropassCredential.title.Property.Text.content.1.en" dataDxfId="130">
      <calculatedColumnFormula>B$11</calculatedColumnFormula>
    </tableColumn>
    <tableColumn id="2" name="EuropassCredential.title.Property.Text.content.1.bg" dataDxfId="129">
      <calculatedColumnFormula>C$11</calculatedColumnFormula>
    </tableColumn>
    <tableColumn id="3" name="EuropassCredential.title.Property.Text.content.1.cs" dataDxfId="128">
      <calculatedColumnFormula>D$11</calculatedColumnFormula>
    </tableColumn>
    <tableColumn id="4" name="EuropassCredential.title.Property.Text.content.1.da" dataDxfId="127">
      <calculatedColumnFormula>E$11</calculatedColumnFormula>
    </tableColumn>
    <tableColumn id="5" name="EuropassCredential.title.Property.Text.content.1.de" dataDxfId="126">
      <calculatedColumnFormula>F$11</calculatedColumnFormula>
    </tableColumn>
    <tableColumn id="6" name="EuropassCredential.title.Property.Text.content.1.el" dataDxfId="125">
      <calculatedColumnFormula>G$11</calculatedColumnFormula>
    </tableColumn>
    <tableColumn id="7" name="EuropassCredential.title.Property.Text.content.1.es" dataDxfId="124">
      <calculatedColumnFormula>H$11</calculatedColumnFormula>
    </tableColumn>
    <tableColumn id="8" name="EuropassCredential.title.Property.Text.content.1.et" dataDxfId="123">
      <calculatedColumnFormula>I$11</calculatedColumnFormula>
    </tableColumn>
    <tableColumn id="9" name="EuropassCredential.title.Property.Text.content.1.fi" dataDxfId="122">
      <calculatedColumnFormula>J$11</calculatedColumnFormula>
    </tableColumn>
    <tableColumn id="10" name="EuropassCredential.title.Property.Text.content.1.fr" dataDxfId="121">
      <calculatedColumnFormula>K$11</calculatedColumnFormula>
    </tableColumn>
    <tableColumn id="11" name="EuropassCredential.title.Property.Text.content.1.ga" dataDxfId="120">
      <calculatedColumnFormula>L$11</calculatedColumnFormula>
    </tableColumn>
    <tableColumn id="12" name="EuropassCredential.title.Property.Text.content.1.hr" dataDxfId="119">
      <calculatedColumnFormula>M$11</calculatedColumnFormula>
    </tableColumn>
    <tableColumn id="13" name="EuropassCredential.title.Property.Text.content.1.hu" dataDxfId="118">
      <calculatedColumnFormula>N$11</calculatedColumnFormula>
    </tableColumn>
    <tableColumn id="14" name="EuropassCredential.title.Property.Text.content.1.is" dataDxfId="117">
      <calculatedColumnFormula>O$11</calculatedColumnFormula>
    </tableColumn>
    <tableColumn id="15" name="EuropassCredential.title.Property.Text.content.1.it" dataDxfId="116">
      <calculatedColumnFormula>P$11</calculatedColumnFormula>
    </tableColumn>
    <tableColumn id="16" name="EuropassCredential.title.Property.Text.content.1.lt" dataDxfId="115">
      <calculatedColumnFormula>Q$11</calculatedColumnFormula>
    </tableColumn>
    <tableColumn id="17" name="EuropassCredential.title.Property.Text.content.1.lv" dataDxfId="114">
      <calculatedColumnFormula>R$11</calculatedColumnFormula>
    </tableColumn>
    <tableColumn id="18" name="EuropassCredential.title.Property.Text.content.1.mt" dataDxfId="113">
      <calculatedColumnFormula>S$11</calculatedColumnFormula>
    </tableColumn>
    <tableColumn id="19" name="EuropassCredential.title.Property.Text.content.1.nl" dataDxfId="112">
      <calculatedColumnFormula>T$11</calculatedColumnFormula>
    </tableColumn>
    <tableColumn id="20" name="EuropassCredential.title.Property.Text.content.1.no" dataDxfId="111">
      <calculatedColumnFormula>U$11</calculatedColumnFormula>
    </tableColumn>
    <tableColumn id="21" name="EuropassCredential.title.Property.Text.content.1.pl" dataDxfId="110">
      <calculatedColumnFormula>V$11</calculatedColumnFormula>
    </tableColumn>
    <tableColumn id="22" name="EuropassCredential.title.Property.Text.content.1.pt" dataDxfId="109">
      <calculatedColumnFormula>W$11</calculatedColumnFormula>
    </tableColumn>
    <tableColumn id="23" name="EuropassCredential.title.Property.Text.content.1.ro" dataDxfId="108">
      <calculatedColumnFormula>X$11</calculatedColumnFormula>
    </tableColumn>
    <tableColumn id="24" name="EuropassCredential.title.Property.Text.content.1.sk" dataDxfId="107">
      <calculatedColumnFormula>Y$11</calculatedColumnFormula>
    </tableColumn>
    <tableColumn id="25" name="EuropassCredential.title.Property.Text.content.1.sl" dataDxfId="106">
      <calculatedColumnFormula>Z$11</calculatedColumnFormula>
    </tableColumn>
    <tableColumn id="26" name="EuropassCredential.title.Property.Text.content.1.sv" dataDxfId="105">
      <calculatedColumnFormula>AA$11</calculatedColumnFormula>
    </tableColumn>
    <tableColumn id="27" name="EuropassCredential.description.Property.Note.content.2.en" dataDxfId="104">
      <calculatedColumnFormula>AB$11</calculatedColumnFormula>
    </tableColumn>
    <tableColumn id="28" name="EuropassCredential.description.Property.Note.content.2.bg" dataDxfId="103">
      <calculatedColumnFormula>AC$11</calculatedColumnFormula>
    </tableColumn>
    <tableColumn id="29" name="EuropassCredential.description.Property.Note.content.2.cs" dataDxfId="102">
      <calculatedColumnFormula>AD$11</calculatedColumnFormula>
    </tableColumn>
    <tableColumn id="30" name="EuropassCredential.description.Property.Note.content.2.da" dataDxfId="101">
      <calculatedColumnFormula>AE$11</calculatedColumnFormula>
    </tableColumn>
    <tableColumn id="31" name="EuropassCredential.description.Property.Note.content.2.de" dataDxfId="100">
      <calculatedColumnFormula>AF$11</calculatedColumnFormula>
    </tableColumn>
    <tableColumn id="32" name="EuropassCredential.description.Property.Note.content.2.el" dataDxfId="99">
      <calculatedColumnFormula>AG$11</calculatedColumnFormula>
    </tableColumn>
    <tableColumn id="33" name="EuropassCredential.description.Property.Note.content.2.es" dataDxfId="98">
      <calculatedColumnFormula>AH$11</calculatedColumnFormula>
    </tableColumn>
    <tableColumn id="34" name="EuropassCredential.description.Property.Note.content.2.et" dataDxfId="97">
      <calculatedColumnFormula>AI$11</calculatedColumnFormula>
    </tableColumn>
    <tableColumn id="35" name="EuropassCredential.description.Property.Note.content.2.fi" dataDxfId="96">
      <calculatedColumnFormula>AJ$11</calculatedColumnFormula>
    </tableColumn>
    <tableColumn id="36" name="EuropassCredential.description.Property.Note.content.2.fr" dataDxfId="95">
      <calculatedColumnFormula>AK$11</calculatedColumnFormula>
    </tableColumn>
    <tableColumn id="37" name="EuropassCredential.description.Property.Note.content.2.ga" dataDxfId="94">
      <calculatedColumnFormula>AL$11</calculatedColumnFormula>
    </tableColumn>
    <tableColumn id="38" name="EuropassCredential.description.Property.Note.content.2.hr" dataDxfId="93">
      <calculatedColumnFormula>AM$11</calculatedColumnFormula>
    </tableColumn>
    <tableColumn id="39" name="EuropassCredential.description.Property.Note.content.2.hu" dataDxfId="92">
      <calculatedColumnFormula>AN$11</calculatedColumnFormula>
    </tableColumn>
    <tableColumn id="40" name="EuropassCredential.description.Property.Note.content.2.is" dataDxfId="91">
      <calculatedColumnFormula>AO$11</calculatedColumnFormula>
    </tableColumn>
    <tableColumn id="41" name="EuropassCredential.description.Property.Note.content.2.it" dataDxfId="90">
      <calculatedColumnFormula>AP$11</calculatedColumnFormula>
    </tableColumn>
    <tableColumn id="42" name="EuropassCredential.description.Property.Note.content.2.lt" dataDxfId="89">
      <calculatedColumnFormula>AQ$11</calculatedColumnFormula>
    </tableColumn>
    <tableColumn id="43" name="EuropassCredential.description.Property.Note.content.2.lv" dataDxfId="88">
      <calculatedColumnFormula>AR$11</calculatedColumnFormula>
    </tableColumn>
    <tableColumn id="44" name="EuropassCredential.description.Property.Note.content.2.mt" dataDxfId="87">
      <calculatedColumnFormula>AS$11</calculatedColumnFormula>
    </tableColumn>
    <tableColumn id="45" name="EuropassCredential.description.Property.Note.content.2.nl" dataDxfId="86">
      <calculatedColumnFormula>AT$11</calculatedColumnFormula>
    </tableColumn>
    <tableColumn id="46" name="EuropassCredential.description.Property.Note.content.2.no" dataDxfId="85">
      <calculatedColumnFormula>AU$11</calculatedColumnFormula>
    </tableColumn>
    <tableColumn id="47" name="EuropassCredential.description.Property.Note.content.2.pl" dataDxfId="84">
      <calculatedColumnFormula>AV$11</calculatedColumnFormula>
    </tableColumn>
    <tableColumn id="48" name="EuropassCredential.description.Property.Note.content.2.pt" dataDxfId="83">
      <calculatedColumnFormula>AW$11</calculatedColumnFormula>
    </tableColumn>
    <tableColumn id="49" name="EuropassCredential.description.Property.Note.content.2.ro" dataDxfId="82">
      <calculatedColumnFormula>AX$11</calculatedColumnFormula>
    </tableColumn>
    <tableColumn id="50" name="EuropassCredential.description.Property.Note.content.2.sk" dataDxfId="81">
      <calculatedColumnFormula>AY$11</calculatedColumnFormula>
    </tableColumn>
    <tableColumn id="51" name="EuropassCredential.description.Property.Note.content.2.sl" dataDxfId="80">
      <calculatedColumnFormula>AZ$11</calculatedColumnFormula>
    </tableColumn>
    <tableColumn id="52" name="EuropassCredential.description.Property.Note.content.2.sv" dataDxfId="79">
      <calculatedColumnFormula>BA$11</calculatedColumnFormula>
    </tableColumn>
    <tableColumn id="59" name="Column1" dataDxfId="78">
      <calculatedColumnFormula>BB$11</calculatedColumnFormula>
    </tableColumn>
    <tableColumn id="60" name="Column2" dataDxfId="77">
      <calculatedColumnFormula>BC$11</calculatedColumnFormula>
    </tableColumn>
    <tableColumn id="53" name="EuropassCredential.issuer.Association..Organization.3." dataDxfId="76">
      <calculatedColumnFormula>BD$11</calculatedColumnFormula>
    </tableColumn>
    <tableColumn id="54" name="EuropassCredential.issuer.Association..Organization.3.2" dataDxfId="75"/>
    <tableColumn id="55" name="EuropassCredential.credentialSubject.Association..Person.4." dataDxfId="74">
      <calculatedColumnFormula>Persons[[#This Row],[Person.fullName.Property.Text.content..ca.]]</calculatedColumnFormula>
    </tableColumn>
    <tableColumn id="56" name="EuropassCredential.credentialSubject.Association..Person.4.3" dataDxfId="73">
      <calculatedColumnFormula>MATCH(Credentials[[#This Row],[EuropassCredential.credentialSubject.Association..Person.4.]],Person!C:C,0)</calculatedColumnFormula>
    </tableColumn>
    <tableColumn id="57" name="VerifiableCredential.issuanceDate.Property.Datetime..." dataDxfId="72">
      <calculatedColumnFormula>BH$11</calculatedColumnFormula>
    </tableColumn>
    <tableColumn id="58" name="VerifiableCredential.expirationDate.Property.Datetime..." dataDxfId="71">
      <calculatedColumnFormula>BI$11</calculatedColumnFormula>
    </tableColumn>
    <tableColumn id="65" name="Columna2" dataDxfId="70"/>
    <tableColumn id="63" name="Columna1" dataDxfId="69"/>
    <tableColumn id="69" name="Column3" dataDxfId="1" dataCellStyle="Hipervínculo"/>
    <tableColumn id="68" name="Column32" dataDxfId="0"/>
    <tableColumn id="64" name="Column33" dataDxfId="68">
      <calculatedColumnFormula>BN$11</calculatedColumnFormula>
    </tableColumn>
    <tableColumn id="62" name="Column42" dataDxfId="67">
      <calculatedColumnFormula>BO$11</calculatedColumnFormula>
    </tableColumn>
  </tableColumns>
  <tableStyleInfo name="TableStyleMedium2" showFirstColumn="0" showLastColumn="0" showRowStripes="0" showColumnStripes="0"/>
</table>
</file>

<file path=xl/tables/table3.xml><?xml version="1.0" encoding="utf-8"?>
<table xmlns="http://schemas.openxmlformats.org/spreadsheetml/2006/main" id="6" name="Organisations" displayName="Organisations" ref="B12:AA14" totalsRowShown="0" headerRowDxfId="66" dataDxfId="65">
  <autoFilter ref="B12:AA14"/>
  <tableColumns count="26">
    <tableColumn id="94" name="EuropassCredential.title.Property.Text.content.1.en" dataDxfId="64"/>
    <tableColumn id="95" name="EuropassCredential.title.Property.Text.content.1.bg" dataDxfId="63"/>
    <tableColumn id="96" name="EuropassCredential.title.Property.Text.content.1.cs" dataDxfId="62"/>
    <tableColumn id="97" name="EuropassCredential.title.Property.Text.content.1.da" dataDxfId="61"/>
    <tableColumn id="98" name="EuropassCredential.title.Property.Text.content.1.de" dataDxfId="60"/>
    <tableColumn id="99" name="EuropassCredential.title.Property.Text.content.1.el" dataDxfId="59"/>
    <tableColumn id="100" name="EuropassCredential.title.Property.Text.content.1.es" dataDxfId="58"/>
    <tableColumn id="101" name="EuropassCredential.title.Property.Text.content.1.et" dataDxfId="57"/>
    <tableColumn id="102" name="EuropassCredential.title.Property.Text.content.1.fi" dataDxfId="56"/>
    <tableColumn id="103" name="EuropassCredential.title.Property.Text.content.1.fr" dataDxfId="55"/>
    <tableColumn id="104" name="EuropassCredential.title.Property.Text.content.1.ga" dataDxfId="54"/>
    <tableColumn id="105" name="EuropassCredential.title.Property.Text.content.1.hr" dataDxfId="53"/>
    <tableColumn id="106" name="EuropassCredential.title.Property.Text.content.1.hu" dataDxfId="52"/>
    <tableColumn id="107" name="EuropassCredential.title.Property.Text.content.1.is" dataDxfId="51"/>
    <tableColumn id="108" name="EuropassCredential.title.Property.Text.content.1.it" dataDxfId="50"/>
    <tableColumn id="109" name="Column1" dataDxfId="49"/>
    <tableColumn id="110" name="Column2" dataDxfId="48"/>
    <tableColumn id="111" name="Column3" dataDxfId="47"/>
    <tableColumn id="112" name="Column4" dataDxfId="46"/>
    <tableColumn id="113" name="Column5" dataDxfId="45"/>
    <tableColumn id="114" name="Column6" dataDxfId="44"/>
    <tableColumn id="115" name="Column7" dataDxfId="43"/>
    <tableColumn id="116" name="Column8" dataDxfId="42"/>
    <tableColumn id="117" name="Column9" dataDxfId="41"/>
    <tableColumn id="118" name="Column10" dataDxfId="40"/>
    <tableColumn id="119" name="Column11" dataDxfId="39"/>
  </tableColumns>
  <tableStyleInfo name="TableStyleMedium2" showFirstColumn="0" showLastColumn="0" showRowStripes="0" showColumnStripes="0"/>
</table>
</file>

<file path=xl/tables/table4.xml><?xml version="1.0" encoding="utf-8"?>
<table xmlns="http://schemas.openxmlformats.org/spreadsheetml/2006/main" id="3" name="Achievements" displayName="Achievements" ref="B11:AA13" totalsRowShown="0" dataDxfId="38" tableBorderDxfId="37">
  <autoFilter ref="B11:AA13"/>
  <tableColumns count="26">
    <tableColumn id="1" name="Column1" dataDxfId="36"/>
    <tableColumn id="10" name="Column110" dataDxfId="35"/>
    <tableColumn id="18" name="Column111" dataDxfId="34"/>
    <tableColumn id="22" name="Column112" dataDxfId="33"/>
    <tableColumn id="51" name="Column113" dataDxfId="32"/>
    <tableColumn id="52" name="Column114" dataDxfId="31"/>
    <tableColumn id="55" name="Column115" dataDxfId="30"/>
    <tableColumn id="56" name="Column116" dataDxfId="29"/>
    <tableColumn id="57" name="Column117" dataDxfId="28"/>
    <tableColumn id="58" name="Column118" dataDxfId="27"/>
    <tableColumn id="59" name="Column119" dataDxfId="26"/>
    <tableColumn id="60" name="Column120" dataDxfId="25"/>
    <tableColumn id="61" name="Column121" dataDxfId="24"/>
    <tableColumn id="62" name="Column122" dataDxfId="23"/>
    <tableColumn id="63" name="Column123" dataDxfId="22"/>
    <tableColumn id="64" name="Column124" dataDxfId="21"/>
    <tableColumn id="65" name="Column125" dataDxfId="20"/>
    <tableColumn id="66" name="Column126" dataDxfId="19"/>
    <tableColumn id="67" name="Column127" dataDxfId="18"/>
    <tableColumn id="68" name="Column128" dataDxfId="17"/>
    <tableColumn id="69" name="Column129" dataDxfId="16"/>
    <tableColumn id="70" name="Column130" dataDxfId="15"/>
    <tableColumn id="71" name="Column131" dataDxfId="14"/>
    <tableColumn id="72" name="Column132" dataDxfId="13"/>
    <tableColumn id="73" name="Column133" dataDxfId="12"/>
    <tableColumn id="74" name="Column134" dataDxfId="11"/>
  </tableColumns>
  <tableStyleInfo name="TableStyleMedium2" showFirstColumn="0" showLastColumn="0" showRowStripes="1" showColumnStripes="0"/>
</table>
</file>

<file path=xl/tables/table5.xml><?xml version="1.0" encoding="utf-8"?>
<table xmlns="http://schemas.openxmlformats.org/spreadsheetml/2006/main" id="2" name="MDR_Languages" displayName="MDR_Languages" ref="A1:C27" totalsRowShown="0" headerRowDxfId="10">
  <autoFilter ref="A1:C27"/>
  <tableColumns count="3">
    <tableColumn id="3" name="name"/>
    <tableColumn id="1" name="code"/>
    <tableColumn id="2" name="URI"/>
  </tableColumns>
  <tableStyleInfo name="TableStyleMedium2" showFirstColumn="0" showLastColumn="0" showRowStripes="0" showColumnStripes="0"/>
</table>
</file>

<file path=xl/tables/table6.xml><?xml version="1.0" encoding="utf-8"?>
<table xmlns="http://schemas.openxmlformats.org/spreadsheetml/2006/main" id="5" name="ListCredentialTypes" displayName="ListCredentialTypes" ref="A30:C33" totalsRowShown="0">
  <autoFilter ref="A30:C33"/>
  <tableColumns count="3">
    <tableColumn id="1" name="name"/>
    <tableColumn id="2" name="Column1"/>
    <tableColumn id="3" name="URI"/>
  </tableColumns>
  <tableStyleInfo name="TableStyleMedium2" showFirstColumn="0" showLastColumn="0" showRowStripes="1" showColumnStripes="0"/>
</table>
</file>

<file path=xl/tables/table7.xml><?xml version="1.0" encoding="utf-8"?>
<table xmlns="http://schemas.openxmlformats.org/spreadsheetml/2006/main" id="7" name="MDRcountries" displayName="MDRcountries" ref="A36:C318" totalsRowShown="0">
  <autoFilter ref="A36:C318"/>
  <tableColumns count="3">
    <tableColumn id="1" name="name"/>
    <tableColumn id="2" name="code"/>
    <tableColumn id="3" name="URI"/>
  </tableColumns>
  <tableStyleInfo name="TableStyleMedium2" showFirstColumn="0" showLastColumn="0" showRowStripes="1" showColumnStripes="0"/>
</table>
</file>

<file path=xl/tables/table8.xml><?xml version="1.0" encoding="utf-8"?>
<table xmlns="http://schemas.openxmlformats.org/spreadsheetml/2006/main" id="9" name="ISCEDF" displayName="ISCEDF" ref="A320:C539" totalsRowShown="0">
  <autoFilter ref="A320:C539"/>
  <tableColumns count="3">
    <tableColumn id="1" name="Column1" dataCellStyle="Normal 2"/>
    <tableColumn id="2" name="Column2" dataCellStyle="Normal 2"/>
    <tableColumn id="3" name="Column3"/>
  </tableColumns>
  <tableStyleInfo name="TableStyleMedium2" showFirstColumn="0" showLastColumn="0" showRowStripes="1" showColumnStripes="0"/>
</table>
</file>

<file path=xl/tables/table9.xml><?xml version="1.0" encoding="utf-8"?>
<table xmlns="http://schemas.openxmlformats.org/spreadsheetml/2006/main" id="10" name="MDR_Languages_Full" displayName="MDR_Languages_Full" ref="A541:C725" totalsRowShown="0">
  <autoFilter ref="A541:C725"/>
  <tableColumns count="3">
    <tableColumn id="1" name="Column1"/>
    <tableColumn id="2" name="Column2"/>
    <tableColumn id="3" name="Column3"/>
  </tableColumns>
  <tableStyleInfo name="TableStyleMedium2" showFirstColumn="0" showLastColumn="0" showRowStripes="1" showColumnStripes="0"/>
</table>
</file>

<file path=xl/tables/table10.xml><?xml version="1.0" encoding="utf-8"?>
<table xmlns="http://schemas.openxmlformats.org/spreadsheetml/2006/main" id="11" name="ModesOfLearning" displayName="ModesOfLearning" ref="A727:C733" totalsRowShown="0">
  <autoFilter ref="A727:C733"/>
  <tableColumns count="3">
    <tableColumn id="1" name="Column1" dataDxfId="9"/>
    <tableColumn id="2" name="Column2"/>
    <tableColumn id="3" name="Column3" dataDxfId="8"/>
  </tableColumns>
  <tableStyleInfo name="TableStyleMedium2" showFirstColumn="0" showLastColumn="0" showRowStripes="1" showColumnStripes="0"/>
</table>
</file>

<file path=xl/tables/table11.xml><?xml version="1.0" encoding="utf-8"?>
<table xmlns="http://schemas.openxmlformats.org/spreadsheetml/2006/main" id="12" name="LearningSettings" displayName="LearningSettings" ref="A735:D737" totalsRowShown="0" headerRowDxfId="7" dataDxfId="6">
  <autoFilter ref="A735:D737"/>
  <tableColumns count="4">
    <tableColumn id="1" name="Column1" dataDxfId="5"/>
    <tableColumn id="2" name="Column2" dataDxfId="4"/>
    <tableColumn id="3" name="Column3" dataDxfId="3"/>
    <tableColumn id="4" name="Column4"/>
  </tableColumns>
  <tableStyleInfo name="TableStyleMedium2" showFirstColumn="0" showLastColumn="0" showRowStripes="1" showColumnStripes="0"/>
</table>
</file>

<file path=xl/tables/table12.xml><?xml version="1.0" encoding="utf-8"?>
<table xmlns="http://schemas.openxmlformats.org/spreadsheetml/2006/main" id="13" name="TargetGroups" displayName="TargetGroups" ref="A739:C759" totalsRowShown="0">
  <autoFilter ref="A739:C759"/>
  <tableColumns count="3">
    <tableColumn id="1" name="Column1"/>
    <tableColumn id="2" name="Column2"/>
    <tableColumn id="3" name="Column3" dataDxfId="2"/>
  </tableColumns>
  <tableStyleInfo name="TableStyleMedium2" showFirstColumn="0" showLastColumn="0" showRowStripes="1" showColumnStripes="0"/>
</table>
</file>

<file path=xl/tables/table13.xml><?xml version="1.0" encoding="utf-8"?>
<table xmlns="http://schemas.openxmlformats.org/spreadsheetml/2006/main" id="14" name="EQF" displayName="EQF" ref="A761:C769" totalsRowShown="0">
  <autoFilter ref="A761:C769"/>
  <tableColumns count="3">
    <tableColumn id="1" name="Column1"/>
    <tableColumn id="2" name="Column2"/>
    <tableColumn id="3" name="Column3"/>
  </tableColumns>
  <tableStyleInfo name="TableStyleMedium2" showFirstColumn="0" showLastColumn="0" showRowStripes="1" showColumnStripes="0"/>
</table>
</file>

<file path=xl/tables/table14.xml><?xml version="1.0" encoding="utf-8"?>
<table xmlns="http://schemas.openxmlformats.org/spreadsheetml/2006/main" id="15" name="QualificationFrameworks" displayName="QualificationFrameworks" ref="A771:C810" totalsRowShown="0">
  <autoFilter ref="A771:C810"/>
  <tableColumns count="3">
    <tableColumn id="1" name="Column1"/>
    <tableColumn id="2" name="Column2"/>
    <tableColumn id="3"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5" dT="2019-11-13T14:25:57.84" personId="{FCCB893F-97EA-4CD9-A61B-C8A50A29ED53}" id="{96AF6BAC-330F-433E-B389-AE1E7F4F4EB5}">
    <text>This is guidance information to the user. Should not be parsed by the converter.</text>
  </threadedComment>
  <threadedComment ref="A16" dT="2019-11-13T14:26:13.09" personId="{FCCB893F-97EA-4CD9-A61B-C8A50A29ED53}" id="{8EB6179B-8CA5-4285-B874-36984D150177}">
    <text>This is guidance information to the user. Should not be parsed by the converter.</text>
  </threadedComment>
  <threadedComment ref="A17" dT="2019-11-13T14:26:17.85" personId="{FCCB893F-97EA-4CD9-A61B-C8A50A29ED53}" id="{66CA2A34-59C8-4904-B8CD-5AB8A3DFD41E}">
    <text>This is guidance information to the user. Should not be parsed by the converter.</text>
  </threadedComment>
  <threadedComment ref="A18" dT="2019-11-13T14:32:33.03" personId="{FCCB893F-97EA-4CD9-A61B-C8A50A29ED53}" id="{1007FBC6-7597-416E-8A0A-12F431B210BB}">
    <text>Data - each row should be parsed to create a new credential.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est.image.com/"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jordi.castillo.quer@everis.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ocalhost:8080/europass2/edci-wallet/api/v1/wallets/esayosll@everis.com/credentials/urn_credential_0ddc5ce2-70bd-4cac-b97a-8ef2806c0c9a" TargetMode="Externa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hyperlink" Target="https://everis.com/image.jpg"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data.europa.eu/europass/modeOfLearningAndAssessment/presential" TargetMode="External"/><Relationship Id="rId18" Type="http://schemas.openxmlformats.org/officeDocument/2006/relationships/hyperlink" Target="http://data.europa.eu/europass/targetGroup/completedprimary" TargetMode="External"/><Relationship Id="rId26" Type="http://schemas.openxmlformats.org/officeDocument/2006/relationships/hyperlink" Target="http://data.europa.eu/europass/targetGroup/completedEQF7" TargetMode="External"/><Relationship Id="rId39" Type="http://schemas.openxmlformats.org/officeDocument/2006/relationships/printerSettings" Target="../printerSettings/printerSettings6.bin"/><Relationship Id="rId3" Type="http://schemas.openxmlformats.org/officeDocument/2006/relationships/hyperlink" Target="http://publications.europa.eu/resource/authority/language/RON" TargetMode="External"/><Relationship Id="rId21" Type="http://schemas.openxmlformats.org/officeDocument/2006/relationships/hyperlink" Target="http://data.europa.eu/europass/targetGroup/completedEQF7" TargetMode="External"/><Relationship Id="rId34" Type="http://schemas.openxmlformats.org/officeDocument/2006/relationships/hyperlink" Target="http://data.europa.eu/europass/targetGroup/highachievers" TargetMode="External"/><Relationship Id="rId42" Type="http://schemas.openxmlformats.org/officeDocument/2006/relationships/table" Target="../tables/table7.xml"/><Relationship Id="rId47" Type="http://schemas.openxmlformats.org/officeDocument/2006/relationships/table" Target="../tables/table12.xml"/><Relationship Id="rId7" Type="http://schemas.openxmlformats.org/officeDocument/2006/relationships/hyperlink" Target="http://data.europa.eu/europass/credentialType/qualification" TargetMode="External"/><Relationship Id="rId12" Type="http://schemas.openxmlformats.org/officeDocument/2006/relationships/hyperlink" Target="http://data.europa.eu/europass/modeOfLearningAndAssessment/online" TargetMode="External"/><Relationship Id="rId17" Type="http://schemas.openxmlformats.org/officeDocument/2006/relationships/hyperlink" Target="http://data.europa.eu/europass/modeOfLearningAndAssessment/workbased" TargetMode="External"/><Relationship Id="rId25" Type="http://schemas.openxmlformats.org/officeDocument/2006/relationships/hyperlink" Target="http://data.europa.eu/europass/targetGroup/completedEQF6" TargetMode="External"/><Relationship Id="rId33" Type="http://schemas.openxmlformats.org/officeDocument/2006/relationships/hyperlink" Target="http://data.europa.eu/europass/targetGroup/lowachievers" TargetMode="External"/><Relationship Id="rId38" Type="http://schemas.openxmlformats.org/officeDocument/2006/relationships/hyperlink" Target="http://data.europa.eu/europass/targetGroup/nonnativespeakers" TargetMode="External"/><Relationship Id="rId46" Type="http://schemas.openxmlformats.org/officeDocument/2006/relationships/table" Target="../tables/table11.xm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europass/modeOfLearningAndAssessment/workbased" TargetMode="External"/><Relationship Id="rId20" Type="http://schemas.openxmlformats.org/officeDocument/2006/relationships/hyperlink" Target="http://data.europa.eu/europass/targetGroup/completedEQF6" TargetMode="External"/><Relationship Id="rId29" Type="http://schemas.openxmlformats.org/officeDocument/2006/relationships/hyperlink" Target="http://data.europa.eu/europass/targetGroup/3yearwork" TargetMode="External"/><Relationship Id="rId41" Type="http://schemas.openxmlformats.org/officeDocument/2006/relationships/table" Target="../tables/table6.xml"/><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 Id="rId11" Type="http://schemas.openxmlformats.org/officeDocument/2006/relationships/hyperlink" Target="http://publications.europa.eu/resource/authority/language/BUL" TargetMode="External"/><Relationship Id="rId24" Type="http://schemas.openxmlformats.org/officeDocument/2006/relationships/hyperlink" Target="http://data.europa.eu/europass/targetGroup/completedcompulsory" TargetMode="External"/><Relationship Id="rId32" Type="http://schemas.openxmlformats.org/officeDocument/2006/relationships/hyperlink" Target="http://data.europa.eu/europass/targetGroup/requireretraining" TargetMode="External"/><Relationship Id="rId37" Type="http://schemas.openxmlformats.org/officeDocument/2006/relationships/hyperlink" Target="http://data.europa.eu/europass/targetGroup/nativespeakers" TargetMode="External"/><Relationship Id="rId40" Type="http://schemas.openxmlformats.org/officeDocument/2006/relationships/table" Target="../tables/table5.xml"/><Relationship Id="rId45" Type="http://schemas.openxmlformats.org/officeDocument/2006/relationships/table" Target="../tables/table10.xml"/><Relationship Id="rId5" Type="http://schemas.openxmlformats.org/officeDocument/2006/relationships/hyperlink" Target="http://publications.europa.eu/resource/authority/language/NOR" TargetMode="External"/><Relationship Id="rId15" Type="http://schemas.openxmlformats.org/officeDocument/2006/relationships/hyperlink" Target="http://data.europa.eu/europass/modeOfLearningAndAssessment/workbased" TargetMode="External"/><Relationship Id="rId23" Type="http://schemas.openxmlformats.org/officeDocument/2006/relationships/hyperlink" Target="http://data.europa.eu/europass/targetGroup/completedprimary" TargetMode="External"/><Relationship Id="rId28" Type="http://schemas.openxmlformats.org/officeDocument/2006/relationships/hyperlink" Target="http://data.europa.eu/europass/targetGroup/0yearwork" TargetMode="External"/><Relationship Id="rId36" Type="http://schemas.openxmlformats.org/officeDocument/2006/relationships/hyperlink" Target="http://data.europa.eu/europass/targetGroup/learningdisability" TargetMode="External"/><Relationship Id="rId49" Type="http://schemas.openxmlformats.org/officeDocument/2006/relationships/table" Target="../tables/table14.xml"/><Relationship Id="rId10" Type="http://schemas.openxmlformats.org/officeDocument/2006/relationships/hyperlink" Target="http://publications.europa.eu/resource/authority/language/SPA" TargetMode="External"/><Relationship Id="rId19" Type="http://schemas.openxmlformats.org/officeDocument/2006/relationships/hyperlink" Target="http://data.europa.eu/europass/targetGroup/completedcompulsory" TargetMode="External"/><Relationship Id="rId31" Type="http://schemas.openxmlformats.org/officeDocument/2006/relationships/hyperlink" Target="http://data.europa.eu/europass/targetGroup/requireretraining" TargetMode="External"/><Relationship Id="rId44" Type="http://schemas.openxmlformats.org/officeDocument/2006/relationships/table" Target="../tables/table9.xm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 Id="rId14" Type="http://schemas.openxmlformats.org/officeDocument/2006/relationships/hyperlink" Target="http://data.europa.eu/europass/modeOfLearningAndAssessment/blended" TargetMode="External"/><Relationship Id="rId22" Type="http://schemas.openxmlformats.org/officeDocument/2006/relationships/hyperlink" Target="http://data.europa.eu/europass/targetGroup/completedEQF8" TargetMode="External"/><Relationship Id="rId27" Type="http://schemas.openxmlformats.org/officeDocument/2006/relationships/hyperlink" Target="http://data.europa.eu/europass/targetGroup/completedEQF8" TargetMode="External"/><Relationship Id="rId30" Type="http://schemas.openxmlformats.org/officeDocument/2006/relationships/hyperlink" Target="http://data.europa.eu/europass/targetGroup/10yearwork" TargetMode="External"/><Relationship Id="rId35" Type="http://schemas.openxmlformats.org/officeDocument/2006/relationships/hyperlink" Target="http://data.europa.eu/europass/targetGroup/migrants" TargetMode="External"/><Relationship Id="rId43" Type="http://schemas.openxmlformats.org/officeDocument/2006/relationships/table" Target="../tables/table8.xml"/><Relationship Id="rId48" Type="http://schemas.openxmlformats.org/officeDocument/2006/relationships/table" Target="../tables/table13.xml"/><Relationship Id="rId8" Type="http://schemas.openxmlformats.org/officeDocument/2006/relationships/hyperlink" Target="http://data.europa.eu/europass/credentialType/diplomaSupplemen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5:V67"/>
  <sheetViews>
    <sheetView topLeftCell="A4" zoomScale="55" zoomScaleNormal="55" workbookViewId="0">
      <selection activeCell="M42" sqref="M42:N47"/>
    </sheetView>
  </sheetViews>
  <sheetFormatPr baseColWidth="10" defaultColWidth="10.85546875" defaultRowHeight="15" x14ac:dyDescent="0.25"/>
  <cols>
    <col min="3" max="4" width="28.42578125" customWidth="1"/>
    <col min="5" max="5" width="19.7109375" customWidth="1"/>
    <col min="6" max="7" width="28.28515625" customWidth="1"/>
    <col min="8" max="8" width="17.42578125" customWidth="1"/>
    <col min="9" max="9" width="16.5703125" customWidth="1"/>
    <col min="12" max="12" width="18.5703125" customWidth="1"/>
    <col min="13" max="13" width="18.28515625" bestFit="1" customWidth="1"/>
    <col min="14" max="14" width="16.85546875" customWidth="1"/>
    <col min="15" max="15" width="18.28515625" bestFit="1" customWidth="1"/>
    <col min="21" max="21" width="20.42578125" customWidth="1"/>
    <col min="22" max="22" width="86" customWidth="1"/>
  </cols>
  <sheetData>
    <row r="5" spans="1:22" ht="31.5" customHeight="1" x14ac:dyDescent="0.35">
      <c r="C5" s="9" t="s">
        <v>0</v>
      </c>
      <c r="E5" s="9" t="s">
        <v>1</v>
      </c>
      <c r="F5" s="9"/>
      <c r="H5" s="9" t="s">
        <v>2</v>
      </c>
      <c r="I5" s="9"/>
      <c r="L5" s="9" t="s">
        <v>3</v>
      </c>
      <c r="Q5" s="103" t="s">
        <v>1176</v>
      </c>
      <c r="R5" s="103"/>
      <c r="S5" s="103"/>
      <c r="T5" s="103"/>
      <c r="U5" s="104"/>
      <c r="V5" s="105" t="s">
        <v>1177</v>
      </c>
    </row>
    <row r="6" spans="1:22" x14ac:dyDescent="0.25">
      <c r="E6" t="s">
        <v>4</v>
      </c>
    </row>
    <row r="7" spans="1:22" ht="15.75" thickBot="1" x14ac:dyDescent="0.3"/>
    <row r="8" spans="1:22" x14ac:dyDescent="0.25">
      <c r="A8" s="3" t="s">
        <v>5</v>
      </c>
      <c r="C8" s="24" t="s">
        <v>6</v>
      </c>
      <c r="E8" s="29" t="s">
        <v>6</v>
      </c>
      <c r="F8" s="30" t="s">
        <v>6</v>
      </c>
      <c r="H8" s="24" t="s">
        <v>7</v>
      </c>
      <c r="I8" s="29" t="s">
        <v>7</v>
      </c>
      <c r="J8" s="30" t="s">
        <v>7</v>
      </c>
      <c r="L8" s="29" t="s">
        <v>8</v>
      </c>
      <c r="M8" s="39" t="s">
        <v>8</v>
      </c>
      <c r="N8" s="30" t="s">
        <v>8</v>
      </c>
    </row>
    <row r="9" spans="1:22" x14ac:dyDescent="0.25">
      <c r="A9" s="3" t="s">
        <v>9</v>
      </c>
      <c r="C9" s="25" t="s">
        <v>10</v>
      </c>
      <c r="E9" s="31" t="s">
        <v>11</v>
      </c>
      <c r="F9" s="32" t="s">
        <v>11</v>
      </c>
      <c r="H9" s="25" t="s">
        <v>12</v>
      </c>
      <c r="I9" s="31" t="s">
        <v>13</v>
      </c>
      <c r="J9" s="32" t="s">
        <v>13</v>
      </c>
      <c r="L9" s="31" t="s">
        <v>14</v>
      </c>
      <c r="M9" s="3" t="s">
        <v>14</v>
      </c>
      <c r="N9" s="32" t="s">
        <v>14</v>
      </c>
    </row>
    <row r="10" spans="1:22" x14ac:dyDescent="0.25">
      <c r="A10" s="3" t="s">
        <v>15</v>
      </c>
      <c r="C10" s="25" t="s">
        <v>16</v>
      </c>
      <c r="E10" s="31" t="s">
        <v>16</v>
      </c>
      <c r="F10" s="32" t="s">
        <v>16</v>
      </c>
      <c r="H10" s="25" t="s">
        <v>16</v>
      </c>
      <c r="I10" s="31" t="s">
        <v>16</v>
      </c>
      <c r="J10" s="32" t="s">
        <v>16</v>
      </c>
      <c r="L10" s="44" t="s">
        <v>16</v>
      </c>
      <c r="M10" t="s">
        <v>16</v>
      </c>
      <c r="N10" s="45" t="s">
        <v>16</v>
      </c>
    </row>
    <row r="11" spans="1:22" s="52" customFormat="1" x14ac:dyDescent="0.25">
      <c r="A11" s="13" t="s">
        <v>17</v>
      </c>
      <c r="C11" s="53" t="s">
        <v>18</v>
      </c>
      <c r="E11" s="54" t="s">
        <v>18</v>
      </c>
      <c r="F11" s="55" t="s">
        <v>18</v>
      </c>
      <c r="H11" s="53" t="s">
        <v>19</v>
      </c>
      <c r="I11" s="54" t="s">
        <v>13</v>
      </c>
      <c r="J11" s="55" t="s">
        <v>13</v>
      </c>
      <c r="L11" s="56" t="s">
        <v>20</v>
      </c>
      <c r="M11" s="52" t="s">
        <v>20</v>
      </c>
      <c r="N11" s="57" t="s">
        <v>20</v>
      </c>
    </row>
    <row r="12" spans="1:22" x14ac:dyDescent="0.25">
      <c r="A12" s="3" t="s">
        <v>21</v>
      </c>
      <c r="C12" s="25"/>
      <c r="E12" s="31"/>
      <c r="F12" s="32"/>
      <c r="H12" s="25" t="s">
        <v>22</v>
      </c>
      <c r="I12" s="31" t="s">
        <v>23</v>
      </c>
      <c r="J12" s="32" t="s">
        <v>24</v>
      </c>
      <c r="L12" s="44" t="s">
        <v>24</v>
      </c>
      <c r="M12" t="s">
        <v>24</v>
      </c>
      <c r="N12" s="45" t="s">
        <v>24</v>
      </c>
    </row>
    <row r="13" spans="1:22" x14ac:dyDescent="0.25">
      <c r="A13" s="3" t="s">
        <v>25</v>
      </c>
      <c r="C13" s="25"/>
      <c r="E13" s="31">
        <v>1</v>
      </c>
      <c r="F13" s="32">
        <v>2</v>
      </c>
      <c r="H13" s="25"/>
      <c r="I13" s="31"/>
      <c r="J13" s="32"/>
      <c r="L13" s="31">
        <v>0</v>
      </c>
      <c r="M13" s="3">
        <v>1</v>
      </c>
      <c r="N13" s="32">
        <v>2</v>
      </c>
    </row>
    <row r="14" spans="1:22" x14ac:dyDescent="0.25">
      <c r="A14" s="3" t="s">
        <v>26</v>
      </c>
      <c r="C14" s="25"/>
      <c r="E14" s="31"/>
      <c r="F14" s="32"/>
      <c r="H14" s="25"/>
      <c r="I14" s="31"/>
      <c r="J14" s="32"/>
      <c r="L14" s="31"/>
      <c r="M14" s="3"/>
      <c r="N14" s="32"/>
    </row>
    <row r="15" spans="1:22" x14ac:dyDescent="0.25">
      <c r="A15" s="16" t="s">
        <v>27</v>
      </c>
      <c r="C15" s="26"/>
      <c r="E15" s="33"/>
      <c r="F15" s="34"/>
      <c r="H15" s="26"/>
      <c r="I15" s="33"/>
      <c r="J15" s="34"/>
      <c r="L15" s="46"/>
      <c r="M15" s="16"/>
      <c r="N15" s="47"/>
    </row>
    <row r="16" spans="1:22" x14ac:dyDescent="0.25">
      <c r="A16" s="18" t="s">
        <v>28</v>
      </c>
      <c r="C16" s="27"/>
      <c r="E16" s="35"/>
      <c r="F16" s="36"/>
      <c r="H16" s="27"/>
      <c r="I16" s="35"/>
      <c r="J16" s="36"/>
      <c r="L16" s="48"/>
      <c r="M16" s="18"/>
      <c r="N16" s="49"/>
    </row>
    <row r="17" spans="1:15" ht="15.75" thickBot="1" x14ac:dyDescent="0.3">
      <c r="A17" s="21" t="s">
        <v>26</v>
      </c>
      <c r="C17" s="28"/>
      <c r="E17" s="37"/>
      <c r="F17" s="38"/>
      <c r="H17" s="28"/>
      <c r="I17" s="37"/>
      <c r="J17" s="38"/>
      <c r="L17" s="50"/>
      <c r="M17" s="21"/>
      <c r="N17" s="51"/>
    </row>
    <row r="18" spans="1:15" x14ac:dyDescent="0.25">
      <c r="A18" s="3" t="s">
        <v>29</v>
      </c>
      <c r="C18" s="58">
        <v>43723</v>
      </c>
      <c r="E18" s="58">
        <v>43723</v>
      </c>
      <c r="F18" s="58">
        <v>43723</v>
      </c>
      <c r="H18" s="58" t="s">
        <v>30</v>
      </c>
      <c r="I18" s="58">
        <v>43806</v>
      </c>
      <c r="J18" s="58" t="s">
        <v>31</v>
      </c>
      <c r="L18" s="1" t="s">
        <v>32</v>
      </c>
      <c r="M18" s="1" t="s">
        <v>33</v>
      </c>
      <c r="N18" s="1" t="s">
        <v>34</v>
      </c>
    </row>
    <row r="22" spans="1:15" x14ac:dyDescent="0.25">
      <c r="C22" s="9" t="s">
        <v>35</v>
      </c>
      <c r="H22" s="9" t="s">
        <v>36</v>
      </c>
    </row>
    <row r="24" spans="1:15" ht="15.75" thickBot="1" x14ac:dyDescent="0.3"/>
    <row r="25" spans="1:15" x14ac:dyDescent="0.25">
      <c r="A25" s="3" t="s">
        <v>5</v>
      </c>
      <c r="C25" s="29" t="s">
        <v>37</v>
      </c>
      <c r="D25" s="39" t="s">
        <v>37</v>
      </c>
      <c r="E25" s="39" t="s">
        <v>37</v>
      </c>
      <c r="F25" s="30" t="s">
        <v>37</v>
      </c>
      <c r="H25" s="29" t="s">
        <v>7</v>
      </c>
      <c r="I25" s="39" t="s">
        <v>7</v>
      </c>
      <c r="J25" s="39" t="s">
        <v>7</v>
      </c>
      <c r="K25" s="39" t="s">
        <v>7</v>
      </c>
      <c r="L25" s="29" t="s">
        <v>7</v>
      </c>
      <c r="M25" s="39" t="s">
        <v>7</v>
      </c>
      <c r="N25" s="39" t="s">
        <v>7</v>
      </c>
      <c r="O25" s="30" t="s">
        <v>7</v>
      </c>
    </row>
    <row r="26" spans="1:15" x14ac:dyDescent="0.25">
      <c r="A26" s="3" t="s">
        <v>9</v>
      </c>
      <c r="C26" s="31" t="s">
        <v>38</v>
      </c>
      <c r="D26" s="3" t="s">
        <v>38</v>
      </c>
      <c r="E26" s="3" t="s">
        <v>38</v>
      </c>
      <c r="F26" s="32" t="s">
        <v>38</v>
      </c>
      <c r="H26" s="31" t="s">
        <v>39</v>
      </c>
      <c r="I26" s="3" t="s">
        <v>39</v>
      </c>
      <c r="J26" s="3" t="s">
        <v>39</v>
      </c>
      <c r="K26" s="3" t="s">
        <v>39</v>
      </c>
      <c r="L26" s="31" t="s">
        <v>39</v>
      </c>
      <c r="M26" s="3" t="s">
        <v>39</v>
      </c>
      <c r="N26" s="3" t="s">
        <v>39</v>
      </c>
      <c r="O26" s="32" t="s">
        <v>39</v>
      </c>
    </row>
    <row r="27" spans="1:15" x14ac:dyDescent="0.25">
      <c r="A27" s="3" t="s">
        <v>15</v>
      </c>
      <c r="C27" s="31" t="s">
        <v>16</v>
      </c>
      <c r="D27" s="3" t="s">
        <v>16</v>
      </c>
      <c r="E27" s="3" t="s">
        <v>16</v>
      </c>
      <c r="F27" s="32" t="s">
        <v>16</v>
      </c>
      <c r="H27" s="31" t="s">
        <v>16</v>
      </c>
      <c r="I27" s="3" t="s">
        <v>16</v>
      </c>
      <c r="J27" s="3" t="s">
        <v>16</v>
      </c>
      <c r="K27" s="3" t="s">
        <v>16</v>
      </c>
      <c r="L27" s="31" t="s">
        <v>16</v>
      </c>
      <c r="M27" s="3" t="s">
        <v>16</v>
      </c>
      <c r="N27" s="3" t="s">
        <v>16</v>
      </c>
      <c r="O27" s="32" t="s">
        <v>16</v>
      </c>
    </row>
    <row r="28" spans="1:15" s="52" customFormat="1" x14ac:dyDescent="0.25">
      <c r="A28" s="13" t="s">
        <v>17</v>
      </c>
      <c r="C28" s="54" t="s">
        <v>40</v>
      </c>
      <c r="D28" s="52" t="s">
        <v>40</v>
      </c>
      <c r="E28" s="13" t="s">
        <v>40</v>
      </c>
      <c r="F28" s="55" t="s">
        <v>40</v>
      </c>
      <c r="H28" s="54"/>
      <c r="I28" s="13"/>
      <c r="J28" s="13"/>
      <c r="L28" s="56"/>
      <c r="O28" s="57"/>
    </row>
    <row r="29" spans="1:15" x14ac:dyDescent="0.25">
      <c r="A29" s="3" t="s">
        <v>21</v>
      </c>
      <c r="C29" s="31" t="s">
        <v>24</v>
      </c>
      <c r="D29" s="3" t="s">
        <v>41</v>
      </c>
      <c r="E29" s="3" t="s">
        <v>24</v>
      </c>
      <c r="F29" s="32" t="s">
        <v>41</v>
      </c>
      <c r="H29" s="31" t="s">
        <v>42</v>
      </c>
      <c r="I29" s="3" t="s">
        <v>24</v>
      </c>
      <c r="J29" s="3" t="s">
        <v>24</v>
      </c>
      <c r="K29" s="3" t="s">
        <v>24</v>
      </c>
      <c r="L29" s="31" t="s">
        <v>42</v>
      </c>
      <c r="M29" s="3" t="s">
        <v>24</v>
      </c>
      <c r="N29" s="3" t="s">
        <v>24</v>
      </c>
      <c r="O29" s="32" t="s">
        <v>24</v>
      </c>
    </row>
    <row r="30" spans="1:15" x14ac:dyDescent="0.25">
      <c r="A30" s="3" t="s">
        <v>25</v>
      </c>
      <c r="C30" s="31"/>
      <c r="D30" s="3"/>
      <c r="E30" s="3"/>
      <c r="F30" s="32"/>
      <c r="H30" s="31">
        <v>1</v>
      </c>
      <c r="I30" s="3">
        <v>1</v>
      </c>
      <c r="J30" s="3">
        <v>1</v>
      </c>
      <c r="K30" s="3">
        <v>1</v>
      </c>
      <c r="L30" s="31">
        <v>2</v>
      </c>
      <c r="M30" s="3">
        <v>2</v>
      </c>
      <c r="N30" s="3">
        <v>2</v>
      </c>
      <c r="O30" s="32">
        <v>2</v>
      </c>
    </row>
    <row r="31" spans="1:15" x14ac:dyDescent="0.25">
      <c r="A31" s="3" t="s">
        <v>26</v>
      </c>
      <c r="C31" s="31" t="s">
        <v>43</v>
      </c>
      <c r="D31" s="3" t="s">
        <v>43</v>
      </c>
      <c r="E31" s="3" t="s">
        <v>44</v>
      </c>
      <c r="F31" s="32" t="s">
        <v>44</v>
      </c>
      <c r="H31" s="31"/>
      <c r="I31" s="3" t="s">
        <v>43</v>
      </c>
      <c r="J31" s="3" t="s">
        <v>45</v>
      </c>
      <c r="K31" s="3" t="s">
        <v>46</v>
      </c>
      <c r="L31" s="31"/>
      <c r="M31" s="3" t="s">
        <v>43</v>
      </c>
      <c r="N31" s="3" t="s">
        <v>45</v>
      </c>
      <c r="O31" s="32" t="s">
        <v>46</v>
      </c>
    </row>
    <row r="32" spans="1:15" x14ac:dyDescent="0.25">
      <c r="A32" s="16" t="s">
        <v>27</v>
      </c>
      <c r="C32" s="40"/>
      <c r="D32" s="20"/>
      <c r="E32" s="20"/>
      <c r="F32" s="41"/>
      <c r="H32" s="40"/>
      <c r="I32" s="20"/>
      <c r="J32" s="20"/>
      <c r="K32" s="20"/>
      <c r="L32" s="40"/>
      <c r="M32" s="20"/>
      <c r="N32" s="20"/>
      <c r="O32" s="41"/>
    </row>
    <row r="33" spans="1:15" x14ac:dyDescent="0.25">
      <c r="A33" s="18" t="s">
        <v>28</v>
      </c>
      <c r="C33" s="40"/>
      <c r="D33" s="20"/>
      <c r="E33" s="20"/>
      <c r="F33" s="41"/>
      <c r="H33" s="40"/>
      <c r="I33" s="20"/>
      <c r="J33" s="20"/>
      <c r="K33" s="20"/>
      <c r="L33" s="40"/>
      <c r="M33" s="20"/>
      <c r="N33" s="20"/>
      <c r="O33" s="41"/>
    </row>
    <row r="34" spans="1:15" ht="15.75" thickBot="1" x14ac:dyDescent="0.3">
      <c r="A34" s="21" t="s">
        <v>26</v>
      </c>
      <c r="C34" s="42"/>
      <c r="D34" s="22"/>
      <c r="E34" s="22"/>
      <c r="F34" s="43"/>
      <c r="H34" s="42"/>
      <c r="I34" s="22"/>
      <c r="J34" s="22"/>
      <c r="K34" s="22"/>
      <c r="L34" s="42"/>
      <c r="M34" s="22"/>
      <c r="N34" s="22"/>
      <c r="O34" s="43"/>
    </row>
    <row r="35" spans="1:15" x14ac:dyDescent="0.25">
      <c r="A35" s="3" t="s">
        <v>29</v>
      </c>
      <c r="C35" s="1" t="s">
        <v>47</v>
      </c>
      <c r="D35" s="1"/>
      <c r="E35" s="1" t="s">
        <v>48</v>
      </c>
      <c r="F35" s="1"/>
      <c r="H35" s="1" t="s">
        <v>49</v>
      </c>
      <c r="I35" s="1" t="s">
        <v>50</v>
      </c>
      <c r="J35" s="1" t="s">
        <v>51</v>
      </c>
      <c r="K35" s="1" t="s">
        <v>52</v>
      </c>
      <c r="L35" s="1" t="s">
        <v>53</v>
      </c>
      <c r="M35" s="1" t="s">
        <v>54</v>
      </c>
      <c r="N35" s="1" t="s">
        <v>55</v>
      </c>
      <c r="O35" s="1" t="s">
        <v>56</v>
      </c>
    </row>
    <row r="38" spans="1:15" x14ac:dyDescent="0.25">
      <c r="C38" s="9" t="s">
        <v>57</v>
      </c>
      <c r="F38" s="9" t="s">
        <v>187</v>
      </c>
      <c r="K38" s="9" t="s">
        <v>189</v>
      </c>
    </row>
    <row r="39" spans="1:15" ht="30" x14ac:dyDescent="0.25">
      <c r="F39" t="s">
        <v>5</v>
      </c>
      <c r="G39" t="s">
        <v>260</v>
      </c>
      <c r="H39" t="s">
        <v>15</v>
      </c>
      <c r="I39" s="60" t="s">
        <v>293</v>
      </c>
      <c r="J39" t="s">
        <v>262</v>
      </c>
      <c r="K39" s="61" t="s">
        <v>259</v>
      </c>
      <c r="L39" s="61" t="s">
        <v>260</v>
      </c>
      <c r="M39" s="61" t="s">
        <v>15</v>
      </c>
      <c r="N39" s="62" t="s">
        <v>261</v>
      </c>
      <c r="O39" s="61" t="s">
        <v>262</v>
      </c>
    </row>
    <row r="40" spans="1:15" x14ac:dyDescent="0.25">
      <c r="K40" t="s">
        <v>159</v>
      </c>
      <c r="L40" t="s">
        <v>263</v>
      </c>
      <c r="M40" t="s">
        <v>264</v>
      </c>
      <c r="N40" t="s">
        <v>265</v>
      </c>
      <c r="O40" t="s">
        <v>266</v>
      </c>
    </row>
    <row r="42" spans="1:15" x14ac:dyDescent="0.25">
      <c r="A42" s="3" t="s">
        <v>5</v>
      </c>
      <c r="C42" s="3" t="s">
        <v>37</v>
      </c>
      <c r="D42" s="3" t="s">
        <v>37</v>
      </c>
      <c r="F42" s="3" t="s">
        <v>37</v>
      </c>
      <c r="G42" s="3" t="s">
        <v>37</v>
      </c>
      <c r="H42" s="3" t="s">
        <v>37</v>
      </c>
      <c r="I42" s="3" t="s">
        <v>37</v>
      </c>
      <c r="K42" s="3" t="s">
        <v>37</v>
      </c>
      <c r="L42" s="3" t="s">
        <v>37</v>
      </c>
      <c r="M42" s="3" t="s">
        <v>37</v>
      </c>
      <c r="N42" s="3" t="s">
        <v>37</v>
      </c>
      <c r="O42" s="3" t="s">
        <v>37</v>
      </c>
    </row>
    <row r="43" spans="1:15" x14ac:dyDescent="0.25">
      <c r="A43" s="3" t="s">
        <v>9</v>
      </c>
      <c r="C43" s="3" t="s">
        <v>58</v>
      </c>
      <c r="D43" s="3" t="s">
        <v>58</v>
      </c>
      <c r="F43" s="3" t="s">
        <v>188</v>
      </c>
      <c r="G43" s="3" t="s">
        <v>188</v>
      </c>
      <c r="H43" s="3" t="s">
        <v>188</v>
      </c>
      <c r="I43" s="3" t="s">
        <v>188</v>
      </c>
      <c r="K43" s="9" t="s">
        <v>13</v>
      </c>
      <c r="L43" s="9" t="s">
        <v>13</v>
      </c>
      <c r="M43" s="9" t="s">
        <v>13</v>
      </c>
      <c r="N43" s="9" t="s">
        <v>13</v>
      </c>
      <c r="O43" s="9" t="s">
        <v>13</v>
      </c>
    </row>
    <row r="44" spans="1:15" x14ac:dyDescent="0.25">
      <c r="A44" s="3" t="s">
        <v>15</v>
      </c>
      <c r="C44" s="3" t="s">
        <v>59</v>
      </c>
      <c r="D44" s="3" t="s">
        <v>60</v>
      </c>
      <c r="F44" s="3" t="s">
        <v>59</v>
      </c>
      <c r="G44" s="3" t="s">
        <v>60</v>
      </c>
      <c r="H44" s="3" t="s">
        <v>59</v>
      </c>
      <c r="I44" s="3" t="s">
        <v>60</v>
      </c>
      <c r="K44" s="9" t="s">
        <v>16</v>
      </c>
      <c r="L44" s="9" t="s">
        <v>16</v>
      </c>
      <c r="M44" s="9" t="s">
        <v>16</v>
      </c>
      <c r="N44" s="9" t="s">
        <v>16</v>
      </c>
      <c r="O44" s="9" t="s">
        <v>16</v>
      </c>
    </row>
    <row r="45" spans="1:15" x14ac:dyDescent="0.25">
      <c r="A45" s="13" t="s">
        <v>17</v>
      </c>
      <c r="B45" s="13"/>
      <c r="C45" s="13"/>
      <c r="D45" s="13"/>
      <c r="F45" s="13"/>
      <c r="G45" s="13"/>
      <c r="H45" s="13"/>
      <c r="I45" s="13"/>
    </row>
    <row r="46" spans="1:15" x14ac:dyDescent="0.25">
      <c r="A46" s="3" t="s">
        <v>21</v>
      </c>
      <c r="C46" s="3" t="s">
        <v>7</v>
      </c>
      <c r="D46" s="3" t="s">
        <v>7</v>
      </c>
      <c r="F46" s="3" t="s">
        <v>7</v>
      </c>
      <c r="G46" s="3" t="s">
        <v>7</v>
      </c>
      <c r="H46" s="3" t="s">
        <v>7</v>
      </c>
      <c r="I46" s="3" t="s">
        <v>7</v>
      </c>
      <c r="K46" s="9" t="s">
        <v>24</v>
      </c>
      <c r="L46" s="9" t="s">
        <v>23</v>
      </c>
      <c r="M46" s="59" t="s">
        <v>248</v>
      </c>
      <c r="N46" s="59" t="s">
        <v>248</v>
      </c>
      <c r="O46" s="9" t="s">
        <v>24</v>
      </c>
    </row>
    <row r="47" spans="1:15" x14ac:dyDescent="0.25">
      <c r="A47" s="3" t="s">
        <v>25</v>
      </c>
      <c r="D47" s="3"/>
      <c r="F47" s="9">
        <v>1</v>
      </c>
      <c r="G47" s="3">
        <v>1</v>
      </c>
      <c r="H47" s="9">
        <v>2</v>
      </c>
      <c r="I47" s="3">
        <v>2</v>
      </c>
      <c r="K47" s="9">
        <v>1</v>
      </c>
      <c r="L47" s="9">
        <v>1</v>
      </c>
      <c r="M47" s="59">
        <v>1</v>
      </c>
      <c r="N47" s="59">
        <v>1</v>
      </c>
      <c r="O47" s="9">
        <v>2</v>
      </c>
    </row>
    <row r="48" spans="1:15" x14ac:dyDescent="0.25">
      <c r="A48" s="3" t="s">
        <v>26</v>
      </c>
      <c r="C48" s="3"/>
      <c r="D48" s="3"/>
      <c r="F48" s="3"/>
      <c r="G48" s="3"/>
      <c r="H48" s="3"/>
      <c r="I48" s="3"/>
      <c r="K48" s="3"/>
      <c r="L48" s="3"/>
      <c r="M48" s="3"/>
      <c r="N48" s="3"/>
      <c r="O48" s="3"/>
    </row>
    <row r="49" spans="1:15" x14ac:dyDescent="0.25">
      <c r="A49" s="16" t="s">
        <v>27</v>
      </c>
      <c r="C49" s="17"/>
      <c r="D49" s="17"/>
      <c r="F49" s="17"/>
      <c r="G49" s="17"/>
      <c r="H49" s="17"/>
      <c r="I49" s="17"/>
      <c r="K49" s="17"/>
      <c r="L49" s="17"/>
      <c r="M49" s="17"/>
      <c r="N49" s="17"/>
      <c r="O49" s="17"/>
    </row>
    <row r="50" spans="1:15" x14ac:dyDescent="0.25">
      <c r="A50" s="18" t="s">
        <v>28</v>
      </c>
      <c r="C50" s="20"/>
      <c r="D50" s="20"/>
      <c r="F50" s="20"/>
      <c r="G50" s="20"/>
      <c r="H50" s="20"/>
      <c r="I50" s="20"/>
      <c r="K50" s="20"/>
      <c r="L50" s="20"/>
      <c r="M50" s="20"/>
      <c r="N50" s="20"/>
      <c r="O50" s="20"/>
    </row>
    <row r="51" spans="1:15" ht="15.75" thickBot="1" x14ac:dyDescent="0.3">
      <c r="A51" s="21" t="s">
        <v>26</v>
      </c>
      <c r="C51" s="22"/>
      <c r="D51" s="22"/>
      <c r="F51" s="22"/>
      <c r="G51" s="22"/>
      <c r="H51" s="22"/>
      <c r="I51" s="22"/>
      <c r="K51" s="22"/>
      <c r="L51" s="22"/>
      <c r="M51" s="22"/>
      <c r="N51" s="22"/>
      <c r="O51" s="22"/>
    </row>
    <row r="52" spans="1:15" x14ac:dyDescent="0.25">
      <c r="A52" s="3" t="s">
        <v>29</v>
      </c>
      <c r="C52" s="1" t="s">
        <v>61</v>
      </c>
      <c r="D52" s="3">
        <v>12</v>
      </c>
      <c r="F52" s="1" t="s">
        <v>61</v>
      </c>
      <c r="G52" s="1">
        <v>12</v>
      </c>
      <c r="H52" s="1" t="s">
        <v>61</v>
      </c>
      <c r="I52" s="1">
        <v>12</v>
      </c>
      <c r="K52" t="s">
        <v>249</v>
      </c>
      <c r="L52" t="s">
        <v>252</v>
      </c>
      <c r="M52" t="s">
        <v>250</v>
      </c>
      <c r="N52" t="s">
        <v>251</v>
      </c>
      <c r="O52" t="s">
        <v>253</v>
      </c>
    </row>
    <row r="53" spans="1:15" x14ac:dyDescent="0.25">
      <c r="C53" t="s">
        <v>62</v>
      </c>
      <c r="D53">
        <v>13</v>
      </c>
      <c r="F53" t="s">
        <v>62</v>
      </c>
      <c r="G53">
        <v>13</v>
      </c>
      <c r="H53" t="s">
        <v>62</v>
      </c>
      <c r="I53">
        <v>13</v>
      </c>
      <c r="K53" t="s">
        <v>254</v>
      </c>
      <c r="L53" t="s">
        <v>255</v>
      </c>
      <c r="M53" t="s">
        <v>256</v>
      </c>
      <c r="N53" t="s">
        <v>257</v>
      </c>
      <c r="O53" t="s">
        <v>258</v>
      </c>
    </row>
    <row r="56" spans="1:15" x14ac:dyDescent="0.25">
      <c r="C56" s="9" t="s">
        <v>1178</v>
      </c>
      <c r="F56" s="9" t="s">
        <v>1179</v>
      </c>
    </row>
    <row r="57" spans="1:15" ht="30" x14ac:dyDescent="0.25">
      <c r="A57" s="3" t="s">
        <v>5</v>
      </c>
      <c r="C57" s="106" t="s">
        <v>1180</v>
      </c>
      <c r="D57" s="106" t="s">
        <v>1180</v>
      </c>
      <c r="F57" s="107" t="s">
        <v>37</v>
      </c>
      <c r="G57" s="107" t="s">
        <v>37</v>
      </c>
    </row>
    <row r="58" spans="1:15" ht="17.25" customHeight="1" x14ac:dyDescent="0.25">
      <c r="A58" s="3" t="s">
        <v>9</v>
      </c>
      <c r="C58" s="108" t="s">
        <v>24</v>
      </c>
      <c r="D58" s="108" t="s">
        <v>1181</v>
      </c>
      <c r="F58" s="108" t="s">
        <v>1182</v>
      </c>
      <c r="G58" s="108" t="s">
        <v>1182</v>
      </c>
    </row>
    <row r="59" spans="1:15" x14ac:dyDescent="0.25">
      <c r="A59" s="3" t="s">
        <v>15</v>
      </c>
      <c r="C59" s="108" t="s">
        <v>1183</v>
      </c>
      <c r="D59" s="108" t="s">
        <v>1183</v>
      </c>
      <c r="F59" s="108" t="s">
        <v>59</v>
      </c>
      <c r="G59" s="108" t="s">
        <v>1184</v>
      </c>
    </row>
    <row r="60" spans="1:15" x14ac:dyDescent="0.25">
      <c r="A60" s="13" t="s">
        <v>17</v>
      </c>
      <c r="C60" s="108"/>
      <c r="F60" s="108" t="s">
        <v>158</v>
      </c>
      <c r="G60" s="108" t="s">
        <v>158</v>
      </c>
    </row>
    <row r="61" spans="1:15" x14ac:dyDescent="0.25">
      <c r="A61" s="3" t="s">
        <v>21</v>
      </c>
      <c r="C61" s="108"/>
      <c r="D61" s="108" t="s">
        <v>160</v>
      </c>
      <c r="F61" s="108"/>
      <c r="G61" s="108">
        <v>13</v>
      </c>
    </row>
    <row r="62" spans="1:15" x14ac:dyDescent="0.25">
      <c r="A62" s="3" t="s">
        <v>25</v>
      </c>
      <c r="C62" s="108"/>
      <c r="D62" s="108"/>
      <c r="F62" s="108"/>
      <c r="G62" s="108"/>
    </row>
    <row r="63" spans="1:15" x14ac:dyDescent="0.25">
      <c r="A63" s="3" t="s">
        <v>26</v>
      </c>
      <c r="C63" s="109"/>
      <c r="D63" s="109"/>
      <c r="F63" s="109"/>
      <c r="G63" s="109"/>
    </row>
    <row r="64" spans="1:15" x14ac:dyDescent="0.25">
      <c r="A64" s="16" t="s">
        <v>27</v>
      </c>
      <c r="C64" s="110"/>
      <c r="D64" s="110"/>
      <c r="F64" s="110"/>
      <c r="G64" s="110"/>
    </row>
    <row r="65" spans="1:7" ht="15.75" thickBot="1" x14ac:dyDescent="0.3">
      <c r="A65" s="18" t="s">
        <v>28</v>
      </c>
      <c r="C65" s="111"/>
      <c r="D65" s="111"/>
      <c r="F65" s="111"/>
      <c r="G65" s="111"/>
    </row>
    <row r="66" spans="1:7" ht="15.75" thickBot="1" x14ac:dyDescent="0.3">
      <c r="A66" s="21" t="s">
        <v>26</v>
      </c>
      <c r="C66" s="112"/>
      <c r="D66" s="112"/>
      <c r="F66" s="112"/>
      <c r="G66" s="112"/>
    </row>
    <row r="67" spans="1:7" ht="60" x14ac:dyDescent="0.25">
      <c r="A67" s="3" t="s">
        <v>29</v>
      </c>
      <c r="C67" s="113" t="s">
        <v>1185</v>
      </c>
      <c r="D67" s="113" t="s">
        <v>1186</v>
      </c>
      <c r="F67" s="114" t="s">
        <v>1187</v>
      </c>
      <c r="G67" s="108">
        <v>13</v>
      </c>
    </row>
  </sheetData>
  <hyperlinks>
    <hyperlink ref="C6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
  <sheetViews>
    <sheetView showGridLines="0" workbookViewId="0">
      <selection activeCell="H16" sqref="H16"/>
    </sheetView>
  </sheetViews>
  <sheetFormatPr baseColWidth="10" defaultColWidth="9.140625" defaultRowHeight="15" x14ac:dyDescent="0.25"/>
  <cols>
    <col min="1" max="1" width="31.140625" bestFit="1" customWidth="1"/>
    <col min="2" max="2" width="14.42578125" customWidth="1"/>
    <col min="6" max="6" width="14.5703125" customWidth="1"/>
  </cols>
  <sheetData>
    <row r="1" spans="1:4" x14ac:dyDescent="0.25">
      <c r="A1" s="9"/>
    </row>
    <row r="2" spans="1:4" s="96" customFormat="1" ht="18.75" x14ac:dyDescent="0.3">
      <c r="A2" s="95" t="s">
        <v>294</v>
      </c>
      <c r="C2" s="96" t="s">
        <v>43</v>
      </c>
      <c r="D2" s="96" t="s">
        <v>95</v>
      </c>
    </row>
    <row r="4" spans="1:4" s="98" customFormat="1" ht="27" customHeight="1" x14ac:dyDescent="0.25">
      <c r="A4" s="97" t="s">
        <v>296</v>
      </c>
      <c r="C4" s="98" t="str">
        <f>VLOOKUP(D4,MDR_Languages[],2,FALSE)</f>
        <v>sv</v>
      </c>
      <c r="D4" s="98" t="s">
        <v>120</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References!$A$2:$A$27</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13"/>
  <sheetViews>
    <sheetView topLeftCell="K1" zoomScale="85" zoomScaleNormal="85" workbookViewId="0">
      <selection activeCell="K18" sqref="K18"/>
    </sheetView>
  </sheetViews>
  <sheetFormatPr baseColWidth="10" defaultColWidth="9.140625" defaultRowHeight="15" x14ac:dyDescent="0.25"/>
  <cols>
    <col min="1" max="1" width="16.7109375" bestFit="1" customWidth="1"/>
    <col min="2" max="2" width="17.5703125" bestFit="1" customWidth="1"/>
    <col min="3" max="6" width="17.5703125" style="134" customWidth="1"/>
    <col min="7" max="7" width="17.5703125" bestFit="1" customWidth="1"/>
    <col min="8" max="8" width="17.5703125" customWidth="1"/>
    <col min="9" max="9" width="17.28515625" bestFit="1" customWidth="1"/>
    <col min="10" max="10" width="17.5703125" customWidth="1"/>
    <col min="11" max="11" width="17.28515625" bestFit="1" customWidth="1"/>
    <col min="12" max="14" width="17.28515625" customWidth="1"/>
    <col min="15" max="15" width="17.28515625" hidden="1" customWidth="1"/>
    <col min="16" max="19" width="17.28515625" customWidth="1"/>
    <col min="20" max="24" width="10.85546875" customWidth="1"/>
    <col min="25" max="25" width="15.28515625" customWidth="1"/>
    <col min="26" max="26" width="15.85546875" customWidth="1"/>
    <col min="27" max="27" width="16.28515625" customWidth="1"/>
    <col min="28" max="28" width="15.85546875" customWidth="1"/>
    <col min="30" max="30" width="19.42578125" customWidth="1"/>
  </cols>
  <sheetData>
    <row r="1" spans="1:33" x14ac:dyDescent="0.25">
      <c r="A1" s="6" t="s">
        <v>2507</v>
      </c>
      <c r="B1" s="15" t="s">
        <v>128</v>
      </c>
      <c r="C1" s="15"/>
      <c r="D1" s="15"/>
      <c r="E1" s="15"/>
      <c r="F1" s="15"/>
      <c r="G1" s="5"/>
      <c r="H1" s="5"/>
      <c r="I1" s="5"/>
      <c r="J1" s="5"/>
      <c r="K1" s="5"/>
      <c r="L1" s="12"/>
      <c r="M1" s="12"/>
      <c r="N1" s="12"/>
      <c r="O1" s="12"/>
      <c r="P1" s="12"/>
      <c r="Q1" s="12"/>
      <c r="R1" s="12"/>
      <c r="S1" s="12"/>
    </row>
    <row r="2" spans="1:33" ht="45" x14ac:dyDescent="0.25">
      <c r="A2" s="75" t="s">
        <v>5</v>
      </c>
      <c r="B2" s="75" t="s">
        <v>7</v>
      </c>
      <c r="C2" s="75" t="s">
        <v>7</v>
      </c>
      <c r="D2" s="75" t="s">
        <v>7</v>
      </c>
      <c r="E2" s="75" t="s">
        <v>7</v>
      </c>
      <c r="F2" s="75" t="s">
        <v>2521</v>
      </c>
      <c r="G2" s="75" t="s">
        <v>7</v>
      </c>
      <c r="H2" s="75" t="s">
        <v>7</v>
      </c>
      <c r="I2" s="75" t="s">
        <v>7</v>
      </c>
      <c r="J2" s="75" t="s">
        <v>7</v>
      </c>
      <c r="K2" s="75" t="s">
        <v>7</v>
      </c>
      <c r="L2" s="75" t="s">
        <v>7</v>
      </c>
      <c r="M2" s="75" t="s">
        <v>7</v>
      </c>
      <c r="N2" s="75" t="s">
        <v>7</v>
      </c>
      <c r="O2" s="75" t="s">
        <v>7</v>
      </c>
      <c r="P2" s="75" t="s">
        <v>7</v>
      </c>
      <c r="Q2" s="75" t="s">
        <v>7</v>
      </c>
      <c r="R2" s="75" t="s">
        <v>7</v>
      </c>
      <c r="S2" s="75" t="s">
        <v>7</v>
      </c>
      <c r="T2" s="75" t="s">
        <v>7</v>
      </c>
      <c r="U2" s="75" t="s">
        <v>2511</v>
      </c>
      <c r="V2" s="75" t="s">
        <v>2514</v>
      </c>
      <c r="W2" s="75" t="s">
        <v>2515</v>
      </c>
      <c r="X2" s="75" t="s">
        <v>2516</v>
      </c>
      <c r="Y2" s="75" t="s">
        <v>7</v>
      </c>
      <c r="Z2" s="75" t="s">
        <v>7</v>
      </c>
      <c r="AA2" s="75" t="s">
        <v>7</v>
      </c>
      <c r="AB2" s="75" t="s">
        <v>7</v>
      </c>
      <c r="AC2" s="75" t="s">
        <v>7</v>
      </c>
      <c r="AD2" s="75" t="s">
        <v>7</v>
      </c>
      <c r="AE2" s="75"/>
      <c r="AF2" s="75"/>
      <c r="AG2" s="75"/>
    </row>
    <row r="3" spans="1:33" ht="30" x14ac:dyDescent="0.25">
      <c r="A3" s="75" t="s">
        <v>9</v>
      </c>
      <c r="B3" s="75" t="s">
        <v>129</v>
      </c>
      <c r="C3" s="75" t="s">
        <v>130</v>
      </c>
      <c r="D3" s="75" t="s">
        <v>131</v>
      </c>
      <c r="E3" s="75" t="s">
        <v>132</v>
      </c>
      <c r="F3" s="75" t="s">
        <v>129</v>
      </c>
      <c r="G3" s="75" t="s">
        <v>12</v>
      </c>
      <c r="H3" s="75" t="s">
        <v>13</v>
      </c>
      <c r="I3" s="75" t="s">
        <v>13</v>
      </c>
      <c r="J3" s="75" t="s">
        <v>13</v>
      </c>
      <c r="K3" s="75" t="s">
        <v>13</v>
      </c>
      <c r="L3" s="75" t="s">
        <v>39</v>
      </c>
      <c r="M3" s="75" t="s">
        <v>39</v>
      </c>
      <c r="N3" s="75" t="s">
        <v>39</v>
      </c>
      <c r="O3" s="75" t="s">
        <v>39</v>
      </c>
      <c r="P3" s="75" t="s">
        <v>39</v>
      </c>
      <c r="Q3" s="75" t="s">
        <v>39</v>
      </c>
      <c r="R3" s="75" t="s">
        <v>39</v>
      </c>
      <c r="S3" s="75" t="s">
        <v>39</v>
      </c>
      <c r="T3" s="75" t="s">
        <v>133</v>
      </c>
      <c r="U3" s="75" t="s">
        <v>2512</v>
      </c>
      <c r="V3" s="75" t="s">
        <v>137</v>
      </c>
      <c r="W3" s="75" t="s">
        <v>137</v>
      </c>
      <c r="X3" s="75" t="s">
        <v>137</v>
      </c>
      <c r="Y3" s="75" t="s">
        <v>134</v>
      </c>
      <c r="Z3" s="75" t="s">
        <v>134</v>
      </c>
      <c r="AA3" s="75" t="s">
        <v>134</v>
      </c>
      <c r="AB3" s="75" t="s">
        <v>134</v>
      </c>
      <c r="AC3" s="75" t="s">
        <v>2496</v>
      </c>
      <c r="AD3" s="75" t="s">
        <v>2496</v>
      </c>
      <c r="AE3" s="75"/>
      <c r="AF3" s="75"/>
      <c r="AG3" s="75"/>
    </row>
    <row r="4" spans="1:33" ht="30" x14ac:dyDescent="0.25">
      <c r="A4" s="75" t="s">
        <v>15</v>
      </c>
      <c r="B4" s="75" t="s">
        <v>135</v>
      </c>
      <c r="C4" s="75" t="s">
        <v>16</v>
      </c>
      <c r="D4" s="75" t="s">
        <v>16</v>
      </c>
      <c r="E4" s="75" t="s">
        <v>16</v>
      </c>
      <c r="F4" s="75" t="s">
        <v>1183</v>
      </c>
      <c r="G4" s="75" t="s">
        <v>16</v>
      </c>
      <c r="H4" s="75" t="s">
        <v>16</v>
      </c>
      <c r="I4" s="75" t="s">
        <v>16</v>
      </c>
      <c r="J4" s="75" t="s">
        <v>16</v>
      </c>
      <c r="K4" s="75" t="s">
        <v>16</v>
      </c>
      <c r="L4" s="75" t="s">
        <v>16</v>
      </c>
      <c r="M4" s="75" t="s">
        <v>16</v>
      </c>
      <c r="N4" s="75" t="s">
        <v>16</v>
      </c>
      <c r="O4" s="75" t="s">
        <v>16</v>
      </c>
      <c r="P4" s="75" t="s">
        <v>16</v>
      </c>
      <c r="Q4" s="75" t="s">
        <v>16</v>
      </c>
      <c r="R4" s="75" t="s">
        <v>16</v>
      </c>
      <c r="S4" s="75" t="s">
        <v>16</v>
      </c>
      <c r="T4" s="75" t="s">
        <v>16</v>
      </c>
      <c r="U4" s="75" t="s">
        <v>1183</v>
      </c>
      <c r="V4" s="75" t="s">
        <v>1183</v>
      </c>
      <c r="W4" s="75" t="s">
        <v>1183</v>
      </c>
      <c r="X4" s="75" t="s">
        <v>1183</v>
      </c>
      <c r="Y4" s="75" t="s">
        <v>16</v>
      </c>
      <c r="Z4" s="75" t="s">
        <v>16</v>
      </c>
      <c r="AA4" s="75" t="s">
        <v>16</v>
      </c>
      <c r="AB4" s="75" t="s">
        <v>16</v>
      </c>
      <c r="AC4" s="145" t="s">
        <v>2503</v>
      </c>
      <c r="AD4" s="145" t="s">
        <v>2504</v>
      </c>
      <c r="AE4" s="75"/>
      <c r="AF4" s="75"/>
      <c r="AG4" s="75"/>
    </row>
    <row r="5" spans="1:33" x14ac:dyDescent="0.25">
      <c r="A5" s="75" t="s">
        <v>21</v>
      </c>
      <c r="B5" s="75"/>
      <c r="C5" s="75" t="s">
        <v>24</v>
      </c>
      <c r="D5" s="75" t="s">
        <v>24</v>
      </c>
      <c r="E5" s="75" t="s">
        <v>24</v>
      </c>
      <c r="F5" s="75"/>
      <c r="G5" s="75" t="s">
        <v>22</v>
      </c>
      <c r="H5" s="75" t="s">
        <v>23</v>
      </c>
      <c r="I5" s="75" t="s">
        <v>24</v>
      </c>
      <c r="J5" s="75" t="s">
        <v>23</v>
      </c>
      <c r="K5" s="75" t="s">
        <v>24</v>
      </c>
      <c r="L5" s="75" t="s">
        <v>42</v>
      </c>
      <c r="M5" s="75" t="s">
        <v>24</v>
      </c>
      <c r="N5" s="75" t="s">
        <v>24</v>
      </c>
      <c r="O5" s="75" t="s">
        <v>24</v>
      </c>
      <c r="P5" s="75" t="s">
        <v>42</v>
      </c>
      <c r="Q5" s="75" t="s">
        <v>24</v>
      </c>
      <c r="R5" s="75" t="s">
        <v>24</v>
      </c>
      <c r="S5" s="75" t="s">
        <v>24</v>
      </c>
      <c r="T5" s="75"/>
      <c r="U5" s="75"/>
      <c r="X5" s="134"/>
      <c r="Y5" s="75" t="s">
        <v>24</v>
      </c>
      <c r="Z5" s="75" t="s">
        <v>24</v>
      </c>
      <c r="AA5" s="75" t="s">
        <v>24</v>
      </c>
      <c r="AB5" s="75" t="s">
        <v>24</v>
      </c>
      <c r="AC5" s="75"/>
      <c r="AD5" s="75"/>
      <c r="AE5" s="75"/>
      <c r="AF5" s="75"/>
      <c r="AG5" s="75"/>
    </row>
    <row r="6" spans="1:33" x14ac:dyDescent="0.25">
      <c r="A6" s="75" t="s">
        <v>25</v>
      </c>
      <c r="B6" s="75"/>
      <c r="C6" s="75"/>
      <c r="D6" s="75"/>
      <c r="E6" s="75"/>
      <c r="F6" s="75"/>
      <c r="G6" s="75"/>
      <c r="H6" s="75">
        <v>1</v>
      </c>
      <c r="I6" s="75">
        <v>1</v>
      </c>
      <c r="J6" s="75">
        <v>2</v>
      </c>
      <c r="K6" s="75">
        <v>2</v>
      </c>
      <c r="L6" s="75">
        <v>1</v>
      </c>
      <c r="M6" s="75">
        <v>1</v>
      </c>
      <c r="N6" s="75">
        <v>1</v>
      </c>
      <c r="O6" s="75">
        <v>1</v>
      </c>
      <c r="P6" s="75">
        <v>2</v>
      </c>
      <c r="Q6" s="75">
        <v>2</v>
      </c>
      <c r="R6" s="75">
        <v>2</v>
      </c>
      <c r="S6" s="75">
        <v>2</v>
      </c>
      <c r="T6" s="75"/>
      <c r="U6" s="75"/>
      <c r="V6" s="75"/>
      <c r="W6" s="75"/>
      <c r="X6" s="75"/>
      <c r="Y6" s="75">
        <v>1</v>
      </c>
      <c r="Z6" s="75">
        <v>1</v>
      </c>
      <c r="AA6" s="75">
        <v>2</v>
      </c>
      <c r="AB6" s="75">
        <v>2</v>
      </c>
      <c r="AC6" s="75"/>
      <c r="AD6" s="75"/>
      <c r="AE6" s="75"/>
      <c r="AF6" s="75"/>
      <c r="AG6" s="75"/>
    </row>
    <row r="7" spans="1:33" x14ac:dyDescent="0.25">
      <c r="A7" s="75" t="s">
        <v>26</v>
      </c>
      <c r="B7" s="75"/>
      <c r="C7" s="75" t="s">
        <v>45</v>
      </c>
      <c r="D7" s="75" t="s">
        <v>45</v>
      </c>
      <c r="E7" s="75" t="s">
        <v>45</v>
      </c>
      <c r="F7" s="75"/>
      <c r="G7" s="75"/>
      <c r="H7" s="75"/>
      <c r="I7" s="75"/>
      <c r="J7" s="75"/>
      <c r="K7" s="75"/>
      <c r="L7" s="75"/>
      <c r="M7" s="75" t="s">
        <v>43</v>
      </c>
      <c r="N7" s="75" t="s">
        <v>45</v>
      </c>
      <c r="O7" s="75" t="s">
        <v>46</v>
      </c>
      <c r="P7" s="75"/>
      <c r="Q7" s="75" t="s">
        <v>43</v>
      </c>
      <c r="R7" s="75" t="s">
        <v>45</v>
      </c>
      <c r="S7" s="75" t="s">
        <v>46</v>
      </c>
      <c r="T7" s="75"/>
      <c r="U7" s="75" t="s">
        <v>45</v>
      </c>
      <c r="V7" s="75"/>
      <c r="W7" s="75"/>
      <c r="X7" s="75"/>
      <c r="Y7" s="75" t="s">
        <v>45</v>
      </c>
      <c r="Z7" s="75" t="s">
        <v>43</v>
      </c>
      <c r="AA7" s="75" t="s">
        <v>45</v>
      </c>
      <c r="AB7" s="75" t="s">
        <v>43</v>
      </c>
      <c r="AC7" s="75"/>
      <c r="AD7" s="75"/>
      <c r="AE7" s="75"/>
      <c r="AF7" s="75"/>
      <c r="AG7" s="75"/>
    </row>
    <row r="8" spans="1:33" s="23" customFormat="1" x14ac:dyDescent="0.25">
      <c r="A8" s="79" t="s">
        <v>27</v>
      </c>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row>
    <row r="9" spans="1:33" s="23" customFormat="1" x14ac:dyDescent="0.25">
      <c r="A9" s="82" t="s">
        <v>28</v>
      </c>
      <c r="B9" s="82"/>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row>
    <row r="10" spans="1:33" s="23" customFormat="1" ht="15.75" thickBot="1" x14ac:dyDescent="0.3">
      <c r="A10" s="85" t="s">
        <v>26</v>
      </c>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c r="AF10" s="85"/>
      <c r="AG10" s="85"/>
    </row>
    <row r="11" spans="1:33" s="23" customFormat="1" x14ac:dyDescent="0.25">
      <c r="A11" s="66" t="s">
        <v>121</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row>
    <row r="12" spans="1:33" x14ac:dyDescent="0.25">
      <c r="A12" s="3"/>
      <c r="B12" t="s">
        <v>267</v>
      </c>
      <c r="C12" t="s">
        <v>281</v>
      </c>
      <c r="D12" t="s">
        <v>282</v>
      </c>
      <c r="E12" t="s">
        <v>283</v>
      </c>
      <c r="F12" s="134" t="s">
        <v>2517</v>
      </c>
      <c r="G12" t="s">
        <v>268</v>
      </c>
      <c r="H12" t="s">
        <v>269</v>
      </c>
      <c r="I12" t="s">
        <v>270</v>
      </c>
      <c r="J12" t="s">
        <v>271</v>
      </c>
      <c r="K12" t="s">
        <v>272</v>
      </c>
      <c r="L12" t="s">
        <v>273</v>
      </c>
      <c r="M12" t="s">
        <v>274</v>
      </c>
      <c r="N12" t="s">
        <v>275</v>
      </c>
      <c r="O12" t="s">
        <v>276</v>
      </c>
      <c r="P12" t="s">
        <v>277</v>
      </c>
      <c r="Q12" t="s">
        <v>278</v>
      </c>
      <c r="R12" t="s">
        <v>279</v>
      </c>
      <c r="S12" t="s">
        <v>280</v>
      </c>
      <c r="T12" t="s">
        <v>284</v>
      </c>
      <c r="U12" t="s">
        <v>285</v>
      </c>
      <c r="V12" t="s">
        <v>286</v>
      </c>
      <c r="W12" t="s">
        <v>287</v>
      </c>
      <c r="X12" t="s">
        <v>288</v>
      </c>
      <c r="Y12" t="s">
        <v>289</v>
      </c>
      <c r="Z12" t="s">
        <v>290</v>
      </c>
      <c r="AA12" t="s">
        <v>291</v>
      </c>
      <c r="AB12" t="s">
        <v>292</v>
      </c>
      <c r="AC12" t="s">
        <v>122</v>
      </c>
      <c r="AD12" t="s">
        <v>123</v>
      </c>
    </row>
    <row r="13" spans="1:33" x14ac:dyDescent="0.25">
      <c r="A13" s="7" t="s">
        <v>29</v>
      </c>
      <c r="B13" s="14"/>
      <c r="C13" s="11" t="s">
        <v>61</v>
      </c>
      <c r="D13" s="11" t="s">
        <v>147</v>
      </c>
      <c r="E13" s="11" t="s">
        <v>148</v>
      </c>
      <c r="F13" s="146" t="s">
        <v>2522</v>
      </c>
      <c r="G13" s="8" t="s">
        <v>30</v>
      </c>
      <c r="H13" s="8">
        <v>43806</v>
      </c>
      <c r="I13" s="4" t="s">
        <v>31</v>
      </c>
      <c r="J13" s="8">
        <v>44173</v>
      </c>
      <c r="K13" s="4" t="s">
        <v>138</v>
      </c>
      <c r="L13" s="4" t="s">
        <v>139</v>
      </c>
      <c r="M13" s="4" t="s">
        <v>140</v>
      </c>
      <c r="N13" s="4" t="s">
        <v>141</v>
      </c>
      <c r="O13" s="4" t="s">
        <v>142</v>
      </c>
      <c r="P13" s="4" t="s">
        <v>143</v>
      </c>
      <c r="Q13" s="4" t="s">
        <v>144</v>
      </c>
      <c r="R13" s="4" t="s">
        <v>145</v>
      </c>
      <c r="S13" s="4" t="s">
        <v>146</v>
      </c>
      <c r="T13" s="10">
        <v>32125</v>
      </c>
      <c r="U13" s="144" t="s">
        <v>149</v>
      </c>
      <c r="V13" s="11" t="s">
        <v>150</v>
      </c>
      <c r="W13" s="11" t="s">
        <v>151</v>
      </c>
      <c r="X13" s="11" t="s">
        <v>152</v>
      </c>
      <c r="Y13" s="11" t="s">
        <v>153</v>
      </c>
      <c r="Z13" s="11" t="s">
        <v>154</v>
      </c>
      <c r="AA13" s="11" t="s">
        <v>155</v>
      </c>
      <c r="AB13" s="11" t="s">
        <v>156</v>
      </c>
      <c r="AC13" s="63" t="s">
        <v>2502</v>
      </c>
      <c r="AD13" s="138" t="e">
        <f ca="1">'MultiAssociation Sheet'!CZ13</f>
        <v>#NAME?</v>
      </c>
    </row>
  </sheetData>
  <phoneticPr fontId="9" type="noConversion"/>
  <dataValidations count="1">
    <dataValidation type="list" allowBlank="1" showInputMessage="1" showErrorMessage="1" sqref="AC13">
      <formula1>AchievementNames</formula1>
    </dataValidation>
  </dataValidations>
  <hyperlinks>
    <hyperlink ref="F13" r:id="rId1"/>
  </hyperlinks>
  <pageMargins left="0.7" right="0.7" top="0.75" bottom="0.75" header="0.3" footer="0.3"/>
  <pageSetup paperSize="9" orientation="portrait" horizontalDpi="300" verticalDpi="3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O13"/>
  <sheetViews>
    <sheetView showGridLines="0" showZeros="0" tabSelected="1" topLeftCell="B1" zoomScale="70" zoomScaleNormal="70" workbookViewId="0">
      <selection activeCell="BE28" sqref="BE28"/>
    </sheetView>
  </sheetViews>
  <sheetFormatPr baseColWidth="10" defaultColWidth="8.7109375" defaultRowHeight="15" x14ac:dyDescent="0.25"/>
  <cols>
    <col min="1" max="1" width="17.140625" style="74" bestFit="1" customWidth="1"/>
    <col min="2" max="2" width="28.5703125" style="74" bestFit="1" customWidth="1"/>
    <col min="3" max="27" width="28.5703125" style="74" hidden="1" customWidth="1"/>
    <col min="28" max="28" width="31.85546875" style="74" bestFit="1" customWidth="1"/>
    <col min="29" max="52" width="31.85546875" style="74" hidden="1" customWidth="1"/>
    <col min="53" max="53" width="61.7109375" style="74" hidden="1" customWidth="1"/>
    <col min="54" max="54" width="17.5703125" style="74" bestFit="1" customWidth="1"/>
    <col min="55" max="55" width="45.28515625" style="74" hidden="1" customWidth="1"/>
    <col min="56" max="56" width="30.140625" style="74" bestFit="1" customWidth="1"/>
    <col min="57" max="57" width="30.140625" style="74" customWidth="1"/>
    <col min="58" max="58" width="32.42578125" style="74" bestFit="1" customWidth="1"/>
    <col min="59" max="59" width="33.42578125" style="74" customWidth="1"/>
    <col min="60" max="60" width="30.85546875" style="91" bestFit="1" customWidth="1"/>
    <col min="61" max="61" width="31" style="91" bestFit="1" customWidth="1"/>
    <col min="62" max="65" width="31" style="91" customWidth="1"/>
    <col min="66" max="66" width="17.5703125" style="74" bestFit="1" customWidth="1"/>
    <col min="67" max="67" width="25.42578125" style="74" bestFit="1" customWidth="1"/>
    <col min="68" max="16384" width="8.7109375" style="74"/>
  </cols>
  <sheetData>
    <row r="1" spans="1:67" ht="23.25" x14ac:dyDescent="0.25">
      <c r="A1" s="69" t="s">
        <v>63</v>
      </c>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1"/>
      <c r="BE1" s="71"/>
      <c r="BF1" s="71"/>
      <c r="BG1" s="71"/>
      <c r="BH1" s="72"/>
      <c r="BI1" s="73"/>
      <c r="BJ1" s="73"/>
      <c r="BK1" s="73"/>
      <c r="BL1" s="73"/>
      <c r="BM1" s="147"/>
      <c r="BN1" s="71"/>
    </row>
    <row r="2" spans="1:67" s="78" customFormat="1" ht="30" x14ac:dyDescent="0.25">
      <c r="A2" s="75" t="s">
        <v>5</v>
      </c>
      <c r="B2" s="75" t="s">
        <v>37</v>
      </c>
      <c r="C2" s="75" t="s">
        <v>37</v>
      </c>
      <c r="D2" s="75" t="s">
        <v>37</v>
      </c>
      <c r="E2" s="75" t="s">
        <v>37</v>
      </c>
      <c r="F2" s="75" t="s">
        <v>37</v>
      </c>
      <c r="G2" s="75" t="s">
        <v>37</v>
      </c>
      <c r="H2" s="75" t="s">
        <v>37</v>
      </c>
      <c r="I2" s="75" t="s">
        <v>37</v>
      </c>
      <c r="J2" s="75" t="s">
        <v>37</v>
      </c>
      <c r="K2" s="75" t="s">
        <v>37</v>
      </c>
      <c r="L2" s="75" t="s">
        <v>37</v>
      </c>
      <c r="M2" s="75" t="s">
        <v>37</v>
      </c>
      <c r="N2" s="75" t="s">
        <v>37</v>
      </c>
      <c r="O2" s="75" t="s">
        <v>37</v>
      </c>
      <c r="P2" s="75" t="s">
        <v>37</v>
      </c>
      <c r="Q2" s="75" t="s">
        <v>37</v>
      </c>
      <c r="R2" s="75" t="s">
        <v>37</v>
      </c>
      <c r="S2" s="75" t="s">
        <v>37</v>
      </c>
      <c r="T2" s="75" t="s">
        <v>37</v>
      </c>
      <c r="U2" s="75" t="s">
        <v>37</v>
      </c>
      <c r="V2" s="75" t="s">
        <v>37</v>
      </c>
      <c r="W2" s="75" t="s">
        <v>37</v>
      </c>
      <c r="X2" s="75" t="s">
        <v>37</v>
      </c>
      <c r="Y2" s="75" t="s">
        <v>37</v>
      </c>
      <c r="Z2" s="75" t="s">
        <v>37</v>
      </c>
      <c r="AA2" s="75" t="s">
        <v>37</v>
      </c>
      <c r="AB2" s="75" t="s">
        <v>37</v>
      </c>
      <c r="AC2" s="75" t="s">
        <v>37</v>
      </c>
      <c r="AD2" s="75" t="s">
        <v>37</v>
      </c>
      <c r="AE2" s="75" t="s">
        <v>37</v>
      </c>
      <c r="AF2" s="75" t="s">
        <v>37</v>
      </c>
      <c r="AG2" s="75" t="s">
        <v>37</v>
      </c>
      <c r="AH2" s="75" t="s">
        <v>37</v>
      </c>
      <c r="AI2" s="75" t="s">
        <v>37</v>
      </c>
      <c r="AJ2" s="75" t="s">
        <v>37</v>
      </c>
      <c r="AK2" s="75" t="s">
        <v>37</v>
      </c>
      <c r="AL2" s="75" t="s">
        <v>37</v>
      </c>
      <c r="AM2" s="75" t="s">
        <v>37</v>
      </c>
      <c r="AN2" s="75" t="s">
        <v>37</v>
      </c>
      <c r="AO2" s="75" t="s">
        <v>37</v>
      </c>
      <c r="AP2" s="75" t="s">
        <v>37</v>
      </c>
      <c r="AQ2" s="75" t="s">
        <v>37</v>
      </c>
      <c r="AR2" s="75" t="s">
        <v>37</v>
      </c>
      <c r="AS2" s="75" t="s">
        <v>37</v>
      </c>
      <c r="AT2" s="75" t="s">
        <v>37</v>
      </c>
      <c r="AU2" s="75" t="s">
        <v>37</v>
      </c>
      <c r="AV2" s="75" t="s">
        <v>37</v>
      </c>
      <c r="AW2" s="75" t="s">
        <v>37</v>
      </c>
      <c r="AX2" s="75" t="s">
        <v>37</v>
      </c>
      <c r="AY2" s="75" t="s">
        <v>37</v>
      </c>
      <c r="AZ2" s="75" t="s">
        <v>37</v>
      </c>
      <c r="BA2" s="75" t="s">
        <v>37</v>
      </c>
      <c r="BB2" s="75" t="s">
        <v>37</v>
      </c>
      <c r="BC2" s="75" t="s">
        <v>37</v>
      </c>
      <c r="BD2" s="75" t="s">
        <v>37</v>
      </c>
      <c r="BE2" s="75" t="s">
        <v>37</v>
      </c>
      <c r="BF2" s="75" t="s">
        <v>37</v>
      </c>
      <c r="BG2" s="75" t="s">
        <v>37</v>
      </c>
      <c r="BH2" s="76" t="s">
        <v>6</v>
      </c>
      <c r="BI2" s="76" t="s">
        <v>6</v>
      </c>
      <c r="BJ2" s="3" t="s">
        <v>37</v>
      </c>
      <c r="BK2" s="3" t="s">
        <v>37</v>
      </c>
      <c r="BL2" s="76" t="s">
        <v>37</v>
      </c>
      <c r="BM2" s="76" t="s">
        <v>2523</v>
      </c>
      <c r="BN2" s="77" t="s">
        <v>37</v>
      </c>
      <c r="BO2" s="106" t="s">
        <v>2505</v>
      </c>
    </row>
    <row r="3" spans="1:67" x14ac:dyDescent="0.25">
      <c r="A3" s="75" t="s">
        <v>9</v>
      </c>
      <c r="B3" s="75" t="s">
        <v>38</v>
      </c>
      <c r="C3" s="75" t="s">
        <v>38</v>
      </c>
      <c r="D3" s="75" t="s">
        <v>38</v>
      </c>
      <c r="E3" s="75" t="s">
        <v>38</v>
      </c>
      <c r="F3" s="75" t="s">
        <v>38</v>
      </c>
      <c r="G3" s="75" t="s">
        <v>38</v>
      </c>
      <c r="H3" s="75" t="s">
        <v>38</v>
      </c>
      <c r="I3" s="75" t="s">
        <v>38</v>
      </c>
      <c r="J3" s="75" t="s">
        <v>38</v>
      </c>
      <c r="K3" s="75" t="s">
        <v>38</v>
      </c>
      <c r="L3" s="75" t="s">
        <v>38</v>
      </c>
      <c r="M3" s="75" t="s">
        <v>38</v>
      </c>
      <c r="N3" s="75" t="s">
        <v>38</v>
      </c>
      <c r="O3" s="75" t="s">
        <v>38</v>
      </c>
      <c r="P3" s="75" t="s">
        <v>38</v>
      </c>
      <c r="Q3" s="75" t="s">
        <v>38</v>
      </c>
      <c r="R3" s="75" t="s">
        <v>38</v>
      </c>
      <c r="S3" s="75" t="s">
        <v>38</v>
      </c>
      <c r="T3" s="75" t="s">
        <v>38</v>
      </c>
      <c r="U3" s="75" t="s">
        <v>38</v>
      </c>
      <c r="V3" s="75" t="s">
        <v>38</v>
      </c>
      <c r="W3" s="75" t="s">
        <v>38</v>
      </c>
      <c r="X3" s="75" t="s">
        <v>38</v>
      </c>
      <c r="Y3" s="75" t="s">
        <v>38</v>
      </c>
      <c r="Z3" s="75" t="s">
        <v>38</v>
      </c>
      <c r="AA3" s="75" t="s">
        <v>38</v>
      </c>
      <c r="AB3" s="75" t="s">
        <v>64</v>
      </c>
      <c r="AC3" s="75" t="s">
        <v>64</v>
      </c>
      <c r="AD3" s="75" t="s">
        <v>64</v>
      </c>
      <c r="AE3" s="75" t="s">
        <v>64</v>
      </c>
      <c r="AF3" s="75" t="s">
        <v>64</v>
      </c>
      <c r="AG3" s="75" t="s">
        <v>64</v>
      </c>
      <c r="AH3" s="75" t="s">
        <v>64</v>
      </c>
      <c r="AI3" s="75" t="s">
        <v>64</v>
      </c>
      <c r="AJ3" s="75" t="s">
        <v>64</v>
      </c>
      <c r="AK3" s="75" t="s">
        <v>64</v>
      </c>
      <c r="AL3" s="75" t="s">
        <v>64</v>
      </c>
      <c r="AM3" s="75" t="s">
        <v>64</v>
      </c>
      <c r="AN3" s="75" t="s">
        <v>64</v>
      </c>
      <c r="AO3" s="75" t="s">
        <v>64</v>
      </c>
      <c r="AP3" s="75" t="s">
        <v>64</v>
      </c>
      <c r="AQ3" s="75" t="s">
        <v>64</v>
      </c>
      <c r="AR3" s="75" t="s">
        <v>64</v>
      </c>
      <c r="AS3" s="75" t="s">
        <v>64</v>
      </c>
      <c r="AT3" s="75" t="s">
        <v>64</v>
      </c>
      <c r="AU3" s="75" t="s">
        <v>64</v>
      </c>
      <c r="AV3" s="75" t="s">
        <v>64</v>
      </c>
      <c r="AW3" s="75" t="s">
        <v>64</v>
      </c>
      <c r="AX3" s="75" t="s">
        <v>64</v>
      </c>
      <c r="AY3" s="75" t="s">
        <v>64</v>
      </c>
      <c r="AZ3" s="75" t="s">
        <v>64</v>
      </c>
      <c r="BA3" s="75" t="s">
        <v>64</v>
      </c>
      <c r="BB3" s="75" t="s">
        <v>297</v>
      </c>
      <c r="BC3" s="75" t="s">
        <v>297</v>
      </c>
      <c r="BD3" s="75" t="s">
        <v>65</v>
      </c>
      <c r="BE3" s="75" t="s">
        <v>65</v>
      </c>
      <c r="BF3" s="75" t="s">
        <v>58</v>
      </c>
      <c r="BG3" s="75" t="s">
        <v>58</v>
      </c>
      <c r="BH3" s="76" t="s">
        <v>10</v>
      </c>
      <c r="BI3" s="76" t="s">
        <v>66</v>
      </c>
      <c r="BJ3" s="9" t="s">
        <v>13</v>
      </c>
      <c r="BK3" s="9" t="s">
        <v>13</v>
      </c>
      <c r="BL3" s="75" t="s">
        <v>188</v>
      </c>
      <c r="BM3" s="75" t="s">
        <v>1181</v>
      </c>
      <c r="BN3" s="75" t="s">
        <v>307</v>
      </c>
      <c r="BO3" s="106" t="s">
        <v>2513</v>
      </c>
    </row>
    <row r="4" spans="1:67" x14ac:dyDescent="0.25">
      <c r="A4" s="75" t="s">
        <v>15</v>
      </c>
      <c r="B4" s="75" t="s">
        <v>16</v>
      </c>
      <c r="C4" s="75" t="s">
        <v>16</v>
      </c>
      <c r="D4" s="75" t="s">
        <v>16</v>
      </c>
      <c r="E4" s="75" t="s">
        <v>16</v>
      </c>
      <c r="F4" s="75" t="s">
        <v>16</v>
      </c>
      <c r="G4" s="75" t="s">
        <v>16</v>
      </c>
      <c r="H4" s="75" t="s">
        <v>16</v>
      </c>
      <c r="I4" s="75" t="s">
        <v>16</v>
      </c>
      <c r="J4" s="75" t="s">
        <v>16</v>
      </c>
      <c r="K4" s="75" t="s">
        <v>16</v>
      </c>
      <c r="L4" s="75" t="s">
        <v>16</v>
      </c>
      <c r="M4" s="75" t="s">
        <v>16</v>
      </c>
      <c r="N4" s="75" t="s">
        <v>16</v>
      </c>
      <c r="O4" s="75" t="s">
        <v>16</v>
      </c>
      <c r="P4" s="75" t="s">
        <v>16</v>
      </c>
      <c r="Q4" s="75" t="s">
        <v>16</v>
      </c>
      <c r="R4" s="75" t="s">
        <v>16</v>
      </c>
      <c r="S4" s="75" t="s">
        <v>16</v>
      </c>
      <c r="T4" s="75" t="s">
        <v>16</v>
      </c>
      <c r="U4" s="75" t="s">
        <v>16</v>
      </c>
      <c r="V4" s="75" t="s">
        <v>16</v>
      </c>
      <c r="W4" s="75" t="s">
        <v>16</v>
      </c>
      <c r="X4" s="75" t="s">
        <v>16</v>
      </c>
      <c r="Y4" s="75" t="s">
        <v>16</v>
      </c>
      <c r="Z4" s="75" t="s">
        <v>16</v>
      </c>
      <c r="AA4" s="75" t="s">
        <v>16</v>
      </c>
      <c r="AB4" s="75" t="s">
        <v>16</v>
      </c>
      <c r="AC4" s="75" t="s">
        <v>16</v>
      </c>
      <c r="AD4" s="75" t="s">
        <v>16</v>
      </c>
      <c r="AE4" s="75" t="s">
        <v>16</v>
      </c>
      <c r="AF4" s="75" t="s">
        <v>16</v>
      </c>
      <c r="AG4" s="75" t="s">
        <v>16</v>
      </c>
      <c r="AH4" s="75" t="s">
        <v>16</v>
      </c>
      <c r="AI4" s="75" t="s">
        <v>16</v>
      </c>
      <c r="AJ4" s="75" t="s">
        <v>16</v>
      </c>
      <c r="AK4" s="75" t="s">
        <v>16</v>
      </c>
      <c r="AL4" s="75" t="s">
        <v>16</v>
      </c>
      <c r="AM4" s="75" t="s">
        <v>16</v>
      </c>
      <c r="AN4" s="75" t="s">
        <v>16</v>
      </c>
      <c r="AO4" s="75" t="s">
        <v>16</v>
      </c>
      <c r="AP4" s="75" t="s">
        <v>16</v>
      </c>
      <c r="AQ4" s="75" t="s">
        <v>16</v>
      </c>
      <c r="AR4" s="75" t="s">
        <v>16</v>
      </c>
      <c r="AS4" s="75" t="s">
        <v>16</v>
      </c>
      <c r="AT4" s="75" t="s">
        <v>16</v>
      </c>
      <c r="AU4" s="75" t="s">
        <v>16</v>
      </c>
      <c r="AV4" s="75" t="s">
        <v>16</v>
      </c>
      <c r="AW4" s="75" t="s">
        <v>16</v>
      </c>
      <c r="AX4" s="75" t="s">
        <v>16</v>
      </c>
      <c r="AY4" s="75" t="s">
        <v>16</v>
      </c>
      <c r="AZ4" s="75" t="s">
        <v>16</v>
      </c>
      <c r="BA4" s="75" t="s">
        <v>16</v>
      </c>
      <c r="BB4" s="75" t="s">
        <v>16</v>
      </c>
      <c r="BC4" s="75" t="s">
        <v>16</v>
      </c>
      <c r="BD4" s="75" t="s">
        <v>59</v>
      </c>
      <c r="BE4" s="75" t="s">
        <v>60</v>
      </c>
      <c r="BF4" s="75" t="s">
        <v>59</v>
      </c>
      <c r="BG4" s="75" t="s">
        <v>60</v>
      </c>
      <c r="BH4" s="76" t="s">
        <v>16</v>
      </c>
      <c r="BI4" s="76" t="s">
        <v>16</v>
      </c>
      <c r="BJ4" s="9" t="s">
        <v>16</v>
      </c>
      <c r="BK4" s="9" t="s">
        <v>16</v>
      </c>
      <c r="BL4" s="9" t="s">
        <v>16</v>
      </c>
      <c r="BM4" s="9" t="s">
        <v>1183</v>
      </c>
      <c r="BN4" s="145" t="s">
        <v>2504</v>
      </c>
      <c r="BO4" s="120" t="s">
        <v>1183</v>
      </c>
    </row>
    <row r="5" spans="1:67" ht="30" x14ac:dyDescent="0.25">
      <c r="A5" s="75" t="s">
        <v>21</v>
      </c>
      <c r="B5" s="75" t="s">
        <v>24</v>
      </c>
      <c r="C5" s="75" t="s">
        <v>24</v>
      </c>
      <c r="D5" s="75" t="s">
        <v>24</v>
      </c>
      <c r="E5" s="75" t="s">
        <v>24</v>
      </c>
      <c r="F5" s="75" t="s">
        <v>24</v>
      </c>
      <c r="G5" s="75" t="s">
        <v>24</v>
      </c>
      <c r="H5" s="75" t="s">
        <v>24</v>
      </c>
      <c r="I5" s="75" t="s">
        <v>24</v>
      </c>
      <c r="J5" s="75" t="s">
        <v>24</v>
      </c>
      <c r="K5" s="75" t="s">
        <v>24</v>
      </c>
      <c r="L5" s="75" t="s">
        <v>24</v>
      </c>
      <c r="M5" s="75" t="s">
        <v>24</v>
      </c>
      <c r="N5" s="75" t="s">
        <v>24</v>
      </c>
      <c r="O5" s="75" t="s">
        <v>24</v>
      </c>
      <c r="P5" s="75" t="s">
        <v>24</v>
      </c>
      <c r="Q5" s="75" t="s">
        <v>24</v>
      </c>
      <c r="R5" s="75" t="s">
        <v>24</v>
      </c>
      <c r="S5" s="75" t="s">
        <v>24</v>
      </c>
      <c r="T5" s="75" t="s">
        <v>24</v>
      </c>
      <c r="U5" s="75" t="s">
        <v>24</v>
      </c>
      <c r="V5" s="75" t="s">
        <v>24</v>
      </c>
      <c r="W5" s="75" t="s">
        <v>24</v>
      </c>
      <c r="X5" s="75" t="s">
        <v>24</v>
      </c>
      <c r="Y5" s="75" t="s">
        <v>24</v>
      </c>
      <c r="Z5" s="75" t="s">
        <v>24</v>
      </c>
      <c r="AA5" s="75" t="s">
        <v>24</v>
      </c>
      <c r="AB5" s="75" t="s">
        <v>24</v>
      </c>
      <c r="AC5" s="75" t="s">
        <v>24</v>
      </c>
      <c r="AD5" s="75" t="s">
        <v>24</v>
      </c>
      <c r="AE5" s="75" t="s">
        <v>24</v>
      </c>
      <c r="AF5" s="75" t="s">
        <v>24</v>
      </c>
      <c r="AG5" s="75" t="s">
        <v>24</v>
      </c>
      <c r="AH5" s="75" t="s">
        <v>24</v>
      </c>
      <c r="AI5" s="75" t="s">
        <v>24</v>
      </c>
      <c r="AJ5" s="75" t="s">
        <v>24</v>
      </c>
      <c r="AK5" s="75" t="s">
        <v>24</v>
      </c>
      <c r="AL5" s="75" t="s">
        <v>24</v>
      </c>
      <c r="AM5" s="75" t="s">
        <v>24</v>
      </c>
      <c r="AN5" s="75" t="s">
        <v>24</v>
      </c>
      <c r="AO5" s="75" t="s">
        <v>24</v>
      </c>
      <c r="AP5" s="75" t="s">
        <v>24</v>
      </c>
      <c r="AQ5" s="75" t="s">
        <v>24</v>
      </c>
      <c r="AR5" s="75" t="s">
        <v>24</v>
      </c>
      <c r="AS5" s="75" t="s">
        <v>24</v>
      </c>
      <c r="AT5" s="75" t="s">
        <v>24</v>
      </c>
      <c r="AU5" s="75" t="s">
        <v>24</v>
      </c>
      <c r="AV5" s="75" t="s">
        <v>24</v>
      </c>
      <c r="AW5" s="75" t="s">
        <v>24</v>
      </c>
      <c r="AX5" s="75" t="s">
        <v>24</v>
      </c>
      <c r="AY5" s="75" t="s">
        <v>24</v>
      </c>
      <c r="AZ5" s="75" t="s">
        <v>24</v>
      </c>
      <c r="BA5" s="75" t="s">
        <v>24</v>
      </c>
      <c r="BB5" s="75" t="s">
        <v>24</v>
      </c>
      <c r="BC5" s="75" t="s">
        <v>137</v>
      </c>
      <c r="BD5" s="75" t="s">
        <v>2528</v>
      </c>
      <c r="BE5" s="75" t="s">
        <v>2528</v>
      </c>
      <c r="BF5" s="75" t="s">
        <v>7</v>
      </c>
      <c r="BG5" s="75" t="s">
        <v>7</v>
      </c>
      <c r="BH5" s="76"/>
      <c r="BI5" s="76"/>
      <c r="BJ5" s="59" t="s">
        <v>248</v>
      </c>
      <c r="BK5" s="59" t="s">
        <v>248</v>
      </c>
      <c r="BL5" s="75" t="s">
        <v>2506</v>
      </c>
      <c r="BM5" s="75" t="s">
        <v>160</v>
      </c>
      <c r="BN5" s="75" t="s">
        <v>308</v>
      </c>
      <c r="BO5" s="9" t="s">
        <v>2506</v>
      </c>
    </row>
    <row r="6" spans="1:67" x14ac:dyDescent="0.25">
      <c r="A6" s="75" t="s">
        <v>25</v>
      </c>
      <c r="B6" s="75"/>
      <c r="C6" s="75"/>
      <c r="D6" s="75"/>
      <c r="E6" s="75"/>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6"/>
      <c r="BI6" s="76"/>
      <c r="BJ6" s="59">
        <v>1</v>
      </c>
      <c r="BK6" s="59">
        <v>1</v>
      </c>
      <c r="BL6" s="74">
        <v>1</v>
      </c>
      <c r="BM6" s="74"/>
      <c r="BN6" s="75" t="s">
        <v>309</v>
      </c>
      <c r="BO6" s="106"/>
    </row>
    <row r="7" spans="1:67" x14ac:dyDescent="0.25">
      <c r="A7" s="75" t="s">
        <v>26</v>
      </c>
      <c r="B7" s="75" t="s">
        <v>43</v>
      </c>
      <c r="C7" s="75" t="s">
        <v>68</v>
      </c>
      <c r="D7" s="75" t="s">
        <v>69</v>
      </c>
      <c r="E7" s="75" t="s">
        <v>70</v>
      </c>
      <c r="F7" s="75" t="s">
        <v>71</v>
      </c>
      <c r="G7" s="75" t="s">
        <v>72</v>
      </c>
      <c r="H7" s="75" t="s">
        <v>46</v>
      </c>
      <c r="I7" s="75" t="s">
        <v>73</v>
      </c>
      <c r="J7" s="75" t="s">
        <v>74</v>
      </c>
      <c r="K7" s="75" t="s">
        <v>75</v>
      </c>
      <c r="L7" s="75" t="s">
        <v>76</v>
      </c>
      <c r="M7" s="75" t="s">
        <v>77</v>
      </c>
      <c r="N7" s="75" t="s">
        <v>78</v>
      </c>
      <c r="O7" s="75" t="s">
        <v>79</v>
      </c>
      <c r="P7" s="75" t="s">
        <v>80</v>
      </c>
      <c r="Q7" s="75" t="s">
        <v>81</v>
      </c>
      <c r="R7" s="75" t="s">
        <v>82</v>
      </c>
      <c r="S7" s="75" t="s">
        <v>44</v>
      </c>
      <c r="T7" s="75" t="s">
        <v>83</v>
      </c>
      <c r="U7" s="75" t="s">
        <v>84</v>
      </c>
      <c r="V7" s="75" t="s">
        <v>85</v>
      </c>
      <c r="W7" s="75" t="s">
        <v>86</v>
      </c>
      <c r="X7" s="75" t="s">
        <v>87</v>
      </c>
      <c r="Y7" s="75" t="s">
        <v>88</v>
      </c>
      <c r="Z7" s="75" t="s">
        <v>89</v>
      </c>
      <c r="AA7" s="75" t="s">
        <v>90</v>
      </c>
      <c r="AB7" s="75" t="s">
        <v>43</v>
      </c>
      <c r="AC7" s="75" t="s">
        <v>68</v>
      </c>
      <c r="AD7" s="75" t="s">
        <v>69</v>
      </c>
      <c r="AE7" s="75" t="s">
        <v>70</v>
      </c>
      <c r="AF7" s="75" t="s">
        <v>71</v>
      </c>
      <c r="AG7" s="75" t="s">
        <v>72</v>
      </c>
      <c r="AH7" s="75" t="s">
        <v>46</v>
      </c>
      <c r="AI7" s="75" t="s">
        <v>73</v>
      </c>
      <c r="AJ7" s="75" t="s">
        <v>74</v>
      </c>
      <c r="AK7" s="75" t="s">
        <v>75</v>
      </c>
      <c r="AL7" s="75" t="s">
        <v>76</v>
      </c>
      <c r="AM7" s="75" t="s">
        <v>77</v>
      </c>
      <c r="AN7" s="75" t="s">
        <v>78</v>
      </c>
      <c r="AO7" s="75" t="s">
        <v>79</v>
      </c>
      <c r="AP7" s="75" t="s">
        <v>80</v>
      </c>
      <c r="AQ7" s="75" t="s">
        <v>81</v>
      </c>
      <c r="AR7" s="75" t="s">
        <v>82</v>
      </c>
      <c r="AS7" s="75" t="s">
        <v>44</v>
      </c>
      <c r="AT7" s="75" t="s">
        <v>83</v>
      </c>
      <c r="AU7" s="75" t="s">
        <v>84</v>
      </c>
      <c r="AV7" s="75" t="s">
        <v>85</v>
      </c>
      <c r="AW7" s="75" t="s">
        <v>86</v>
      </c>
      <c r="AX7" s="75" t="s">
        <v>87</v>
      </c>
      <c r="AY7" s="75" t="s">
        <v>88</v>
      </c>
      <c r="AZ7" s="75" t="s">
        <v>89</v>
      </c>
      <c r="BA7" s="75" t="s">
        <v>90</v>
      </c>
      <c r="BB7" s="75"/>
      <c r="BC7" s="75"/>
      <c r="BD7" s="75"/>
      <c r="BE7" s="75"/>
      <c r="BF7" s="75"/>
      <c r="BG7" s="75"/>
      <c r="BH7" s="76"/>
      <c r="BI7" s="76"/>
      <c r="BL7" s="74"/>
      <c r="BM7" s="74"/>
    </row>
    <row r="8" spans="1:67" s="79" customFormat="1" x14ac:dyDescent="0.25">
      <c r="A8" s="79" t="s">
        <v>27</v>
      </c>
      <c r="B8" s="79" t="s">
        <v>318</v>
      </c>
      <c r="AB8" s="79" t="s">
        <v>28</v>
      </c>
      <c r="BB8" s="79" t="s">
        <v>15</v>
      </c>
      <c r="BD8" s="79" t="s">
        <v>313</v>
      </c>
      <c r="BF8" s="79" t="s">
        <v>315</v>
      </c>
      <c r="BH8" s="80" t="s">
        <v>91</v>
      </c>
      <c r="BI8" s="80" t="s">
        <v>92</v>
      </c>
      <c r="BJ8" s="80"/>
      <c r="BK8" s="80"/>
      <c r="BL8" s="79" t="s">
        <v>305</v>
      </c>
    </row>
    <row r="9" spans="1:67" s="82" customFormat="1" ht="105" x14ac:dyDescent="0.25">
      <c r="A9" s="81" t="s">
        <v>28</v>
      </c>
      <c r="B9" s="82" t="s">
        <v>316</v>
      </c>
      <c r="AB9" s="82" t="s">
        <v>317</v>
      </c>
      <c r="BD9" s="82" t="s">
        <v>312</v>
      </c>
      <c r="BF9" s="82" t="s">
        <v>314</v>
      </c>
      <c r="BH9" s="83" t="s">
        <v>93</v>
      </c>
      <c r="BI9" s="83" t="s">
        <v>94</v>
      </c>
      <c r="BJ9" s="83"/>
      <c r="BK9" s="83"/>
      <c r="BL9" s="82" t="s">
        <v>311</v>
      </c>
    </row>
    <row r="10" spans="1:67" s="85" customFormat="1" ht="15.75" thickBot="1" x14ac:dyDescent="0.3">
      <c r="A10" s="84" t="s">
        <v>26</v>
      </c>
      <c r="B10" s="85" t="s">
        <v>95</v>
      </c>
      <c r="C10" s="85" t="s">
        <v>96</v>
      </c>
      <c r="D10" s="85" t="s">
        <v>97</v>
      </c>
      <c r="E10" s="85" t="s">
        <v>98</v>
      </c>
      <c r="F10" s="85" t="s">
        <v>99</v>
      </c>
      <c r="G10" s="85" t="s">
        <v>100</v>
      </c>
      <c r="H10" s="85" t="s">
        <v>101</v>
      </c>
      <c r="I10" s="85" t="s">
        <v>102</v>
      </c>
      <c r="J10" s="85" t="s">
        <v>103</v>
      </c>
      <c r="K10" s="85" t="s">
        <v>104</v>
      </c>
      <c r="L10" s="85" t="s">
        <v>105</v>
      </c>
      <c r="M10" s="85" t="s">
        <v>106</v>
      </c>
      <c r="N10" s="85" t="s">
        <v>107</v>
      </c>
      <c r="O10" s="85" t="s">
        <v>108</v>
      </c>
      <c r="P10" s="85" t="s">
        <v>109</v>
      </c>
      <c r="Q10" s="85" t="s">
        <v>110</v>
      </c>
      <c r="R10" s="85" t="s">
        <v>111</v>
      </c>
      <c r="S10" s="85" t="s">
        <v>112</v>
      </c>
      <c r="T10" s="85" t="s">
        <v>113</v>
      </c>
      <c r="U10" s="85" t="s">
        <v>114</v>
      </c>
      <c r="V10" s="85" t="s">
        <v>115</v>
      </c>
      <c r="W10" s="85" t="s">
        <v>116</v>
      </c>
      <c r="X10" s="85" t="s">
        <v>117</v>
      </c>
      <c r="Y10" s="85" t="s">
        <v>118</v>
      </c>
      <c r="Z10" s="85" t="s">
        <v>119</v>
      </c>
      <c r="AA10" s="85" t="s">
        <v>120</v>
      </c>
      <c r="AB10" s="85" t="s">
        <v>95</v>
      </c>
      <c r="AC10" s="85" t="s">
        <v>96</v>
      </c>
      <c r="AD10" s="85" t="s">
        <v>97</v>
      </c>
      <c r="AE10" s="85" t="s">
        <v>98</v>
      </c>
      <c r="AF10" s="85" t="s">
        <v>99</v>
      </c>
      <c r="AG10" s="85" t="s">
        <v>100</v>
      </c>
      <c r="AH10" s="85" t="s">
        <v>101</v>
      </c>
      <c r="AI10" s="85" t="s">
        <v>102</v>
      </c>
      <c r="AJ10" s="85" t="s">
        <v>103</v>
      </c>
      <c r="AK10" s="85" t="s">
        <v>104</v>
      </c>
      <c r="AL10" s="85" t="s">
        <v>105</v>
      </c>
      <c r="AM10" s="85" t="s">
        <v>106</v>
      </c>
      <c r="AN10" s="85" t="s">
        <v>107</v>
      </c>
      <c r="AO10" s="85" t="s">
        <v>108</v>
      </c>
      <c r="AP10" s="85" t="s">
        <v>109</v>
      </c>
      <c r="AQ10" s="85" t="s">
        <v>110</v>
      </c>
      <c r="AR10" s="85" t="s">
        <v>111</v>
      </c>
      <c r="AS10" s="85" t="s">
        <v>112</v>
      </c>
      <c r="AT10" s="85" t="s">
        <v>113</v>
      </c>
      <c r="AU10" s="85" t="s">
        <v>114</v>
      </c>
      <c r="AV10" s="85" t="s">
        <v>115</v>
      </c>
      <c r="AW10" s="85" t="s">
        <v>116</v>
      </c>
      <c r="AX10" s="85" t="s">
        <v>117</v>
      </c>
      <c r="AY10" s="85" t="s">
        <v>118</v>
      </c>
      <c r="AZ10" s="85" t="s">
        <v>119</v>
      </c>
      <c r="BA10" s="85" t="s">
        <v>120</v>
      </c>
      <c r="BH10" s="86"/>
      <c r="BI10" s="86"/>
      <c r="BJ10" s="86"/>
      <c r="BK10" s="86"/>
      <c r="BN10" s="85">
        <f>'Credential Designer'!B1</f>
        <v>0</v>
      </c>
    </row>
    <row r="11" spans="1:67" s="88" customFormat="1" ht="30" x14ac:dyDescent="0.25">
      <c r="A11" s="87" t="s">
        <v>121</v>
      </c>
      <c r="B11" s="66" t="s">
        <v>47</v>
      </c>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t="s">
        <v>295</v>
      </c>
      <c r="AC11" s="66"/>
      <c r="AD11" s="66"/>
      <c r="AE11" s="66"/>
      <c r="AF11" s="66"/>
      <c r="AG11" s="66"/>
      <c r="AH11" s="66"/>
      <c r="AI11" s="66"/>
      <c r="AJ11" s="66"/>
      <c r="AK11" s="66"/>
      <c r="AL11" s="66"/>
      <c r="AM11" s="66"/>
      <c r="AN11" s="66"/>
      <c r="AO11" s="66"/>
      <c r="AP11" s="66" t="s">
        <v>319</v>
      </c>
      <c r="AQ11" s="66"/>
      <c r="AR11" s="66"/>
      <c r="AS11" s="66"/>
      <c r="AT11" s="66"/>
      <c r="AU11" s="66"/>
      <c r="AV11" s="66"/>
      <c r="AW11" s="66"/>
      <c r="AX11" s="66"/>
      <c r="AY11" s="66"/>
      <c r="AZ11" s="66"/>
      <c r="BA11" s="66"/>
      <c r="BB11" s="66" t="s">
        <v>299</v>
      </c>
      <c r="BC11" s="66" t="str">
        <f>VLOOKUP(BB11,ListCredentialTypes[],3,FALSE)</f>
        <v>http://data.europa.eu/europass/credentialType/generic</v>
      </c>
      <c r="BD11" s="89" t="s">
        <v>2500</v>
      </c>
      <c r="BE11" s="67" t="e">
        <f>MATCH(BD11,#REF!,0)</f>
        <v>#REF!</v>
      </c>
      <c r="BF11" s="90"/>
      <c r="BG11" s="90"/>
      <c r="BH11" s="68">
        <v>43814</v>
      </c>
      <c r="BI11" s="68">
        <v>45275</v>
      </c>
      <c r="BJ11" s="68"/>
      <c r="BK11" s="68"/>
      <c r="BL11" s="90"/>
      <c r="BM11" s="90"/>
      <c r="BN11" s="66"/>
      <c r="BO11" s="66" t="str">
        <f>'Credential Designer'!B2</f>
        <v>https://everis.com/image.jpg</v>
      </c>
    </row>
    <row r="12" spans="1:67" ht="30" x14ac:dyDescent="0.25">
      <c r="B12" s="74" t="s">
        <v>190</v>
      </c>
      <c r="C12" s="74" t="s">
        <v>191</v>
      </c>
      <c r="D12" s="74" t="s">
        <v>192</v>
      </c>
      <c r="E12" s="74" t="s">
        <v>193</v>
      </c>
      <c r="F12" s="74" t="s">
        <v>194</v>
      </c>
      <c r="G12" s="74" t="s">
        <v>195</v>
      </c>
      <c r="H12" s="74" t="s">
        <v>196</v>
      </c>
      <c r="I12" s="74" t="s">
        <v>197</v>
      </c>
      <c r="J12" s="74" t="s">
        <v>198</v>
      </c>
      <c r="K12" s="74" t="s">
        <v>199</v>
      </c>
      <c r="L12" s="74" t="s">
        <v>200</v>
      </c>
      <c r="M12" s="74" t="s">
        <v>201</v>
      </c>
      <c r="N12" s="74" t="s">
        <v>202</v>
      </c>
      <c r="O12" s="74" t="s">
        <v>203</v>
      </c>
      <c r="P12" s="74" t="s">
        <v>204</v>
      </c>
      <c r="Q12" s="74" t="s">
        <v>205</v>
      </c>
      <c r="R12" s="74" t="s">
        <v>206</v>
      </c>
      <c r="S12" s="74" t="s">
        <v>207</v>
      </c>
      <c r="T12" s="74" t="s">
        <v>208</v>
      </c>
      <c r="U12" s="74" t="s">
        <v>209</v>
      </c>
      <c r="V12" s="74" t="s">
        <v>210</v>
      </c>
      <c r="W12" s="74" t="s">
        <v>211</v>
      </c>
      <c r="X12" s="74" t="s">
        <v>212</v>
      </c>
      <c r="Y12" s="74" t="s">
        <v>213</v>
      </c>
      <c r="Z12" s="74" t="s">
        <v>214</v>
      </c>
      <c r="AA12" s="74" t="s">
        <v>215</v>
      </c>
      <c r="AB12" s="74" t="s">
        <v>216</v>
      </c>
      <c r="AC12" s="74" t="s">
        <v>217</v>
      </c>
      <c r="AD12" s="74" t="s">
        <v>218</v>
      </c>
      <c r="AE12" s="74" t="s">
        <v>219</v>
      </c>
      <c r="AF12" s="74" t="s">
        <v>220</v>
      </c>
      <c r="AG12" s="74" t="s">
        <v>221</v>
      </c>
      <c r="AH12" s="74" t="s">
        <v>222</v>
      </c>
      <c r="AI12" s="74" t="s">
        <v>223</v>
      </c>
      <c r="AJ12" s="74" t="s">
        <v>224</v>
      </c>
      <c r="AK12" s="74" t="s">
        <v>225</v>
      </c>
      <c r="AL12" s="74" t="s">
        <v>226</v>
      </c>
      <c r="AM12" s="74" t="s">
        <v>227</v>
      </c>
      <c r="AN12" s="74" t="s">
        <v>228</v>
      </c>
      <c r="AO12" s="74" t="s">
        <v>229</v>
      </c>
      <c r="AP12" s="74" t="s">
        <v>230</v>
      </c>
      <c r="AQ12" s="74" t="s">
        <v>231</v>
      </c>
      <c r="AR12" s="74" t="s">
        <v>232</v>
      </c>
      <c r="AS12" s="74" t="s">
        <v>233</v>
      </c>
      <c r="AT12" s="74" t="s">
        <v>234</v>
      </c>
      <c r="AU12" s="74" t="s">
        <v>235</v>
      </c>
      <c r="AV12" s="74" t="s">
        <v>236</v>
      </c>
      <c r="AW12" s="74" t="s">
        <v>237</v>
      </c>
      <c r="AX12" s="74" t="s">
        <v>238</v>
      </c>
      <c r="AY12" s="74" t="s">
        <v>239</v>
      </c>
      <c r="AZ12" s="74" t="s">
        <v>240</v>
      </c>
      <c r="BA12" s="74" t="s">
        <v>241</v>
      </c>
      <c r="BB12" s="74" t="s">
        <v>122</v>
      </c>
      <c r="BC12" s="74" t="s">
        <v>123</v>
      </c>
      <c r="BD12" s="74" t="s">
        <v>242</v>
      </c>
      <c r="BE12" s="74" t="s">
        <v>243</v>
      </c>
      <c r="BF12" s="74" t="s">
        <v>244</v>
      </c>
      <c r="BG12" s="74" t="s">
        <v>245</v>
      </c>
      <c r="BH12" s="91" t="s">
        <v>246</v>
      </c>
      <c r="BI12" s="91" t="s">
        <v>247</v>
      </c>
      <c r="BJ12" s="91" t="s">
        <v>2518</v>
      </c>
      <c r="BK12" s="91" t="s">
        <v>2517</v>
      </c>
      <c r="BL12" s="74" t="s">
        <v>124</v>
      </c>
      <c r="BM12" s="74" t="s">
        <v>2524</v>
      </c>
      <c r="BN12" s="74" t="s">
        <v>126</v>
      </c>
      <c r="BO12" s="74" t="s">
        <v>127</v>
      </c>
    </row>
    <row r="13" spans="1:67" ht="30" x14ac:dyDescent="0.25">
      <c r="B13" s="92" t="str">
        <f t="shared" ref="B13" si="0">B$11</f>
        <v>Diploma in Sociology</v>
      </c>
      <c r="C13" s="92">
        <f t="shared" ref="C13:BA13" si="1">C$11</f>
        <v>0</v>
      </c>
      <c r="D13" s="92">
        <f t="shared" si="1"/>
        <v>0</v>
      </c>
      <c r="E13" s="92">
        <f t="shared" si="1"/>
        <v>0</v>
      </c>
      <c r="F13" s="92">
        <f t="shared" si="1"/>
        <v>0</v>
      </c>
      <c r="G13" s="92">
        <f t="shared" si="1"/>
        <v>0</v>
      </c>
      <c r="H13" s="92">
        <f t="shared" si="1"/>
        <v>0</v>
      </c>
      <c r="I13" s="92">
        <f t="shared" si="1"/>
        <v>0</v>
      </c>
      <c r="J13" s="92">
        <f t="shared" si="1"/>
        <v>0</v>
      </c>
      <c r="K13" s="92">
        <f t="shared" si="1"/>
        <v>0</v>
      </c>
      <c r="L13" s="92">
        <f t="shared" si="1"/>
        <v>0</v>
      </c>
      <c r="M13" s="92">
        <f t="shared" si="1"/>
        <v>0</v>
      </c>
      <c r="N13" s="92">
        <f t="shared" si="1"/>
        <v>0</v>
      </c>
      <c r="O13" s="92">
        <f t="shared" si="1"/>
        <v>0</v>
      </c>
      <c r="P13" s="92">
        <f t="shared" si="1"/>
        <v>0</v>
      </c>
      <c r="Q13" s="92">
        <f t="shared" si="1"/>
        <v>0</v>
      </c>
      <c r="R13" s="92">
        <f t="shared" si="1"/>
        <v>0</v>
      </c>
      <c r="S13" s="92">
        <f t="shared" si="1"/>
        <v>0</v>
      </c>
      <c r="T13" s="92">
        <f t="shared" si="1"/>
        <v>0</v>
      </c>
      <c r="U13" s="92">
        <f t="shared" si="1"/>
        <v>0</v>
      </c>
      <c r="V13" s="92">
        <f t="shared" si="1"/>
        <v>0</v>
      </c>
      <c r="W13" s="92">
        <f t="shared" si="1"/>
        <v>0</v>
      </c>
      <c r="X13" s="92">
        <f t="shared" si="1"/>
        <v>0</v>
      </c>
      <c r="Y13" s="92">
        <f t="shared" si="1"/>
        <v>0</v>
      </c>
      <c r="Z13" s="92">
        <f t="shared" si="1"/>
        <v>0</v>
      </c>
      <c r="AA13" s="92">
        <f t="shared" si="1"/>
        <v>0</v>
      </c>
      <c r="AB13" s="92" t="str">
        <f t="shared" si="1"/>
        <v>recognises excellence in Sociological thinking</v>
      </c>
      <c r="AC13" s="92">
        <f t="shared" si="1"/>
        <v>0</v>
      </c>
      <c r="AD13" s="92">
        <f t="shared" si="1"/>
        <v>0</v>
      </c>
      <c r="AE13" s="92">
        <f t="shared" si="1"/>
        <v>0</v>
      </c>
      <c r="AF13" s="92">
        <f t="shared" si="1"/>
        <v>0</v>
      </c>
      <c r="AG13" s="92">
        <f t="shared" si="1"/>
        <v>0</v>
      </c>
      <c r="AH13" s="92">
        <f t="shared" si="1"/>
        <v>0</v>
      </c>
      <c r="AI13" s="92">
        <f t="shared" si="1"/>
        <v>0</v>
      </c>
      <c r="AJ13" s="92">
        <f t="shared" si="1"/>
        <v>0</v>
      </c>
      <c r="AK13" s="92">
        <f t="shared" si="1"/>
        <v>0</v>
      </c>
      <c r="AL13" s="92">
        <f t="shared" si="1"/>
        <v>0</v>
      </c>
      <c r="AM13" s="92">
        <f t="shared" si="1"/>
        <v>0</v>
      </c>
      <c r="AN13" s="92">
        <f t="shared" si="1"/>
        <v>0</v>
      </c>
      <c r="AO13" s="92">
        <f t="shared" si="1"/>
        <v>0</v>
      </c>
      <c r="AP13" s="92" t="str">
        <f t="shared" si="1"/>
        <v>Long Description</v>
      </c>
      <c r="AQ13" s="92">
        <f t="shared" si="1"/>
        <v>0</v>
      </c>
      <c r="AR13" s="92">
        <f t="shared" si="1"/>
        <v>0</v>
      </c>
      <c r="AS13" s="92">
        <f t="shared" si="1"/>
        <v>0</v>
      </c>
      <c r="AT13" s="92">
        <f t="shared" si="1"/>
        <v>0</v>
      </c>
      <c r="AU13" s="92">
        <f t="shared" si="1"/>
        <v>0</v>
      </c>
      <c r="AV13" s="92">
        <f t="shared" si="1"/>
        <v>0</v>
      </c>
      <c r="AW13" s="92">
        <f t="shared" si="1"/>
        <v>0</v>
      </c>
      <c r="AX13" s="92">
        <f t="shared" si="1"/>
        <v>0</v>
      </c>
      <c r="AY13" s="92">
        <f t="shared" ref="AY13" si="2">AY$11</f>
        <v>0</v>
      </c>
      <c r="AZ13" s="92">
        <f t="shared" si="1"/>
        <v>0</v>
      </c>
      <c r="BA13" s="92">
        <f t="shared" si="1"/>
        <v>0</v>
      </c>
      <c r="BB13" s="92" t="str">
        <f t="shared" ref="BB13:BD13" si="3">BB$11</f>
        <v>generic</v>
      </c>
      <c r="BC13" s="92" t="str">
        <f t="shared" si="3"/>
        <v>http://data.europa.eu/europass/credentialType/generic</v>
      </c>
      <c r="BD13" s="92" t="str">
        <f t="shared" si="3"/>
        <v>Issuer - Should come from drop-down</v>
      </c>
      <c r="BE13" s="92">
        <v>13</v>
      </c>
      <c r="BF13" s="92" t="str">
        <f>Persons[[#This Row],[Person.fullName.Property.Text.content..ca.]]</f>
        <v>Jordi Castillo</v>
      </c>
      <c r="BG13" s="92">
        <f>MATCH(Credentials[[#This Row],[EuropassCredential.credentialSubject.Association..Person.4.]],Person!C:C,0)</f>
        <v>13</v>
      </c>
      <c r="BH13" s="93">
        <f t="shared" ref="BH13:BI13" si="4">BH$11</f>
        <v>43814</v>
      </c>
      <c r="BI13" s="93">
        <f t="shared" si="4"/>
        <v>45275</v>
      </c>
      <c r="BJ13" s="93" t="s">
        <v>2519</v>
      </c>
      <c r="BK13" s="93" t="s">
        <v>2520</v>
      </c>
      <c r="BL13" s="65" t="s">
        <v>2525</v>
      </c>
      <c r="BM13" s="148" t="s">
        <v>2526</v>
      </c>
      <c r="BN13" s="92">
        <f t="shared" ref="BN13:BO13" si="5">BN$11</f>
        <v>0</v>
      </c>
      <c r="BO13" s="94" t="str">
        <f t="shared" si="5"/>
        <v>https://everis.com/image.jpg</v>
      </c>
    </row>
  </sheetData>
  <phoneticPr fontId="9" type="noConversion"/>
  <hyperlinks>
    <hyperlink ref="BL13" r:id="rId1"/>
  </hyperlinks>
  <pageMargins left="0.7" right="0.7" top="0.75" bottom="0.75" header="0.3" footer="0.3"/>
  <pageSetup paperSize="9" orientation="portrait" r:id="rId2"/>
  <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References!$A$31:$A$33</xm:f>
          </x14:formula1>
          <xm:sqref>BB11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8"/>
  <sheetViews>
    <sheetView showGridLines="0" showZeros="0" zoomScale="85" zoomScaleNormal="85" workbookViewId="0">
      <pane ySplit="10" topLeftCell="A11" activePane="bottomLeft" state="frozen"/>
      <selection pane="bottomLeft" activeCell="AB27" sqref="AB27"/>
    </sheetView>
  </sheetViews>
  <sheetFormatPr baseColWidth="10" defaultColWidth="45.5703125" defaultRowHeight="15" x14ac:dyDescent="0.25"/>
  <cols>
    <col min="1" max="2" width="45.5703125" style="74"/>
    <col min="3" max="27" width="45.5703125" style="74" hidden="1" customWidth="1"/>
    <col min="28" max="16384" width="45.5703125" style="74"/>
  </cols>
  <sheetData>
    <row r="1" spans="1:27" ht="45" x14ac:dyDescent="0.25">
      <c r="A1" s="70" t="s">
        <v>2510</v>
      </c>
      <c r="B1" s="70"/>
      <c r="C1" s="70"/>
      <c r="D1" s="70"/>
      <c r="E1" s="70"/>
      <c r="F1" s="70"/>
      <c r="G1" s="70"/>
      <c r="H1" s="70"/>
      <c r="I1" s="70"/>
      <c r="J1" s="70"/>
      <c r="K1" s="70"/>
      <c r="L1" s="70"/>
      <c r="M1" s="70"/>
      <c r="N1" s="70"/>
      <c r="O1" s="70"/>
      <c r="P1" s="70"/>
      <c r="Q1" s="70"/>
      <c r="R1" s="70"/>
      <c r="S1" s="70"/>
      <c r="T1" s="70"/>
      <c r="U1" s="70"/>
      <c r="V1" s="70"/>
      <c r="W1" s="70"/>
      <c r="X1" s="70"/>
      <c r="Y1" s="70"/>
      <c r="Z1" s="70"/>
      <c r="AA1" s="70"/>
    </row>
    <row r="2" spans="1:27" s="78" customFormat="1" x14ac:dyDescent="0.25">
      <c r="A2" s="75" t="s">
        <v>5</v>
      </c>
      <c r="B2" s="75" t="s">
        <v>2528</v>
      </c>
      <c r="C2" s="75" t="s">
        <v>67</v>
      </c>
      <c r="D2" s="75" t="s">
        <v>67</v>
      </c>
      <c r="E2" s="75" t="s">
        <v>67</v>
      </c>
      <c r="F2" s="75" t="s">
        <v>67</v>
      </c>
      <c r="G2" s="75" t="s">
        <v>67</v>
      </c>
      <c r="H2" s="75" t="s">
        <v>67</v>
      </c>
      <c r="I2" s="75" t="s">
        <v>67</v>
      </c>
      <c r="J2" s="75" t="s">
        <v>67</v>
      </c>
      <c r="K2" s="75" t="s">
        <v>67</v>
      </c>
      <c r="L2" s="75" t="s">
        <v>67</v>
      </c>
      <c r="M2" s="75" t="s">
        <v>67</v>
      </c>
      <c r="N2" s="75" t="s">
        <v>67</v>
      </c>
      <c r="O2" s="75" t="s">
        <v>67</v>
      </c>
      <c r="P2" s="75" t="s">
        <v>67</v>
      </c>
      <c r="Q2" s="75" t="s">
        <v>67</v>
      </c>
      <c r="R2" s="75" t="s">
        <v>67</v>
      </c>
      <c r="S2" s="75" t="s">
        <v>67</v>
      </c>
      <c r="T2" s="75" t="s">
        <v>67</v>
      </c>
      <c r="U2" s="75" t="s">
        <v>67</v>
      </c>
      <c r="V2" s="75" t="s">
        <v>67</v>
      </c>
      <c r="W2" s="75" t="s">
        <v>67</v>
      </c>
      <c r="X2" s="75" t="s">
        <v>67</v>
      </c>
      <c r="Y2" s="75" t="s">
        <v>67</v>
      </c>
      <c r="Z2" s="75" t="s">
        <v>67</v>
      </c>
      <c r="AA2" s="75" t="s">
        <v>67</v>
      </c>
    </row>
    <row r="3" spans="1:27" x14ac:dyDescent="0.25">
      <c r="A3" s="75" t="s">
        <v>9</v>
      </c>
      <c r="B3" s="75" t="s">
        <v>157</v>
      </c>
      <c r="C3" s="75" t="s">
        <v>157</v>
      </c>
      <c r="D3" s="75" t="s">
        <v>157</v>
      </c>
      <c r="E3" s="75" t="s">
        <v>157</v>
      </c>
      <c r="F3" s="75" t="s">
        <v>157</v>
      </c>
      <c r="G3" s="75" t="s">
        <v>157</v>
      </c>
      <c r="H3" s="75" t="s">
        <v>157</v>
      </c>
      <c r="I3" s="75" t="s">
        <v>157</v>
      </c>
      <c r="J3" s="75" t="s">
        <v>157</v>
      </c>
      <c r="K3" s="75" t="s">
        <v>157</v>
      </c>
      <c r="L3" s="75" t="s">
        <v>157</v>
      </c>
      <c r="M3" s="75" t="s">
        <v>157</v>
      </c>
      <c r="N3" s="75" t="s">
        <v>157</v>
      </c>
      <c r="O3" s="75" t="s">
        <v>157</v>
      </c>
      <c r="P3" s="75" t="s">
        <v>157</v>
      </c>
      <c r="Q3" s="75" t="s">
        <v>157</v>
      </c>
      <c r="R3" s="75" t="s">
        <v>157</v>
      </c>
      <c r="S3" s="75" t="s">
        <v>157</v>
      </c>
      <c r="T3" s="75" t="s">
        <v>157</v>
      </c>
      <c r="U3" s="75" t="s">
        <v>157</v>
      </c>
      <c r="V3" s="75" t="s">
        <v>157</v>
      </c>
      <c r="W3" s="75" t="s">
        <v>157</v>
      </c>
      <c r="X3" s="75" t="s">
        <v>157</v>
      </c>
      <c r="Y3" s="75" t="s">
        <v>157</v>
      </c>
      <c r="Z3" s="75" t="s">
        <v>157</v>
      </c>
      <c r="AA3" s="75" t="s">
        <v>157</v>
      </c>
    </row>
    <row r="4" spans="1:27" x14ac:dyDescent="0.25">
      <c r="A4" s="75" t="s">
        <v>15</v>
      </c>
      <c r="B4" s="75" t="s">
        <v>16</v>
      </c>
      <c r="C4" s="75" t="s">
        <v>16</v>
      </c>
      <c r="D4" s="75" t="s">
        <v>16</v>
      </c>
      <c r="E4" s="75" t="s">
        <v>16</v>
      </c>
      <c r="F4" s="75" t="s">
        <v>16</v>
      </c>
      <c r="G4" s="75" t="s">
        <v>16</v>
      </c>
      <c r="H4" s="75" t="s">
        <v>16</v>
      </c>
      <c r="I4" s="75" t="s">
        <v>16</v>
      </c>
      <c r="J4" s="75" t="s">
        <v>16</v>
      </c>
      <c r="K4" s="75" t="s">
        <v>16</v>
      </c>
      <c r="L4" s="75" t="s">
        <v>16</v>
      </c>
      <c r="M4" s="75" t="s">
        <v>16</v>
      </c>
      <c r="N4" s="75" t="s">
        <v>16</v>
      </c>
      <c r="O4" s="75" t="s">
        <v>16</v>
      </c>
      <c r="P4" s="75" t="s">
        <v>16</v>
      </c>
      <c r="Q4" s="75" t="s">
        <v>16</v>
      </c>
      <c r="R4" s="75" t="s">
        <v>16</v>
      </c>
      <c r="S4" s="75" t="s">
        <v>16</v>
      </c>
      <c r="T4" s="75" t="s">
        <v>16</v>
      </c>
      <c r="U4" s="75" t="s">
        <v>16</v>
      </c>
      <c r="V4" s="75" t="s">
        <v>16</v>
      </c>
      <c r="W4" s="75" t="s">
        <v>16</v>
      </c>
      <c r="X4" s="75" t="s">
        <v>16</v>
      </c>
      <c r="Y4" s="75" t="s">
        <v>16</v>
      </c>
      <c r="Z4" s="75" t="s">
        <v>16</v>
      </c>
      <c r="AA4" s="75" t="s">
        <v>16</v>
      </c>
    </row>
    <row r="5" spans="1:27" x14ac:dyDescent="0.25">
      <c r="A5" s="75" t="s">
        <v>21</v>
      </c>
      <c r="B5" s="75" t="s">
        <v>24</v>
      </c>
      <c r="C5" s="75" t="s">
        <v>24</v>
      </c>
      <c r="D5" s="75" t="s">
        <v>24</v>
      </c>
      <c r="E5" s="75" t="s">
        <v>24</v>
      </c>
      <c r="F5" s="75" t="s">
        <v>24</v>
      </c>
      <c r="G5" s="75" t="s">
        <v>24</v>
      </c>
      <c r="H5" s="75" t="s">
        <v>24</v>
      </c>
      <c r="I5" s="75" t="s">
        <v>24</v>
      </c>
      <c r="J5" s="75" t="s">
        <v>24</v>
      </c>
      <c r="K5" s="75" t="s">
        <v>24</v>
      </c>
      <c r="L5" s="75" t="s">
        <v>24</v>
      </c>
      <c r="M5" s="75" t="s">
        <v>24</v>
      </c>
      <c r="N5" s="75" t="s">
        <v>24</v>
      </c>
      <c r="O5" s="75" t="s">
        <v>24</v>
      </c>
      <c r="P5" s="75" t="s">
        <v>24</v>
      </c>
      <c r="Q5" s="75" t="s">
        <v>24</v>
      </c>
      <c r="R5" s="75" t="s">
        <v>24</v>
      </c>
      <c r="S5" s="75" t="s">
        <v>24</v>
      </c>
      <c r="T5" s="75" t="s">
        <v>24</v>
      </c>
      <c r="U5" s="75" t="s">
        <v>24</v>
      </c>
      <c r="V5" s="75" t="s">
        <v>24</v>
      </c>
      <c r="W5" s="75" t="s">
        <v>24</v>
      </c>
      <c r="X5" s="75" t="s">
        <v>24</v>
      </c>
      <c r="Y5" s="75" t="s">
        <v>24</v>
      </c>
      <c r="Z5" s="75" t="s">
        <v>24</v>
      </c>
      <c r="AA5" s="75" t="s">
        <v>24</v>
      </c>
    </row>
    <row r="6" spans="1:27" x14ac:dyDescent="0.25">
      <c r="A6" s="75" t="s">
        <v>25</v>
      </c>
      <c r="B6" s="75"/>
      <c r="C6" s="75"/>
      <c r="D6" s="75"/>
      <c r="E6" s="75"/>
      <c r="F6" s="75"/>
      <c r="G6" s="75"/>
      <c r="H6" s="75"/>
      <c r="I6" s="75"/>
      <c r="J6" s="75"/>
      <c r="K6" s="75"/>
      <c r="L6" s="75"/>
      <c r="M6" s="75"/>
      <c r="N6" s="75"/>
      <c r="O6" s="75"/>
      <c r="P6" s="75"/>
      <c r="Q6" s="75"/>
      <c r="R6" s="75"/>
      <c r="S6" s="75"/>
      <c r="T6" s="75"/>
      <c r="U6" s="75"/>
      <c r="V6" s="75"/>
      <c r="W6" s="75"/>
      <c r="X6" s="75"/>
      <c r="Y6" s="75"/>
      <c r="Z6" s="75"/>
      <c r="AA6" s="75"/>
    </row>
    <row r="7" spans="1:27" x14ac:dyDescent="0.25">
      <c r="A7" s="75" t="s">
        <v>26</v>
      </c>
      <c r="B7" s="75" t="s">
        <v>43</v>
      </c>
      <c r="C7" s="75" t="s">
        <v>68</v>
      </c>
      <c r="D7" s="75" t="s">
        <v>69</v>
      </c>
      <c r="E7" s="75" t="s">
        <v>70</v>
      </c>
      <c r="F7" s="75" t="s">
        <v>71</v>
      </c>
      <c r="G7" s="75" t="s">
        <v>72</v>
      </c>
      <c r="H7" s="75" t="s">
        <v>46</v>
      </c>
      <c r="I7" s="75" t="s">
        <v>73</v>
      </c>
      <c r="J7" s="75" t="s">
        <v>74</v>
      </c>
      <c r="K7" s="75" t="s">
        <v>75</v>
      </c>
      <c r="L7" s="75" t="s">
        <v>76</v>
      </c>
      <c r="M7" s="75" t="s">
        <v>77</v>
      </c>
      <c r="N7" s="75" t="s">
        <v>78</v>
      </c>
      <c r="O7" s="75" t="s">
        <v>79</v>
      </c>
      <c r="P7" s="75" t="s">
        <v>80</v>
      </c>
      <c r="Q7" s="75" t="s">
        <v>81</v>
      </c>
      <c r="R7" s="75" t="s">
        <v>82</v>
      </c>
      <c r="S7" s="75" t="s">
        <v>44</v>
      </c>
      <c r="T7" s="75" t="s">
        <v>83</v>
      </c>
      <c r="U7" s="75" t="s">
        <v>84</v>
      </c>
      <c r="V7" s="75" t="s">
        <v>85</v>
      </c>
      <c r="W7" s="75" t="s">
        <v>86</v>
      </c>
      <c r="X7" s="75" t="s">
        <v>87</v>
      </c>
      <c r="Y7" s="75" t="s">
        <v>88</v>
      </c>
      <c r="Z7" s="75" t="s">
        <v>89</v>
      </c>
      <c r="AA7" s="75" t="s">
        <v>90</v>
      </c>
    </row>
    <row r="8" spans="1:27" s="79" customFormat="1" x14ac:dyDescent="0.25">
      <c r="A8" s="79" t="s">
        <v>27</v>
      </c>
      <c r="B8" s="79" t="s">
        <v>320</v>
      </c>
    </row>
    <row r="9" spans="1:27" s="82" customFormat="1" ht="75" x14ac:dyDescent="0.25">
      <c r="A9" s="81" t="s">
        <v>28</v>
      </c>
      <c r="B9" s="82" t="s">
        <v>2508</v>
      </c>
    </row>
    <row r="10" spans="1:27" s="85" customFormat="1" ht="15.75" thickBot="1" x14ac:dyDescent="0.3">
      <c r="A10" s="84" t="s">
        <v>26</v>
      </c>
      <c r="B10" s="85" t="s">
        <v>95</v>
      </c>
      <c r="C10" s="85" t="s">
        <v>96</v>
      </c>
      <c r="D10" s="85" t="s">
        <v>97</v>
      </c>
      <c r="E10" s="85" t="s">
        <v>98</v>
      </c>
      <c r="F10" s="85" t="s">
        <v>99</v>
      </c>
      <c r="G10" s="85" t="s">
        <v>100</v>
      </c>
      <c r="H10" s="85" t="s">
        <v>101</v>
      </c>
      <c r="I10" s="85" t="s">
        <v>102</v>
      </c>
      <c r="J10" s="85" t="s">
        <v>103</v>
      </c>
      <c r="K10" s="85" t="s">
        <v>104</v>
      </c>
      <c r="L10" s="85" t="s">
        <v>105</v>
      </c>
      <c r="M10" s="85" t="s">
        <v>106</v>
      </c>
      <c r="N10" s="85" t="s">
        <v>107</v>
      </c>
      <c r="O10" s="85" t="s">
        <v>108</v>
      </c>
      <c r="P10" s="85" t="s">
        <v>109</v>
      </c>
      <c r="Q10" s="85" t="s">
        <v>110</v>
      </c>
      <c r="R10" s="85" t="s">
        <v>111</v>
      </c>
      <c r="S10" s="85" t="s">
        <v>112</v>
      </c>
      <c r="T10" s="85" t="s">
        <v>113</v>
      </c>
      <c r="U10" s="85" t="s">
        <v>114</v>
      </c>
      <c r="V10" s="85" t="s">
        <v>115</v>
      </c>
      <c r="W10" s="85" t="s">
        <v>116</v>
      </c>
      <c r="X10" s="85" t="s">
        <v>117</v>
      </c>
      <c r="Y10" s="85" t="s">
        <v>118</v>
      </c>
      <c r="Z10" s="85" t="s">
        <v>119</v>
      </c>
      <c r="AA10" s="85" t="s">
        <v>120</v>
      </c>
    </row>
    <row r="11" spans="1:27" s="88" customFormat="1" x14ac:dyDescent="0.25">
      <c r="B11" s="88" t="s">
        <v>2498</v>
      </c>
    </row>
    <row r="12" spans="1:27" ht="30" x14ac:dyDescent="0.25">
      <c r="B12" s="99" t="s">
        <v>190</v>
      </c>
      <c r="C12" s="100" t="s">
        <v>191</v>
      </c>
      <c r="D12" s="100" t="s">
        <v>192</v>
      </c>
      <c r="E12" s="100" t="s">
        <v>193</v>
      </c>
      <c r="F12" s="100" t="s">
        <v>194</v>
      </c>
      <c r="G12" s="100" t="s">
        <v>195</v>
      </c>
      <c r="H12" s="100" t="s">
        <v>196</v>
      </c>
      <c r="I12" s="100" t="s">
        <v>197</v>
      </c>
      <c r="J12" s="100" t="s">
        <v>198</v>
      </c>
      <c r="K12" s="100" t="s">
        <v>199</v>
      </c>
      <c r="L12" s="100" t="s">
        <v>200</v>
      </c>
      <c r="M12" s="100" t="s">
        <v>201</v>
      </c>
      <c r="N12" s="100" t="s">
        <v>202</v>
      </c>
      <c r="O12" s="100" t="s">
        <v>203</v>
      </c>
      <c r="P12" s="100" t="s">
        <v>204</v>
      </c>
      <c r="Q12" s="100" t="s">
        <v>122</v>
      </c>
      <c r="R12" s="100" t="s">
        <v>123</v>
      </c>
      <c r="S12" s="100" t="s">
        <v>124</v>
      </c>
      <c r="T12" s="100" t="s">
        <v>125</v>
      </c>
      <c r="U12" s="100" t="s">
        <v>321</v>
      </c>
      <c r="V12" s="100" t="s">
        <v>322</v>
      </c>
      <c r="W12" s="100" t="s">
        <v>323</v>
      </c>
      <c r="X12" s="100" t="s">
        <v>324</v>
      </c>
      <c r="Y12" s="100" t="s">
        <v>325</v>
      </c>
      <c r="Z12" s="100" t="s">
        <v>326</v>
      </c>
      <c r="AA12" s="101" t="s">
        <v>327</v>
      </c>
    </row>
    <row r="13" spans="1:27" s="102" customFormat="1" x14ac:dyDescent="0.25">
      <c r="B13" s="143" t="s">
        <v>2499</v>
      </c>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1"/>
    </row>
    <row r="14" spans="1:27" x14ac:dyDescent="0.25">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row>
    <row r="15" spans="1:27" x14ac:dyDescent="0.25">
      <c r="B15" s="139"/>
      <c r="C15" s="139"/>
      <c r="D15" s="139"/>
      <c r="E15" s="139"/>
      <c r="F15" s="139"/>
      <c r="G15" s="139"/>
      <c r="H15" s="139"/>
      <c r="I15" s="139"/>
      <c r="J15" s="139"/>
      <c r="K15" s="139"/>
      <c r="L15" s="139"/>
      <c r="M15" s="139"/>
      <c r="N15" s="139"/>
      <c r="O15" s="139"/>
      <c r="P15" s="139"/>
      <c r="Q15" s="139"/>
      <c r="R15" s="139"/>
      <c r="S15" s="139"/>
      <c r="T15" s="139"/>
      <c r="U15" s="139"/>
      <c r="V15" s="139"/>
      <c r="W15" s="139"/>
      <c r="X15" s="139"/>
      <c r="Y15" s="139"/>
      <c r="Z15" s="139"/>
      <c r="AA15" s="139"/>
    </row>
    <row r="16" spans="1:27" x14ac:dyDescent="0.25">
      <c r="B16" s="139"/>
      <c r="C16" s="139"/>
      <c r="D16" s="139"/>
      <c r="E16" s="139"/>
      <c r="F16" s="139"/>
      <c r="G16" s="139"/>
      <c r="H16" s="139"/>
      <c r="I16" s="139"/>
      <c r="J16" s="139"/>
      <c r="K16" s="139"/>
      <c r="L16" s="139"/>
      <c r="M16" s="139"/>
      <c r="N16" s="139"/>
      <c r="O16" s="139"/>
      <c r="P16" s="139"/>
      <c r="Q16" s="139"/>
      <c r="R16" s="139"/>
      <c r="S16" s="139"/>
      <c r="T16" s="139"/>
      <c r="U16" s="139"/>
      <c r="V16" s="139"/>
      <c r="W16" s="139"/>
      <c r="X16" s="139"/>
      <c r="Y16" s="139"/>
      <c r="Z16" s="139"/>
      <c r="AA16" s="139"/>
    </row>
    <row r="17" spans="2:27" x14ac:dyDescent="0.25">
      <c r="B17" s="139"/>
      <c r="C17" s="139"/>
      <c r="D17" s="139"/>
      <c r="E17" s="139"/>
      <c r="F17" s="139"/>
      <c r="G17" s="139"/>
      <c r="H17" s="139"/>
      <c r="I17" s="139"/>
      <c r="J17" s="139"/>
      <c r="K17" s="139"/>
      <c r="L17" s="139"/>
      <c r="M17" s="139"/>
      <c r="N17" s="139"/>
      <c r="O17" s="139"/>
      <c r="P17" s="139"/>
      <c r="Q17" s="139"/>
      <c r="R17" s="139"/>
      <c r="S17" s="139"/>
      <c r="T17" s="139"/>
      <c r="U17" s="139"/>
      <c r="V17" s="139"/>
      <c r="W17" s="139"/>
      <c r="X17" s="139"/>
      <c r="Y17" s="139"/>
      <c r="Z17" s="139"/>
      <c r="AA17" s="139"/>
    </row>
    <row r="18" spans="2:27" x14ac:dyDescent="0.25">
      <c r="B18" s="139"/>
      <c r="C18" s="139"/>
      <c r="D18" s="139"/>
      <c r="E18" s="139"/>
      <c r="F18" s="139"/>
      <c r="G18" s="139"/>
      <c r="H18" s="139"/>
      <c r="I18" s="139"/>
      <c r="J18" s="139"/>
      <c r="K18" s="139"/>
      <c r="L18" s="139"/>
      <c r="M18" s="139"/>
      <c r="N18" s="139"/>
      <c r="O18" s="139"/>
      <c r="P18" s="139"/>
      <c r="Q18" s="139"/>
      <c r="R18" s="139"/>
      <c r="S18" s="139"/>
      <c r="T18" s="139"/>
      <c r="U18" s="139"/>
      <c r="V18" s="139"/>
      <c r="W18" s="139"/>
      <c r="X18" s="139"/>
      <c r="Y18" s="139"/>
      <c r="Z18" s="139"/>
      <c r="AA18" s="139"/>
    </row>
  </sheetData>
  <phoneticPr fontId="9" type="noConversion"/>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13"/>
  <sheetViews>
    <sheetView zoomScale="85" zoomScaleNormal="85" workbookViewId="0">
      <selection activeCell="AG39" sqref="AG39"/>
    </sheetView>
  </sheetViews>
  <sheetFormatPr baseColWidth="10" defaultColWidth="10.85546875" defaultRowHeight="15" x14ac:dyDescent="0.25"/>
  <cols>
    <col min="1" max="1" width="15.85546875" customWidth="1"/>
    <col min="2" max="2" width="19.28515625" customWidth="1"/>
    <col min="3" max="22" width="19.28515625" style="134" hidden="1" customWidth="1"/>
    <col min="23" max="27" width="20.5703125" style="134" hidden="1" customWidth="1"/>
  </cols>
  <sheetData>
    <row r="1" spans="1:27" ht="23.25" x14ac:dyDescent="0.25">
      <c r="A1" s="6" t="s">
        <v>2472</v>
      </c>
      <c r="B1" s="5"/>
      <c r="C1" s="5"/>
      <c r="D1" s="5"/>
      <c r="E1" s="5"/>
      <c r="F1" s="5"/>
      <c r="G1" s="5"/>
      <c r="H1" s="5"/>
      <c r="I1" s="5"/>
      <c r="J1" s="5"/>
      <c r="K1" s="5"/>
      <c r="L1" s="5"/>
      <c r="M1" s="5"/>
      <c r="N1" s="5"/>
      <c r="O1" s="5"/>
      <c r="P1" s="5"/>
      <c r="Q1" s="5"/>
      <c r="R1" s="5"/>
      <c r="S1" s="5"/>
      <c r="T1" s="5"/>
      <c r="U1" s="5"/>
      <c r="V1" s="5"/>
      <c r="W1" s="5"/>
      <c r="X1" s="5"/>
      <c r="Y1" s="5"/>
      <c r="Z1" s="5"/>
      <c r="AA1" s="5"/>
    </row>
    <row r="2" spans="1:27" x14ac:dyDescent="0.25">
      <c r="A2" s="2" t="s">
        <v>5</v>
      </c>
      <c r="B2" s="2" t="s">
        <v>2527</v>
      </c>
      <c r="C2" s="2" t="s">
        <v>158</v>
      </c>
      <c r="D2" s="2" t="s">
        <v>158</v>
      </c>
      <c r="E2" s="2" t="s">
        <v>158</v>
      </c>
      <c r="F2" s="2" t="s">
        <v>158</v>
      </c>
      <c r="G2" s="2" t="s">
        <v>158</v>
      </c>
      <c r="H2" s="2" t="s">
        <v>158</v>
      </c>
      <c r="I2" s="2" t="s">
        <v>158</v>
      </c>
      <c r="J2" s="2" t="s">
        <v>158</v>
      </c>
      <c r="K2" s="2" t="s">
        <v>158</v>
      </c>
      <c r="L2" s="2" t="s">
        <v>158</v>
      </c>
      <c r="M2" s="2" t="s">
        <v>158</v>
      </c>
      <c r="N2" s="2" t="s">
        <v>158</v>
      </c>
      <c r="O2" s="2" t="s">
        <v>158</v>
      </c>
      <c r="P2" s="2" t="s">
        <v>158</v>
      </c>
      <c r="Q2" s="2" t="s">
        <v>158</v>
      </c>
      <c r="R2" s="2" t="s">
        <v>158</v>
      </c>
      <c r="S2" s="2" t="s">
        <v>158</v>
      </c>
      <c r="T2" s="2" t="s">
        <v>158</v>
      </c>
      <c r="U2" s="2" t="s">
        <v>158</v>
      </c>
      <c r="V2" s="2" t="s">
        <v>158</v>
      </c>
      <c r="W2" s="2" t="s">
        <v>158</v>
      </c>
      <c r="X2" s="2" t="s">
        <v>158</v>
      </c>
      <c r="Y2" s="2" t="s">
        <v>158</v>
      </c>
      <c r="Z2" s="2" t="s">
        <v>158</v>
      </c>
      <c r="AA2" s="2" t="s">
        <v>158</v>
      </c>
    </row>
    <row r="3" spans="1:27" x14ac:dyDescent="0.25">
      <c r="A3" s="3" t="s">
        <v>9</v>
      </c>
      <c r="B3" s="3" t="s">
        <v>38</v>
      </c>
      <c r="C3" s="3" t="s">
        <v>38</v>
      </c>
      <c r="D3" s="3" t="s">
        <v>38</v>
      </c>
      <c r="E3" s="3" t="s">
        <v>38</v>
      </c>
      <c r="F3" s="3" t="s">
        <v>38</v>
      </c>
      <c r="G3" s="3" t="s">
        <v>38</v>
      </c>
      <c r="H3" s="3" t="s">
        <v>38</v>
      </c>
      <c r="I3" s="3" t="s">
        <v>38</v>
      </c>
      <c r="J3" s="3" t="s">
        <v>38</v>
      </c>
      <c r="K3" s="3" t="s">
        <v>38</v>
      </c>
      <c r="L3" s="3" t="s">
        <v>38</v>
      </c>
      <c r="M3" s="3" t="s">
        <v>38</v>
      </c>
      <c r="N3" s="3" t="s">
        <v>38</v>
      </c>
      <c r="O3" s="3" t="s">
        <v>38</v>
      </c>
      <c r="P3" s="3" t="s">
        <v>38</v>
      </c>
      <c r="Q3" s="3" t="s">
        <v>38</v>
      </c>
      <c r="R3" s="3" t="s">
        <v>38</v>
      </c>
      <c r="S3" s="3" t="s">
        <v>38</v>
      </c>
      <c r="T3" s="3" t="s">
        <v>38</v>
      </c>
      <c r="U3" s="3" t="s">
        <v>38</v>
      </c>
      <c r="V3" s="3" t="s">
        <v>38</v>
      </c>
      <c r="W3" s="3" t="s">
        <v>38</v>
      </c>
      <c r="X3" s="3" t="s">
        <v>38</v>
      </c>
      <c r="Y3" s="3" t="s">
        <v>38</v>
      </c>
      <c r="Z3" s="3" t="s">
        <v>38</v>
      </c>
      <c r="AA3" s="3" t="s">
        <v>38</v>
      </c>
    </row>
    <row r="4" spans="1:27" x14ac:dyDescent="0.25">
      <c r="A4" s="3" t="s">
        <v>15</v>
      </c>
      <c r="B4" t="s">
        <v>16</v>
      </c>
      <c r="C4" s="134" t="s">
        <v>16</v>
      </c>
      <c r="D4" s="134" t="s">
        <v>16</v>
      </c>
      <c r="E4" s="134" t="s">
        <v>16</v>
      </c>
      <c r="F4" s="134" t="s">
        <v>16</v>
      </c>
      <c r="G4" s="134" t="s">
        <v>16</v>
      </c>
      <c r="H4" s="134" t="s">
        <v>16</v>
      </c>
      <c r="I4" s="134" t="s">
        <v>16</v>
      </c>
      <c r="J4" s="134" t="s">
        <v>16</v>
      </c>
      <c r="K4" s="134" t="s">
        <v>16</v>
      </c>
      <c r="L4" s="134" t="s">
        <v>16</v>
      </c>
      <c r="M4" s="134" t="s">
        <v>16</v>
      </c>
      <c r="N4" s="134" t="s">
        <v>16</v>
      </c>
      <c r="O4" s="134" t="s">
        <v>16</v>
      </c>
      <c r="P4" s="134" t="s">
        <v>16</v>
      </c>
      <c r="Q4" s="134" t="s">
        <v>16</v>
      </c>
      <c r="R4" s="134" t="s">
        <v>16</v>
      </c>
      <c r="S4" s="134" t="s">
        <v>16</v>
      </c>
      <c r="T4" s="134" t="s">
        <v>16</v>
      </c>
      <c r="U4" s="134" t="s">
        <v>16</v>
      </c>
      <c r="V4" s="134" t="s">
        <v>16</v>
      </c>
      <c r="W4" s="134" t="s">
        <v>16</v>
      </c>
      <c r="X4" s="134" t="s">
        <v>16</v>
      </c>
      <c r="Y4" s="134" t="s">
        <v>16</v>
      </c>
      <c r="Z4" s="134" t="s">
        <v>16</v>
      </c>
      <c r="AA4" s="134" t="s">
        <v>16</v>
      </c>
    </row>
    <row r="5" spans="1:27" x14ac:dyDescent="0.25">
      <c r="A5" s="3" t="s">
        <v>21</v>
      </c>
      <c r="B5" t="s">
        <v>24</v>
      </c>
      <c r="C5" s="134" t="s">
        <v>24</v>
      </c>
      <c r="D5" s="134" t="s">
        <v>24</v>
      </c>
      <c r="E5" s="134" t="s">
        <v>24</v>
      </c>
      <c r="F5" s="134" t="s">
        <v>24</v>
      </c>
      <c r="G5" s="134" t="s">
        <v>24</v>
      </c>
      <c r="H5" s="134" t="s">
        <v>24</v>
      </c>
      <c r="I5" s="134" t="s">
        <v>24</v>
      </c>
      <c r="J5" s="134" t="s">
        <v>24</v>
      </c>
      <c r="K5" s="134" t="s">
        <v>24</v>
      </c>
      <c r="L5" s="134" t="s">
        <v>24</v>
      </c>
      <c r="M5" s="134" t="s">
        <v>24</v>
      </c>
      <c r="N5" s="134" t="s">
        <v>24</v>
      </c>
      <c r="O5" s="134" t="s">
        <v>24</v>
      </c>
      <c r="P5" s="134" t="s">
        <v>24</v>
      </c>
      <c r="Q5" s="134" t="s">
        <v>24</v>
      </c>
      <c r="R5" s="134" t="s">
        <v>24</v>
      </c>
      <c r="S5" s="134" t="s">
        <v>24</v>
      </c>
      <c r="T5" s="134" t="s">
        <v>24</v>
      </c>
      <c r="U5" s="134" t="s">
        <v>24</v>
      </c>
      <c r="V5" s="134" t="s">
        <v>24</v>
      </c>
      <c r="W5" s="134" t="s">
        <v>24</v>
      </c>
      <c r="X5" s="134" t="s">
        <v>24</v>
      </c>
      <c r="Y5" s="134" t="s">
        <v>24</v>
      </c>
      <c r="Z5" s="134" t="s">
        <v>24</v>
      </c>
      <c r="AA5" s="134" t="s">
        <v>24</v>
      </c>
    </row>
    <row r="6" spans="1:27" x14ac:dyDescent="0.25">
      <c r="A6" s="3" t="s">
        <v>25</v>
      </c>
      <c r="B6" s="3"/>
      <c r="C6" s="3"/>
      <c r="D6" s="3"/>
      <c r="E6" s="3"/>
      <c r="F6" s="3"/>
      <c r="G6" s="3"/>
      <c r="H6" s="3"/>
      <c r="I6" s="3"/>
      <c r="J6" s="3"/>
      <c r="K6" s="3"/>
      <c r="L6" s="3"/>
      <c r="M6" s="3"/>
      <c r="N6" s="3"/>
      <c r="O6" s="3"/>
      <c r="P6" s="3"/>
      <c r="Q6" s="3"/>
      <c r="R6" s="3"/>
      <c r="S6" s="3"/>
      <c r="T6" s="3"/>
      <c r="U6" s="3"/>
      <c r="V6" s="3"/>
      <c r="W6" s="3"/>
      <c r="X6" s="3"/>
      <c r="Y6" s="3"/>
      <c r="Z6" s="3"/>
      <c r="AA6" s="3"/>
    </row>
    <row r="7" spans="1:27" x14ac:dyDescent="0.25">
      <c r="A7" s="3" t="s">
        <v>26</v>
      </c>
      <c r="B7" s="1" t="s">
        <v>43</v>
      </c>
      <c r="C7" s="1" t="s">
        <v>68</v>
      </c>
      <c r="D7" s="1" t="s">
        <v>69</v>
      </c>
      <c r="E7" s="1" t="s">
        <v>70</v>
      </c>
      <c r="F7" s="1" t="s">
        <v>71</v>
      </c>
      <c r="G7" s="1" t="s">
        <v>72</v>
      </c>
      <c r="H7" s="1" t="s">
        <v>46</v>
      </c>
      <c r="I7" s="1" t="s">
        <v>73</v>
      </c>
      <c r="J7" s="1" t="s">
        <v>74</v>
      </c>
      <c r="K7" s="1" t="s">
        <v>75</v>
      </c>
      <c r="L7" s="1" t="s">
        <v>76</v>
      </c>
      <c r="M7" s="1" t="s">
        <v>77</v>
      </c>
      <c r="N7" s="1" t="s">
        <v>78</v>
      </c>
      <c r="O7" s="1" t="s">
        <v>79</v>
      </c>
      <c r="P7" s="1" t="s">
        <v>80</v>
      </c>
      <c r="Q7" s="1" t="s">
        <v>81</v>
      </c>
      <c r="R7" s="1" t="s">
        <v>82</v>
      </c>
      <c r="S7" s="1" t="s">
        <v>44</v>
      </c>
      <c r="T7" s="1" t="s">
        <v>83</v>
      </c>
      <c r="U7" s="1" t="s">
        <v>84</v>
      </c>
      <c r="V7" s="1" t="s">
        <v>85</v>
      </c>
      <c r="W7" s="1" t="s">
        <v>86</v>
      </c>
      <c r="X7" s="1" t="s">
        <v>87</v>
      </c>
      <c r="Y7" s="1" t="s">
        <v>88</v>
      </c>
      <c r="Z7" s="1" t="s">
        <v>89</v>
      </c>
      <c r="AA7" s="1" t="s">
        <v>90</v>
      </c>
    </row>
    <row r="8" spans="1:27" x14ac:dyDescent="0.25">
      <c r="A8" s="16" t="s">
        <v>27</v>
      </c>
      <c r="B8" s="17" t="s">
        <v>318</v>
      </c>
      <c r="C8" s="17"/>
      <c r="D8" s="17"/>
      <c r="E8" s="17"/>
      <c r="F8" s="17"/>
      <c r="G8" s="17"/>
      <c r="H8" s="17"/>
      <c r="I8" s="17"/>
      <c r="J8" s="17"/>
      <c r="K8" s="17"/>
      <c r="L8" s="17"/>
      <c r="M8" s="17"/>
      <c r="N8" s="17"/>
      <c r="O8" s="17"/>
      <c r="P8" s="17"/>
      <c r="Q8" s="17"/>
      <c r="R8" s="17"/>
      <c r="S8" s="17"/>
      <c r="T8" s="17"/>
      <c r="U8" s="17"/>
      <c r="V8" s="17"/>
      <c r="W8" s="17"/>
      <c r="X8" s="17"/>
      <c r="Y8" s="17"/>
      <c r="Z8" s="17"/>
      <c r="AA8" s="17"/>
    </row>
    <row r="9" spans="1:27" s="19" customFormat="1" ht="105.95" customHeight="1" x14ac:dyDescent="0.25">
      <c r="A9" s="16" t="s">
        <v>28</v>
      </c>
    </row>
    <row r="10" spans="1:27" ht="15.75" thickBot="1" x14ac:dyDescent="0.3">
      <c r="A10" s="21" t="s">
        <v>26</v>
      </c>
      <c r="B10" s="85" t="s">
        <v>95</v>
      </c>
      <c r="C10" s="85" t="s">
        <v>96</v>
      </c>
      <c r="D10" s="85" t="s">
        <v>97</v>
      </c>
      <c r="E10" s="85" t="s">
        <v>98</v>
      </c>
      <c r="F10" s="85" t="s">
        <v>99</v>
      </c>
      <c r="G10" s="85" t="s">
        <v>100</v>
      </c>
      <c r="H10" s="85" t="s">
        <v>101</v>
      </c>
      <c r="I10" s="85" t="s">
        <v>102</v>
      </c>
      <c r="J10" s="85" t="s">
        <v>103</v>
      </c>
      <c r="K10" s="85" t="s">
        <v>104</v>
      </c>
      <c r="L10" s="85" t="s">
        <v>105</v>
      </c>
      <c r="M10" s="85" t="s">
        <v>106</v>
      </c>
      <c r="N10" s="85" t="s">
        <v>107</v>
      </c>
      <c r="O10" s="85" t="s">
        <v>108</v>
      </c>
      <c r="P10" s="85" t="s">
        <v>109</v>
      </c>
      <c r="Q10" s="85" t="s">
        <v>110</v>
      </c>
      <c r="R10" s="85" t="s">
        <v>111</v>
      </c>
      <c r="S10" s="85" t="s">
        <v>112</v>
      </c>
      <c r="T10" s="85" t="s">
        <v>113</v>
      </c>
      <c r="U10" s="85" t="s">
        <v>114</v>
      </c>
      <c r="V10" s="85" t="s">
        <v>115</v>
      </c>
      <c r="W10" s="85" t="s">
        <v>116</v>
      </c>
      <c r="X10" s="85" t="s">
        <v>117</v>
      </c>
      <c r="Y10" s="85" t="s">
        <v>118</v>
      </c>
      <c r="Z10" s="85" t="s">
        <v>119</v>
      </c>
      <c r="AA10" s="85" t="s">
        <v>120</v>
      </c>
    </row>
    <row r="11" spans="1:27" hidden="1" x14ac:dyDescent="0.25">
      <c r="A11" s="7" t="s">
        <v>29</v>
      </c>
      <c r="B11" t="s">
        <v>122</v>
      </c>
      <c r="C11" s="134" t="s">
        <v>2473</v>
      </c>
      <c r="D11" s="134" t="s">
        <v>2474</v>
      </c>
      <c r="E11" s="134" t="s">
        <v>2475</v>
      </c>
      <c r="F11" s="134" t="s">
        <v>2476</v>
      </c>
      <c r="G11" s="134" t="s">
        <v>2477</v>
      </c>
      <c r="H11" s="134" t="s">
        <v>2478</v>
      </c>
      <c r="I11" s="134" t="s">
        <v>328</v>
      </c>
      <c r="J11" s="134" t="s">
        <v>1175</v>
      </c>
      <c r="K11" s="134" t="s">
        <v>2479</v>
      </c>
      <c r="L11" s="134" t="s">
        <v>2480</v>
      </c>
      <c r="M11" s="134" t="s">
        <v>2481</v>
      </c>
      <c r="N11" s="134" t="s">
        <v>2482</v>
      </c>
      <c r="O11" s="134" t="s">
        <v>2483</v>
      </c>
      <c r="P11" s="134" t="s">
        <v>2484</v>
      </c>
      <c r="Q11" s="134" t="s">
        <v>2485</v>
      </c>
      <c r="R11" s="134" t="s">
        <v>2486</v>
      </c>
      <c r="S11" s="134" t="s">
        <v>2487</v>
      </c>
      <c r="T11" s="134" t="s">
        <v>2488</v>
      </c>
      <c r="U11" s="134" t="s">
        <v>2489</v>
      </c>
      <c r="V11" s="134" t="s">
        <v>2490</v>
      </c>
      <c r="W11" s="134" t="s">
        <v>2491</v>
      </c>
      <c r="X11" s="134" t="s">
        <v>2492</v>
      </c>
      <c r="Y11" s="134" t="s">
        <v>2493</v>
      </c>
      <c r="Z11" s="134" t="s">
        <v>2494</v>
      </c>
      <c r="AA11" s="134" t="s">
        <v>2495</v>
      </c>
    </row>
    <row r="12" spans="1:27" x14ac:dyDescent="0.25">
      <c r="A12" s="7"/>
      <c r="B12" s="137" t="s">
        <v>2501</v>
      </c>
      <c r="C12" s="137"/>
      <c r="D12" s="137"/>
      <c r="E12" s="137"/>
      <c r="F12" s="137"/>
      <c r="G12" s="137"/>
      <c r="H12" s="137"/>
      <c r="I12" s="137"/>
      <c r="J12" s="137"/>
      <c r="K12" s="137"/>
      <c r="L12" s="137"/>
      <c r="M12" s="137"/>
      <c r="N12" s="137"/>
      <c r="O12" s="137"/>
      <c r="P12" s="137"/>
      <c r="Q12" s="137"/>
      <c r="R12" s="137"/>
      <c r="S12" s="137"/>
      <c r="T12" s="137"/>
      <c r="U12" s="137"/>
      <c r="V12" s="137"/>
      <c r="W12" s="137"/>
      <c r="X12" s="137"/>
      <c r="Y12" s="137"/>
      <c r="Z12" s="137"/>
      <c r="AA12" s="137"/>
    </row>
    <row r="13" spans="1:27" x14ac:dyDescent="0.25">
      <c r="B13" s="137" t="s">
        <v>2502</v>
      </c>
      <c r="C13" s="137"/>
      <c r="D13" s="137"/>
      <c r="E13" s="137"/>
      <c r="F13" s="137"/>
      <c r="G13" s="137"/>
      <c r="H13" s="137"/>
      <c r="I13" s="137"/>
      <c r="J13" s="137"/>
      <c r="K13" s="137"/>
      <c r="L13" s="137"/>
      <c r="M13" s="137"/>
      <c r="N13" s="137"/>
      <c r="O13" s="137"/>
      <c r="P13" s="137"/>
      <c r="Q13" s="137"/>
      <c r="R13" s="137"/>
      <c r="S13" s="137"/>
      <c r="T13" s="137"/>
      <c r="U13" s="137"/>
      <c r="V13" s="137"/>
      <c r="W13" s="137"/>
      <c r="X13" s="137"/>
      <c r="Y13" s="137"/>
      <c r="Z13" s="137"/>
      <c r="AA13" s="137"/>
    </row>
  </sheetData>
  <phoneticPr fontId="9" type="noConversion"/>
  <pageMargins left="0.7" right="0.7" top="0.75" bottom="0.75" header="0.3" footer="0.3"/>
  <pageSetup paperSize="9" orientation="portrait" horizontalDpi="90" verticalDpi="9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
  <sheetViews>
    <sheetView workbookViewId="0">
      <selection activeCell="B3" sqref="B3"/>
    </sheetView>
  </sheetViews>
  <sheetFormatPr baseColWidth="10" defaultColWidth="9.140625" defaultRowHeight="15" x14ac:dyDescent="0.25"/>
  <cols>
    <col min="1" max="1" width="16.140625" bestFit="1" customWidth="1"/>
    <col min="2" max="2" width="26.42578125" bestFit="1" customWidth="1"/>
  </cols>
  <sheetData>
    <row r="1" spans="1:2" x14ac:dyDescent="0.25">
      <c r="A1" s="9" t="s">
        <v>20</v>
      </c>
    </row>
    <row r="2" spans="1:2" x14ac:dyDescent="0.25">
      <c r="A2" s="9" t="s">
        <v>306</v>
      </c>
      <c r="B2" s="65" t="s">
        <v>310</v>
      </c>
    </row>
  </sheetData>
  <hyperlinks>
    <hyperlink ref="B2" r:id="rId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810"/>
  <sheetViews>
    <sheetView topLeftCell="A742" zoomScale="62" workbookViewId="0">
      <selection activeCell="C749" sqref="C749"/>
    </sheetView>
  </sheetViews>
  <sheetFormatPr baseColWidth="10" defaultColWidth="9.140625" defaultRowHeight="15" x14ac:dyDescent="0.25"/>
  <cols>
    <col min="1" max="1" width="14.140625" bestFit="1" customWidth="1"/>
    <col min="2" max="2" width="14.140625" customWidth="1"/>
    <col min="3" max="3" width="73.140625" bestFit="1" customWidth="1"/>
    <col min="4" max="4" width="23.140625" bestFit="1" customWidth="1"/>
  </cols>
  <sheetData>
    <row r="1" spans="1:3" x14ac:dyDescent="0.25">
      <c r="A1" s="9" t="s">
        <v>160</v>
      </c>
      <c r="B1" s="9" t="s">
        <v>14</v>
      </c>
      <c r="C1" s="9" t="s">
        <v>136</v>
      </c>
    </row>
    <row r="2" spans="1:3" x14ac:dyDescent="0.25">
      <c r="A2" t="s">
        <v>96</v>
      </c>
      <c r="B2" t="s">
        <v>68</v>
      </c>
      <c r="C2" s="65" t="s">
        <v>161</v>
      </c>
    </row>
    <row r="3" spans="1:3" x14ac:dyDescent="0.25">
      <c r="A3" t="s">
        <v>97</v>
      </c>
      <c r="B3" t="s">
        <v>69</v>
      </c>
      <c r="C3" s="65" t="s">
        <v>162</v>
      </c>
    </row>
    <row r="4" spans="1:3" x14ac:dyDescent="0.25">
      <c r="A4" t="s">
        <v>98</v>
      </c>
      <c r="B4" t="s">
        <v>70</v>
      </c>
      <c r="C4" t="s">
        <v>163</v>
      </c>
    </row>
    <row r="5" spans="1:3" x14ac:dyDescent="0.25">
      <c r="A5" t="s">
        <v>99</v>
      </c>
      <c r="B5" t="s">
        <v>71</v>
      </c>
      <c r="C5" t="s">
        <v>164</v>
      </c>
    </row>
    <row r="6" spans="1:3" x14ac:dyDescent="0.25">
      <c r="A6" t="s">
        <v>100</v>
      </c>
      <c r="B6" t="s">
        <v>72</v>
      </c>
      <c r="C6" t="s">
        <v>165</v>
      </c>
    </row>
    <row r="7" spans="1:3" x14ac:dyDescent="0.25">
      <c r="A7" t="s">
        <v>95</v>
      </c>
      <c r="B7" t="s">
        <v>43</v>
      </c>
      <c r="C7" s="65" t="s">
        <v>166</v>
      </c>
    </row>
    <row r="8" spans="1:3" x14ac:dyDescent="0.25">
      <c r="A8" t="s">
        <v>101</v>
      </c>
      <c r="B8" t="s">
        <v>46</v>
      </c>
      <c r="C8" s="65" t="s">
        <v>167</v>
      </c>
    </row>
    <row r="9" spans="1:3" x14ac:dyDescent="0.25">
      <c r="A9" t="s">
        <v>102</v>
      </c>
      <c r="B9" t="s">
        <v>73</v>
      </c>
      <c r="C9" t="s">
        <v>168</v>
      </c>
    </row>
    <row r="10" spans="1:3" x14ac:dyDescent="0.25">
      <c r="A10" t="s">
        <v>103</v>
      </c>
      <c r="B10" t="s">
        <v>74</v>
      </c>
      <c r="C10" t="s">
        <v>169</v>
      </c>
    </row>
    <row r="11" spans="1:3" x14ac:dyDescent="0.25">
      <c r="A11" t="s">
        <v>104</v>
      </c>
      <c r="B11" t="s">
        <v>75</v>
      </c>
      <c r="C11" t="s">
        <v>170</v>
      </c>
    </row>
    <row r="12" spans="1:3" x14ac:dyDescent="0.25">
      <c r="A12" t="s">
        <v>105</v>
      </c>
      <c r="B12" t="s">
        <v>76</v>
      </c>
      <c r="C12" t="s">
        <v>171</v>
      </c>
    </row>
    <row r="13" spans="1:3" x14ac:dyDescent="0.25">
      <c r="A13" t="s">
        <v>106</v>
      </c>
      <c r="B13" t="s">
        <v>77</v>
      </c>
      <c r="C13" t="s">
        <v>172</v>
      </c>
    </row>
    <row r="14" spans="1:3" x14ac:dyDescent="0.25">
      <c r="A14" t="s">
        <v>107</v>
      </c>
      <c r="B14" t="s">
        <v>78</v>
      </c>
      <c r="C14" t="s">
        <v>173</v>
      </c>
    </row>
    <row r="15" spans="1:3" x14ac:dyDescent="0.25">
      <c r="A15" t="s">
        <v>108</v>
      </c>
      <c r="B15" t="s">
        <v>79</v>
      </c>
      <c r="C15" t="s">
        <v>174</v>
      </c>
    </row>
    <row r="16" spans="1:3" x14ac:dyDescent="0.25">
      <c r="A16" t="s">
        <v>109</v>
      </c>
      <c r="B16" t="s">
        <v>80</v>
      </c>
      <c r="C16" t="s">
        <v>175</v>
      </c>
    </row>
    <row r="17" spans="1:3" x14ac:dyDescent="0.25">
      <c r="A17" t="s">
        <v>110</v>
      </c>
      <c r="B17" t="s">
        <v>81</v>
      </c>
      <c r="C17" t="s">
        <v>176</v>
      </c>
    </row>
    <row r="18" spans="1:3" x14ac:dyDescent="0.25">
      <c r="A18" t="s">
        <v>111</v>
      </c>
      <c r="B18" t="s">
        <v>82</v>
      </c>
      <c r="C18" t="s">
        <v>177</v>
      </c>
    </row>
    <row r="19" spans="1:3" x14ac:dyDescent="0.25">
      <c r="A19" t="s">
        <v>112</v>
      </c>
      <c r="B19" t="s">
        <v>44</v>
      </c>
      <c r="C19" t="s">
        <v>178</v>
      </c>
    </row>
    <row r="20" spans="1:3" x14ac:dyDescent="0.25">
      <c r="A20" t="s">
        <v>113</v>
      </c>
      <c r="B20" t="s">
        <v>83</v>
      </c>
      <c r="C20" t="s">
        <v>179</v>
      </c>
    </row>
    <row r="21" spans="1:3" x14ac:dyDescent="0.25">
      <c r="A21" t="s">
        <v>114</v>
      </c>
      <c r="B21" t="s">
        <v>84</v>
      </c>
      <c r="C21" t="s">
        <v>180</v>
      </c>
    </row>
    <row r="22" spans="1:3" x14ac:dyDescent="0.25">
      <c r="A22" t="s">
        <v>115</v>
      </c>
      <c r="B22" t="s">
        <v>85</v>
      </c>
      <c r="C22" t="s">
        <v>181</v>
      </c>
    </row>
    <row r="23" spans="1:3" x14ac:dyDescent="0.25">
      <c r="A23" t="s">
        <v>116</v>
      </c>
      <c r="B23" t="s">
        <v>86</v>
      </c>
      <c r="C23" t="s">
        <v>182</v>
      </c>
    </row>
    <row r="24" spans="1:3" x14ac:dyDescent="0.25">
      <c r="A24" t="s">
        <v>117</v>
      </c>
      <c r="B24" t="s">
        <v>87</v>
      </c>
      <c r="C24" t="s">
        <v>183</v>
      </c>
    </row>
    <row r="25" spans="1:3" x14ac:dyDescent="0.25">
      <c r="A25" t="s">
        <v>118</v>
      </c>
      <c r="B25" t="s">
        <v>88</v>
      </c>
      <c r="C25" t="s">
        <v>184</v>
      </c>
    </row>
    <row r="26" spans="1:3" x14ac:dyDescent="0.25">
      <c r="A26" t="s">
        <v>119</v>
      </c>
      <c r="B26" t="s">
        <v>89</v>
      </c>
      <c r="C26" t="s">
        <v>185</v>
      </c>
    </row>
    <row r="27" spans="1:3" x14ac:dyDescent="0.25">
      <c r="A27" t="s">
        <v>120</v>
      </c>
      <c r="B27" t="s">
        <v>90</v>
      </c>
      <c r="C27" t="s">
        <v>186</v>
      </c>
    </row>
    <row r="29" spans="1:3" x14ac:dyDescent="0.25">
      <c r="A29" s="9" t="s">
        <v>304</v>
      </c>
      <c r="C29" t="s">
        <v>136</v>
      </c>
    </row>
    <row r="30" spans="1:3" x14ac:dyDescent="0.25">
      <c r="A30" t="s">
        <v>160</v>
      </c>
      <c r="B30" t="s">
        <v>122</v>
      </c>
      <c r="C30" t="s">
        <v>136</v>
      </c>
    </row>
    <row r="31" spans="1:3" x14ac:dyDescent="0.25">
      <c r="A31" s="64" t="s">
        <v>299</v>
      </c>
      <c r="C31" t="s">
        <v>298</v>
      </c>
    </row>
    <row r="32" spans="1:3" x14ac:dyDescent="0.25">
      <c r="A32" t="s">
        <v>301</v>
      </c>
      <c r="C32" t="s">
        <v>300</v>
      </c>
    </row>
    <row r="33" spans="1:3" x14ac:dyDescent="0.25">
      <c r="A33" t="s">
        <v>303</v>
      </c>
      <c r="C33" t="s">
        <v>302</v>
      </c>
    </row>
    <row r="35" spans="1:3" x14ac:dyDescent="0.25">
      <c r="A35" s="9" t="s">
        <v>1174</v>
      </c>
    </row>
    <row r="36" spans="1:3" x14ac:dyDescent="0.25">
      <c r="A36" t="s">
        <v>160</v>
      </c>
      <c r="B36" t="s">
        <v>14</v>
      </c>
      <c r="C36" t="s">
        <v>136</v>
      </c>
    </row>
    <row r="37" spans="1:3" x14ac:dyDescent="0.25">
      <c r="A37" t="s">
        <v>329</v>
      </c>
      <c r="B37" t="s">
        <v>330</v>
      </c>
      <c r="C37" t="s">
        <v>331</v>
      </c>
    </row>
    <row r="38" spans="1:3" x14ac:dyDescent="0.25">
      <c r="A38" t="s">
        <v>332</v>
      </c>
      <c r="B38" t="s">
        <v>333</v>
      </c>
      <c r="C38" t="s">
        <v>334</v>
      </c>
    </row>
    <row r="39" spans="1:3" x14ac:dyDescent="0.25">
      <c r="A39" t="s">
        <v>335</v>
      </c>
      <c r="B39" t="s">
        <v>336</v>
      </c>
      <c r="C39" t="s">
        <v>337</v>
      </c>
    </row>
    <row r="40" spans="1:3" x14ac:dyDescent="0.25">
      <c r="A40" t="s">
        <v>338</v>
      </c>
      <c r="B40" t="s">
        <v>339</v>
      </c>
      <c r="C40" t="s">
        <v>340</v>
      </c>
    </row>
    <row r="41" spans="1:3" x14ac:dyDescent="0.25">
      <c r="A41" t="s">
        <v>341</v>
      </c>
      <c r="B41" t="s">
        <v>342</v>
      </c>
      <c r="C41" t="s">
        <v>343</v>
      </c>
    </row>
    <row r="42" spans="1:3" x14ac:dyDescent="0.25">
      <c r="A42" t="s">
        <v>344</v>
      </c>
      <c r="B42" t="s">
        <v>345</v>
      </c>
      <c r="C42" t="s">
        <v>346</v>
      </c>
    </row>
    <row r="43" spans="1:3" x14ac:dyDescent="0.25">
      <c r="A43" t="s">
        <v>347</v>
      </c>
      <c r="B43" t="s">
        <v>348</v>
      </c>
      <c r="C43" t="s">
        <v>349</v>
      </c>
    </row>
    <row r="44" spans="1:3" x14ac:dyDescent="0.25">
      <c r="A44" t="s">
        <v>350</v>
      </c>
      <c r="B44" t="s">
        <v>351</v>
      </c>
      <c r="C44" t="s">
        <v>352</v>
      </c>
    </row>
    <row r="45" spans="1:3" x14ac:dyDescent="0.25">
      <c r="A45" t="s">
        <v>353</v>
      </c>
      <c r="B45" t="s">
        <v>354</v>
      </c>
      <c r="C45" t="s">
        <v>355</v>
      </c>
    </row>
    <row r="46" spans="1:3" x14ac:dyDescent="0.25">
      <c r="A46" t="s">
        <v>356</v>
      </c>
      <c r="B46" t="s">
        <v>357</v>
      </c>
      <c r="C46" t="s">
        <v>358</v>
      </c>
    </row>
    <row r="47" spans="1:3" x14ac:dyDescent="0.25">
      <c r="A47" t="s">
        <v>359</v>
      </c>
      <c r="B47" t="s">
        <v>360</v>
      </c>
      <c r="C47" t="s">
        <v>361</v>
      </c>
    </row>
    <row r="48" spans="1:3" x14ac:dyDescent="0.25">
      <c r="A48" t="s">
        <v>362</v>
      </c>
      <c r="B48" t="s">
        <v>363</v>
      </c>
      <c r="C48" t="s">
        <v>364</v>
      </c>
    </row>
    <row r="49" spans="1:3" x14ac:dyDescent="0.25">
      <c r="A49" t="s">
        <v>365</v>
      </c>
      <c r="B49" t="s">
        <v>366</v>
      </c>
      <c r="C49" t="s">
        <v>367</v>
      </c>
    </row>
    <row r="50" spans="1:3" x14ac:dyDescent="0.25">
      <c r="A50" t="s">
        <v>368</v>
      </c>
      <c r="B50" t="s">
        <v>369</v>
      </c>
      <c r="C50" t="s">
        <v>370</v>
      </c>
    </row>
    <row r="51" spans="1:3" x14ac:dyDescent="0.25">
      <c r="A51" t="s">
        <v>371</v>
      </c>
      <c r="B51" t="s">
        <v>372</v>
      </c>
      <c r="C51" t="s">
        <v>373</v>
      </c>
    </row>
    <row r="52" spans="1:3" x14ac:dyDescent="0.25">
      <c r="A52" t="s">
        <v>374</v>
      </c>
      <c r="B52" t="s">
        <v>375</v>
      </c>
      <c r="C52" t="s">
        <v>376</v>
      </c>
    </row>
    <row r="53" spans="1:3" x14ac:dyDescent="0.25">
      <c r="A53" t="s">
        <v>377</v>
      </c>
      <c r="B53" t="s">
        <v>378</v>
      </c>
      <c r="C53" t="s">
        <v>379</v>
      </c>
    </row>
    <row r="54" spans="1:3" x14ac:dyDescent="0.25">
      <c r="A54" t="s">
        <v>380</v>
      </c>
      <c r="B54" t="s">
        <v>381</v>
      </c>
      <c r="C54" t="s">
        <v>382</v>
      </c>
    </row>
    <row r="55" spans="1:3" x14ac:dyDescent="0.25">
      <c r="A55" t="s">
        <v>383</v>
      </c>
      <c r="B55" t="s">
        <v>384</v>
      </c>
      <c r="C55" t="s">
        <v>385</v>
      </c>
    </row>
    <row r="56" spans="1:3" x14ac:dyDescent="0.25">
      <c r="A56" t="s">
        <v>386</v>
      </c>
      <c r="B56" t="s">
        <v>387</v>
      </c>
      <c r="C56" t="s">
        <v>388</v>
      </c>
    </row>
    <row r="57" spans="1:3" x14ac:dyDescent="0.25">
      <c r="A57" t="s">
        <v>389</v>
      </c>
      <c r="B57" t="s">
        <v>390</v>
      </c>
      <c r="C57" t="s">
        <v>391</v>
      </c>
    </row>
    <row r="58" spans="1:3" x14ac:dyDescent="0.25">
      <c r="A58" t="s">
        <v>389</v>
      </c>
      <c r="B58" t="s">
        <v>392</v>
      </c>
      <c r="C58" t="s">
        <v>393</v>
      </c>
    </row>
    <row r="59" spans="1:3" x14ac:dyDescent="0.25">
      <c r="A59" t="s">
        <v>394</v>
      </c>
      <c r="B59" t="s">
        <v>395</v>
      </c>
      <c r="C59" t="s">
        <v>396</v>
      </c>
    </row>
    <row r="60" spans="1:3" x14ac:dyDescent="0.25">
      <c r="A60" t="s">
        <v>397</v>
      </c>
      <c r="B60" t="s">
        <v>398</v>
      </c>
      <c r="C60" t="s">
        <v>399</v>
      </c>
    </row>
    <row r="61" spans="1:3" x14ac:dyDescent="0.25">
      <c r="A61" t="s">
        <v>400</v>
      </c>
      <c r="B61" t="s">
        <v>401</v>
      </c>
      <c r="C61" t="s">
        <v>402</v>
      </c>
    </row>
    <row r="62" spans="1:3" x14ac:dyDescent="0.25">
      <c r="A62" t="s">
        <v>403</v>
      </c>
      <c r="B62" t="s">
        <v>404</v>
      </c>
      <c r="C62" t="s">
        <v>405</v>
      </c>
    </row>
    <row r="63" spans="1:3" x14ac:dyDescent="0.25">
      <c r="A63" t="s">
        <v>406</v>
      </c>
      <c r="B63" t="s">
        <v>407</v>
      </c>
      <c r="C63" t="s">
        <v>408</v>
      </c>
    </row>
    <row r="64" spans="1:3" x14ac:dyDescent="0.25">
      <c r="A64" t="s">
        <v>409</v>
      </c>
      <c r="B64" t="s">
        <v>410</v>
      </c>
      <c r="C64" t="s">
        <v>411</v>
      </c>
    </row>
    <row r="65" spans="1:3" x14ac:dyDescent="0.25">
      <c r="A65" t="s">
        <v>412</v>
      </c>
      <c r="B65" t="s">
        <v>413</v>
      </c>
      <c r="C65" t="s">
        <v>414</v>
      </c>
    </row>
    <row r="66" spans="1:3" x14ac:dyDescent="0.25">
      <c r="A66" t="s">
        <v>415</v>
      </c>
      <c r="B66" t="s">
        <v>416</v>
      </c>
      <c r="C66" t="s">
        <v>417</v>
      </c>
    </row>
    <row r="67" spans="1:3" x14ac:dyDescent="0.25">
      <c r="A67" t="s">
        <v>418</v>
      </c>
      <c r="B67" t="s">
        <v>419</v>
      </c>
      <c r="C67" t="s">
        <v>420</v>
      </c>
    </row>
    <row r="68" spans="1:3" x14ac:dyDescent="0.25">
      <c r="A68" t="s">
        <v>421</v>
      </c>
      <c r="B68" t="s">
        <v>422</v>
      </c>
      <c r="C68" t="s">
        <v>423</v>
      </c>
    </row>
    <row r="69" spans="1:3" x14ac:dyDescent="0.25">
      <c r="A69" t="s">
        <v>424</v>
      </c>
      <c r="B69" t="s">
        <v>425</v>
      </c>
      <c r="C69" t="s">
        <v>426</v>
      </c>
    </row>
    <row r="70" spans="1:3" x14ac:dyDescent="0.25">
      <c r="A70" t="s">
        <v>427</v>
      </c>
      <c r="B70" t="s">
        <v>428</v>
      </c>
      <c r="C70" t="s">
        <v>429</v>
      </c>
    </row>
    <row r="71" spans="1:3" x14ac:dyDescent="0.25">
      <c r="A71" t="s">
        <v>430</v>
      </c>
      <c r="B71" t="s">
        <v>431</v>
      </c>
      <c r="C71" t="s">
        <v>432</v>
      </c>
    </row>
    <row r="72" spans="1:3" x14ac:dyDescent="0.25">
      <c r="A72" t="s">
        <v>433</v>
      </c>
      <c r="B72" t="s">
        <v>434</v>
      </c>
      <c r="C72" t="s">
        <v>435</v>
      </c>
    </row>
    <row r="73" spans="1:3" x14ac:dyDescent="0.25">
      <c r="A73" t="s">
        <v>436</v>
      </c>
      <c r="B73" t="s">
        <v>437</v>
      </c>
      <c r="C73" t="s">
        <v>438</v>
      </c>
    </row>
    <row r="74" spans="1:3" x14ac:dyDescent="0.25">
      <c r="A74" t="s">
        <v>439</v>
      </c>
      <c r="B74" t="s">
        <v>440</v>
      </c>
      <c r="C74" t="s">
        <v>441</v>
      </c>
    </row>
    <row r="75" spans="1:3" x14ac:dyDescent="0.25">
      <c r="A75" t="s">
        <v>442</v>
      </c>
      <c r="B75" t="s">
        <v>443</v>
      </c>
      <c r="C75" t="s">
        <v>444</v>
      </c>
    </row>
    <row r="76" spans="1:3" x14ac:dyDescent="0.25">
      <c r="A76" t="s">
        <v>445</v>
      </c>
      <c r="B76" t="s">
        <v>446</v>
      </c>
      <c r="C76" t="s">
        <v>447</v>
      </c>
    </row>
    <row r="77" spans="1:3" x14ac:dyDescent="0.25">
      <c r="A77" t="s">
        <v>448</v>
      </c>
      <c r="B77" t="s">
        <v>449</v>
      </c>
      <c r="C77" t="s">
        <v>450</v>
      </c>
    </row>
    <row r="78" spans="1:3" x14ac:dyDescent="0.25">
      <c r="A78" t="s">
        <v>451</v>
      </c>
      <c r="B78" t="s">
        <v>452</v>
      </c>
      <c r="C78" t="s">
        <v>453</v>
      </c>
    </row>
    <row r="79" spans="1:3" x14ac:dyDescent="0.25">
      <c r="A79" t="s">
        <v>454</v>
      </c>
      <c r="B79" t="s">
        <v>455</v>
      </c>
      <c r="C79" t="s">
        <v>456</v>
      </c>
    </row>
    <row r="80" spans="1:3" x14ac:dyDescent="0.25">
      <c r="A80" t="s">
        <v>457</v>
      </c>
      <c r="B80" t="s">
        <v>458</v>
      </c>
      <c r="C80" t="s">
        <v>459</v>
      </c>
    </row>
    <row r="81" spans="1:3" x14ac:dyDescent="0.25">
      <c r="A81" t="s">
        <v>460</v>
      </c>
      <c r="B81" t="s">
        <v>461</v>
      </c>
      <c r="C81" t="s">
        <v>462</v>
      </c>
    </row>
    <row r="82" spans="1:3" x14ac:dyDescent="0.25">
      <c r="A82" t="s">
        <v>463</v>
      </c>
      <c r="B82" t="s">
        <v>464</v>
      </c>
      <c r="C82" t="s">
        <v>465</v>
      </c>
    </row>
    <row r="83" spans="1:3" x14ac:dyDescent="0.25">
      <c r="A83" t="s">
        <v>466</v>
      </c>
      <c r="B83" t="s">
        <v>467</v>
      </c>
      <c r="C83" t="s">
        <v>468</v>
      </c>
    </row>
    <row r="84" spans="1:3" x14ac:dyDescent="0.25">
      <c r="A84" t="s">
        <v>469</v>
      </c>
      <c r="B84" t="s">
        <v>470</v>
      </c>
      <c r="C84" t="s">
        <v>471</v>
      </c>
    </row>
    <row r="85" spans="1:3" x14ac:dyDescent="0.25">
      <c r="A85" t="s">
        <v>472</v>
      </c>
      <c r="B85" t="s">
        <v>473</v>
      </c>
      <c r="C85" t="s">
        <v>474</v>
      </c>
    </row>
    <row r="86" spans="1:3" x14ac:dyDescent="0.25">
      <c r="A86" t="s">
        <v>475</v>
      </c>
      <c r="B86" t="s">
        <v>476</v>
      </c>
      <c r="C86" t="s">
        <v>477</v>
      </c>
    </row>
    <row r="87" spans="1:3" x14ac:dyDescent="0.25">
      <c r="A87" t="s">
        <v>478</v>
      </c>
      <c r="B87" t="s">
        <v>479</v>
      </c>
      <c r="C87" t="s">
        <v>480</v>
      </c>
    </row>
    <row r="88" spans="1:3" x14ac:dyDescent="0.25">
      <c r="A88" t="s">
        <v>481</v>
      </c>
      <c r="B88" t="s">
        <v>482</v>
      </c>
      <c r="C88" t="s">
        <v>483</v>
      </c>
    </row>
    <row r="89" spans="1:3" x14ac:dyDescent="0.25">
      <c r="A89" t="s">
        <v>484</v>
      </c>
      <c r="B89" t="s">
        <v>485</v>
      </c>
      <c r="C89" t="s">
        <v>486</v>
      </c>
    </row>
    <row r="90" spans="1:3" x14ac:dyDescent="0.25">
      <c r="A90" t="s">
        <v>487</v>
      </c>
      <c r="B90" t="s">
        <v>488</v>
      </c>
      <c r="C90" t="s">
        <v>489</v>
      </c>
    </row>
    <row r="91" spans="1:3" x14ac:dyDescent="0.25">
      <c r="A91" t="s">
        <v>490</v>
      </c>
      <c r="B91" t="s">
        <v>491</v>
      </c>
      <c r="C91" t="s">
        <v>492</v>
      </c>
    </row>
    <row r="92" spans="1:3" x14ac:dyDescent="0.25">
      <c r="A92" t="s">
        <v>493</v>
      </c>
      <c r="B92" t="s">
        <v>494</v>
      </c>
      <c r="C92" t="s">
        <v>495</v>
      </c>
    </row>
    <row r="93" spans="1:3" x14ac:dyDescent="0.25">
      <c r="A93" t="s">
        <v>496</v>
      </c>
      <c r="B93" t="s">
        <v>497</v>
      </c>
      <c r="C93" t="s">
        <v>498</v>
      </c>
    </row>
    <row r="94" spans="1:3" x14ac:dyDescent="0.25">
      <c r="A94" t="s">
        <v>499</v>
      </c>
      <c r="B94" t="s">
        <v>500</v>
      </c>
      <c r="C94" t="s">
        <v>501</v>
      </c>
    </row>
    <row r="95" spans="1:3" x14ac:dyDescent="0.25">
      <c r="A95" t="s">
        <v>502</v>
      </c>
      <c r="B95" t="s">
        <v>503</v>
      </c>
      <c r="C95" t="s">
        <v>504</v>
      </c>
    </row>
    <row r="96" spans="1:3" x14ac:dyDescent="0.25">
      <c r="A96" t="s">
        <v>505</v>
      </c>
      <c r="B96" t="s">
        <v>506</v>
      </c>
      <c r="C96" t="s">
        <v>507</v>
      </c>
    </row>
    <row r="97" spans="1:3" x14ac:dyDescent="0.25">
      <c r="A97" t="s">
        <v>508</v>
      </c>
      <c r="B97" t="s">
        <v>509</v>
      </c>
      <c r="C97" t="s">
        <v>510</v>
      </c>
    </row>
    <row r="98" spans="1:3" x14ac:dyDescent="0.25">
      <c r="A98" t="s">
        <v>511</v>
      </c>
      <c r="B98" t="s">
        <v>512</v>
      </c>
      <c r="C98" t="s">
        <v>513</v>
      </c>
    </row>
    <row r="99" spans="1:3" x14ac:dyDescent="0.25">
      <c r="A99" t="s">
        <v>514</v>
      </c>
      <c r="B99" t="s">
        <v>515</v>
      </c>
      <c r="C99" t="s">
        <v>516</v>
      </c>
    </row>
    <row r="100" spans="1:3" x14ac:dyDescent="0.25">
      <c r="A100" t="s">
        <v>517</v>
      </c>
      <c r="B100" t="s">
        <v>518</v>
      </c>
      <c r="C100" t="s">
        <v>519</v>
      </c>
    </row>
    <row r="101" spans="1:3" x14ac:dyDescent="0.25">
      <c r="A101" t="s">
        <v>520</v>
      </c>
      <c r="B101" t="s">
        <v>521</v>
      </c>
      <c r="C101" t="s">
        <v>522</v>
      </c>
    </row>
    <row r="102" spans="1:3" x14ac:dyDescent="0.25">
      <c r="A102" t="s">
        <v>523</v>
      </c>
      <c r="B102" t="s">
        <v>524</v>
      </c>
      <c r="C102" t="s">
        <v>525</v>
      </c>
    </row>
    <row r="103" spans="1:3" x14ac:dyDescent="0.25">
      <c r="A103" t="s">
        <v>526</v>
      </c>
      <c r="B103" t="s">
        <v>527</v>
      </c>
      <c r="C103" t="s">
        <v>528</v>
      </c>
    </row>
    <row r="104" spans="1:3" x14ac:dyDescent="0.25">
      <c r="A104" t="s">
        <v>529</v>
      </c>
      <c r="B104" t="s">
        <v>530</v>
      </c>
      <c r="C104" t="s">
        <v>531</v>
      </c>
    </row>
    <row r="105" spans="1:3" x14ac:dyDescent="0.25">
      <c r="A105" t="s">
        <v>532</v>
      </c>
      <c r="B105" t="s">
        <v>533</v>
      </c>
      <c r="C105" t="s">
        <v>534</v>
      </c>
    </row>
    <row r="106" spans="1:3" x14ac:dyDescent="0.25">
      <c r="A106" t="s">
        <v>535</v>
      </c>
      <c r="B106" t="s">
        <v>536</v>
      </c>
      <c r="C106" t="s">
        <v>537</v>
      </c>
    </row>
    <row r="107" spans="1:3" x14ac:dyDescent="0.25">
      <c r="A107" t="s">
        <v>538</v>
      </c>
      <c r="B107" t="s">
        <v>539</v>
      </c>
      <c r="C107" t="s">
        <v>540</v>
      </c>
    </row>
    <row r="108" spans="1:3" x14ac:dyDescent="0.25">
      <c r="A108" t="s">
        <v>541</v>
      </c>
      <c r="B108" t="s">
        <v>542</v>
      </c>
      <c r="C108" t="s">
        <v>543</v>
      </c>
    </row>
    <row r="109" spans="1:3" x14ac:dyDescent="0.25">
      <c r="A109" t="s">
        <v>544</v>
      </c>
      <c r="B109" t="s">
        <v>545</v>
      </c>
      <c r="C109" t="s">
        <v>546</v>
      </c>
    </row>
    <row r="110" spans="1:3" x14ac:dyDescent="0.25">
      <c r="A110" t="s">
        <v>547</v>
      </c>
      <c r="B110" t="s">
        <v>548</v>
      </c>
      <c r="C110" t="s">
        <v>549</v>
      </c>
    </row>
    <row r="111" spans="1:3" x14ac:dyDescent="0.25">
      <c r="A111" t="s">
        <v>550</v>
      </c>
      <c r="B111" t="s">
        <v>551</v>
      </c>
      <c r="C111" t="s">
        <v>552</v>
      </c>
    </row>
    <row r="112" spans="1:3" x14ac:dyDescent="0.25">
      <c r="A112" t="s">
        <v>553</v>
      </c>
      <c r="B112" t="s">
        <v>554</v>
      </c>
      <c r="C112" t="s">
        <v>555</v>
      </c>
    </row>
    <row r="113" spans="1:3" x14ac:dyDescent="0.25">
      <c r="A113" t="s">
        <v>556</v>
      </c>
      <c r="B113" t="s">
        <v>557</v>
      </c>
      <c r="C113" t="s">
        <v>558</v>
      </c>
    </row>
    <row r="114" spans="1:3" x14ac:dyDescent="0.25">
      <c r="A114" t="s">
        <v>559</v>
      </c>
      <c r="B114" t="s">
        <v>560</v>
      </c>
      <c r="C114" t="s">
        <v>561</v>
      </c>
    </row>
    <row r="115" spans="1:3" x14ac:dyDescent="0.25">
      <c r="A115" t="s">
        <v>562</v>
      </c>
      <c r="B115" t="s">
        <v>563</v>
      </c>
      <c r="C115" t="s">
        <v>564</v>
      </c>
    </row>
    <row r="116" spans="1:3" x14ac:dyDescent="0.25">
      <c r="A116" t="s">
        <v>565</v>
      </c>
      <c r="B116" t="s">
        <v>566</v>
      </c>
      <c r="C116" t="s">
        <v>567</v>
      </c>
    </row>
    <row r="117" spans="1:3" x14ac:dyDescent="0.25">
      <c r="A117" t="s">
        <v>568</v>
      </c>
      <c r="B117" t="s">
        <v>569</v>
      </c>
      <c r="C117" t="s">
        <v>570</v>
      </c>
    </row>
    <row r="118" spans="1:3" x14ac:dyDescent="0.25">
      <c r="A118" t="s">
        <v>571</v>
      </c>
      <c r="B118" t="s">
        <v>572</v>
      </c>
      <c r="C118" t="s">
        <v>573</v>
      </c>
    </row>
    <row r="119" spans="1:3" x14ac:dyDescent="0.25">
      <c r="A119" t="s">
        <v>574</v>
      </c>
      <c r="B119" t="s">
        <v>575</v>
      </c>
      <c r="C119" t="s">
        <v>576</v>
      </c>
    </row>
    <row r="120" spans="1:3" x14ac:dyDescent="0.25">
      <c r="A120" t="s">
        <v>577</v>
      </c>
      <c r="B120" t="s">
        <v>578</v>
      </c>
      <c r="C120" t="s">
        <v>579</v>
      </c>
    </row>
    <row r="121" spans="1:3" x14ac:dyDescent="0.25">
      <c r="A121" t="s">
        <v>580</v>
      </c>
      <c r="B121" t="s">
        <v>581</v>
      </c>
      <c r="C121" t="s">
        <v>582</v>
      </c>
    </row>
    <row r="122" spans="1:3" x14ac:dyDescent="0.25">
      <c r="A122" t="s">
        <v>583</v>
      </c>
      <c r="B122" t="s">
        <v>584</v>
      </c>
      <c r="C122" t="s">
        <v>585</v>
      </c>
    </row>
    <row r="123" spans="1:3" x14ac:dyDescent="0.25">
      <c r="A123" t="s">
        <v>586</v>
      </c>
      <c r="B123" t="s">
        <v>587</v>
      </c>
      <c r="C123" t="s">
        <v>588</v>
      </c>
    </row>
    <row r="124" spans="1:3" x14ac:dyDescent="0.25">
      <c r="A124" t="s">
        <v>589</v>
      </c>
      <c r="B124" t="s">
        <v>590</v>
      </c>
      <c r="C124" t="s">
        <v>591</v>
      </c>
    </row>
    <row r="125" spans="1:3" x14ac:dyDescent="0.25">
      <c r="A125" t="s">
        <v>592</v>
      </c>
      <c r="B125" t="s">
        <v>593</v>
      </c>
      <c r="C125" t="s">
        <v>594</v>
      </c>
    </row>
    <row r="126" spans="1:3" x14ac:dyDescent="0.25">
      <c r="A126" t="s">
        <v>595</v>
      </c>
      <c r="B126" t="s">
        <v>596</v>
      </c>
      <c r="C126" t="s">
        <v>597</v>
      </c>
    </row>
    <row r="127" spans="1:3" x14ac:dyDescent="0.25">
      <c r="A127" t="s">
        <v>598</v>
      </c>
      <c r="B127" t="s">
        <v>599</v>
      </c>
      <c r="C127" t="s">
        <v>600</v>
      </c>
    </row>
    <row r="128" spans="1:3" x14ac:dyDescent="0.25">
      <c r="A128" t="s">
        <v>601</v>
      </c>
      <c r="B128" t="s">
        <v>602</v>
      </c>
      <c r="C128" t="s">
        <v>603</v>
      </c>
    </row>
    <row r="129" spans="1:3" x14ac:dyDescent="0.25">
      <c r="A129" t="s">
        <v>604</v>
      </c>
      <c r="B129" t="s">
        <v>605</v>
      </c>
      <c r="C129" t="s">
        <v>606</v>
      </c>
    </row>
    <row r="130" spans="1:3" x14ac:dyDescent="0.25">
      <c r="A130" t="s">
        <v>607</v>
      </c>
      <c r="B130" t="s">
        <v>608</v>
      </c>
      <c r="C130" t="s">
        <v>609</v>
      </c>
    </row>
    <row r="131" spans="1:3" x14ac:dyDescent="0.25">
      <c r="A131" t="s">
        <v>610</v>
      </c>
      <c r="B131" t="s">
        <v>611</v>
      </c>
      <c r="C131" t="s">
        <v>612</v>
      </c>
    </row>
    <row r="132" spans="1:3" x14ac:dyDescent="0.25">
      <c r="A132" t="s">
        <v>613</v>
      </c>
      <c r="B132" t="s">
        <v>614</v>
      </c>
      <c r="C132" t="s">
        <v>615</v>
      </c>
    </row>
    <row r="133" spans="1:3" x14ac:dyDescent="0.25">
      <c r="A133" t="s">
        <v>616</v>
      </c>
      <c r="B133" t="s">
        <v>617</v>
      </c>
      <c r="C133" t="s">
        <v>618</v>
      </c>
    </row>
    <row r="134" spans="1:3" x14ac:dyDescent="0.25">
      <c r="A134" t="s">
        <v>619</v>
      </c>
      <c r="B134" t="s">
        <v>620</v>
      </c>
      <c r="C134" t="s">
        <v>621</v>
      </c>
    </row>
    <row r="135" spans="1:3" x14ac:dyDescent="0.25">
      <c r="A135" t="s">
        <v>622</v>
      </c>
      <c r="B135" t="s">
        <v>623</v>
      </c>
      <c r="C135" t="s">
        <v>624</v>
      </c>
    </row>
    <row r="136" spans="1:3" x14ac:dyDescent="0.25">
      <c r="A136" t="s">
        <v>625</v>
      </c>
      <c r="B136" t="s">
        <v>626</v>
      </c>
      <c r="C136" t="s">
        <v>627</v>
      </c>
    </row>
    <row r="137" spans="1:3" x14ac:dyDescent="0.25">
      <c r="A137" t="s">
        <v>628</v>
      </c>
      <c r="B137" t="s">
        <v>629</v>
      </c>
      <c r="C137" t="s">
        <v>630</v>
      </c>
    </row>
    <row r="138" spans="1:3" x14ac:dyDescent="0.25">
      <c r="A138" t="s">
        <v>631</v>
      </c>
      <c r="B138" t="s">
        <v>632</v>
      </c>
      <c r="C138" t="s">
        <v>633</v>
      </c>
    </row>
    <row r="139" spans="1:3" x14ac:dyDescent="0.25">
      <c r="A139" t="s">
        <v>634</v>
      </c>
      <c r="B139" t="s">
        <v>635</v>
      </c>
      <c r="C139" t="s">
        <v>636</v>
      </c>
    </row>
    <row r="140" spans="1:3" x14ac:dyDescent="0.25">
      <c r="A140" t="s">
        <v>637</v>
      </c>
      <c r="B140" t="s">
        <v>638</v>
      </c>
      <c r="C140" t="s">
        <v>639</v>
      </c>
    </row>
    <row r="141" spans="1:3" x14ac:dyDescent="0.25">
      <c r="A141" t="s">
        <v>640</v>
      </c>
      <c r="B141" t="s">
        <v>641</v>
      </c>
      <c r="C141" t="s">
        <v>642</v>
      </c>
    </row>
    <row r="142" spans="1:3" x14ac:dyDescent="0.25">
      <c r="A142" t="s">
        <v>643</v>
      </c>
      <c r="B142" t="s">
        <v>644</v>
      </c>
      <c r="C142" t="s">
        <v>645</v>
      </c>
    </row>
    <row r="143" spans="1:3" x14ac:dyDescent="0.25">
      <c r="A143" t="s">
        <v>646</v>
      </c>
      <c r="B143" t="s">
        <v>647</v>
      </c>
      <c r="C143" t="s">
        <v>648</v>
      </c>
    </row>
    <row r="144" spans="1:3" x14ac:dyDescent="0.25">
      <c r="A144" t="s">
        <v>649</v>
      </c>
      <c r="B144" t="s">
        <v>650</v>
      </c>
      <c r="C144" t="s">
        <v>651</v>
      </c>
    </row>
    <row r="145" spans="1:3" x14ac:dyDescent="0.25">
      <c r="A145" t="s">
        <v>652</v>
      </c>
      <c r="B145" t="s">
        <v>653</v>
      </c>
      <c r="C145" t="s">
        <v>654</v>
      </c>
    </row>
    <row r="146" spans="1:3" x14ac:dyDescent="0.25">
      <c r="A146" t="s">
        <v>655</v>
      </c>
      <c r="B146" t="s">
        <v>656</v>
      </c>
      <c r="C146" t="s">
        <v>657</v>
      </c>
    </row>
    <row r="147" spans="1:3" x14ac:dyDescent="0.25">
      <c r="A147" t="s">
        <v>658</v>
      </c>
      <c r="B147" t="s">
        <v>659</v>
      </c>
      <c r="C147" t="s">
        <v>660</v>
      </c>
    </row>
    <row r="148" spans="1:3" x14ac:dyDescent="0.25">
      <c r="A148" t="s">
        <v>661</v>
      </c>
      <c r="B148" t="s">
        <v>662</v>
      </c>
      <c r="C148" t="s">
        <v>663</v>
      </c>
    </row>
    <row r="149" spans="1:3" x14ac:dyDescent="0.25">
      <c r="A149" t="s">
        <v>664</v>
      </c>
      <c r="B149" t="s">
        <v>665</v>
      </c>
      <c r="C149" t="s">
        <v>666</v>
      </c>
    </row>
    <row r="150" spans="1:3" x14ac:dyDescent="0.25">
      <c r="A150" t="s">
        <v>667</v>
      </c>
      <c r="B150" t="s">
        <v>668</v>
      </c>
      <c r="C150" t="s">
        <v>669</v>
      </c>
    </row>
    <row r="151" spans="1:3" x14ac:dyDescent="0.25">
      <c r="A151" t="s">
        <v>670</v>
      </c>
      <c r="B151" t="s">
        <v>671</v>
      </c>
      <c r="C151" t="s">
        <v>672</v>
      </c>
    </row>
    <row r="152" spans="1:3" x14ac:dyDescent="0.25">
      <c r="A152" t="s">
        <v>673</v>
      </c>
      <c r="B152" t="s">
        <v>674</v>
      </c>
      <c r="C152" t="s">
        <v>675</v>
      </c>
    </row>
    <row r="153" spans="1:3" x14ac:dyDescent="0.25">
      <c r="A153" t="s">
        <v>676</v>
      </c>
      <c r="B153" t="s">
        <v>677</v>
      </c>
      <c r="C153" t="s">
        <v>678</v>
      </c>
    </row>
    <row r="154" spans="1:3" x14ac:dyDescent="0.25">
      <c r="A154" t="s">
        <v>679</v>
      </c>
      <c r="B154" t="s">
        <v>680</v>
      </c>
      <c r="C154" t="s">
        <v>681</v>
      </c>
    </row>
    <row r="155" spans="1:3" x14ac:dyDescent="0.25">
      <c r="A155" t="s">
        <v>682</v>
      </c>
      <c r="B155" t="s">
        <v>683</v>
      </c>
      <c r="C155" t="s">
        <v>684</v>
      </c>
    </row>
    <row r="156" spans="1:3" x14ac:dyDescent="0.25">
      <c r="A156" t="s">
        <v>685</v>
      </c>
      <c r="B156" t="s">
        <v>686</v>
      </c>
      <c r="C156" t="s">
        <v>687</v>
      </c>
    </row>
    <row r="157" spans="1:3" x14ac:dyDescent="0.25">
      <c r="A157" t="s">
        <v>688</v>
      </c>
      <c r="B157" t="s">
        <v>689</v>
      </c>
      <c r="C157" t="s">
        <v>690</v>
      </c>
    </row>
    <row r="158" spans="1:3" x14ac:dyDescent="0.25">
      <c r="A158" t="s">
        <v>691</v>
      </c>
      <c r="B158" t="s">
        <v>692</v>
      </c>
      <c r="C158" t="s">
        <v>693</v>
      </c>
    </row>
    <row r="159" spans="1:3" x14ac:dyDescent="0.25">
      <c r="A159" t="s">
        <v>694</v>
      </c>
      <c r="B159" t="s">
        <v>695</v>
      </c>
      <c r="C159" t="s">
        <v>696</v>
      </c>
    </row>
    <row r="160" spans="1:3" x14ac:dyDescent="0.25">
      <c r="A160" t="s">
        <v>697</v>
      </c>
      <c r="B160" t="s">
        <v>698</v>
      </c>
      <c r="C160" t="s">
        <v>699</v>
      </c>
    </row>
    <row r="161" spans="1:3" x14ac:dyDescent="0.25">
      <c r="A161" t="s">
        <v>700</v>
      </c>
      <c r="B161" t="s">
        <v>701</v>
      </c>
      <c r="C161" t="s">
        <v>702</v>
      </c>
    </row>
    <row r="162" spans="1:3" x14ac:dyDescent="0.25">
      <c r="A162" t="s">
        <v>703</v>
      </c>
      <c r="B162" t="s">
        <v>704</v>
      </c>
      <c r="C162" t="s">
        <v>705</v>
      </c>
    </row>
    <row r="163" spans="1:3" x14ac:dyDescent="0.25">
      <c r="A163" t="s">
        <v>706</v>
      </c>
      <c r="B163" t="s">
        <v>707</v>
      </c>
      <c r="C163" t="s">
        <v>708</v>
      </c>
    </row>
    <row r="164" spans="1:3" x14ac:dyDescent="0.25">
      <c r="A164" t="s">
        <v>709</v>
      </c>
      <c r="B164" t="s">
        <v>710</v>
      </c>
      <c r="C164" t="s">
        <v>711</v>
      </c>
    </row>
    <row r="165" spans="1:3" x14ac:dyDescent="0.25">
      <c r="A165" t="s">
        <v>712</v>
      </c>
      <c r="B165" t="s">
        <v>713</v>
      </c>
      <c r="C165" t="s">
        <v>714</v>
      </c>
    </row>
    <row r="166" spans="1:3" x14ac:dyDescent="0.25">
      <c r="A166" t="s">
        <v>715</v>
      </c>
      <c r="B166" t="s">
        <v>716</v>
      </c>
      <c r="C166" t="s">
        <v>717</v>
      </c>
    </row>
    <row r="167" spans="1:3" x14ac:dyDescent="0.25">
      <c r="A167" t="s">
        <v>718</v>
      </c>
      <c r="B167" t="s">
        <v>719</v>
      </c>
      <c r="C167" t="s">
        <v>720</v>
      </c>
    </row>
    <row r="168" spans="1:3" x14ac:dyDescent="0.25">
      <c r="A168" t="s">
        <v>721</v>
      </c>
      <c r="B168" t="s">
        <v>722</v>
      </c>
      <c r="C168" t="s">
        <v>723</v>
      </c>
    </row>
    <row r="169" spans="1:3" x14ac:dyDescent="0.25">
      <c r="A169" t="s">
        <v>724</v>
      </c>
      <c r="B169" t="s">
        <v>725</v>
      </c>
      <c r="C169" t="s">
        <v>726</v>
      </c>
    </row>
    <row r="170" spans="1:3" x14ac:dyDescent="0.25">
      <c r="A170" t="s">
        <v>727</v>
      </c>
      <c r="B170" t="s">
        <v>728</v>
      </c>
      <c r="C170" t="s">
        <v>729</v>
      </c>
    </row>
    <row r="171" spans="1:3" x14ac:dyDescent="0.25">
      <c r="A171" t="s">
        <v>730</v>
      </c>
      <c r="B171" t="s">
        <v>731</v>
      </c>
      <c r="C171" t="s">
        <v>732</v>
      </c>
    </row>
    <row r="172" spans="1:3" x14ac:dyDescent="0.25">
      <c r="A172" t="s">
        <v>733</v>
      </c>
      <c r="B172" t="s">
        <v>734</v>
      </c>
      <c r="C172" t="s">
        <v>735</v>
      </c>
    </row>
    <row r="173" spans="1:3" x14ac:dyDescent="0.25">
      <c r="A173" t="s">
        <v>736</v>
      </c>
      <c r="B173" t="s">
        <v>737</v>
      </c>
      <c r="C173" t="s">
        <v>738</v>
      </c>
    </row>
    <row r="174" spans="1:3" x14ac:dyDescent="0.25">
      <c r="A174" t="s">
        <v>739</v>
      </c>
      <c r="B174" t="s">
        <v>740</v>
      </c>
      <c r="C174" t="s">
        <v>741</v>
      </c>
    </row>
    <row r="175" spans="1:3" x14ac:dyDescent="0.25">
      <c r="A175" t="s">
        <v>742</v>
      </c>
      <c r="B175" t="s">
        <v>743</v>
      </c>
      <c r="C175" t="s">
        <v>744</v>
      </c>
    </row>
    <row r="176" spans="1:3" x14ac:dyDescent="0.25">
      <c r="A176" t="s">
        <v>745</v>
      </c>
      <c r="B176" t="s">
        <v>746</v>
      </c>
      <c r="C176" t="s">
        <v>747</v>
      </c>
    </row>
    <row r="177" spans="1:3" x14ac:dyDescent="0.25">
      <c r="A177" t="s">
        <v>748</v>
      </c>
      <c r="B177" t="s">
        <v>749</v>
      </c>
      <c r="C177" t="s">
        <v>750</v>
      </c>
    </row>
    <row r="178" spans="1:3" x14ac:dyDescent="0.25">
      <c r="A178" t="s">
        <v>751</v>
      </c>
      <c r="B178" t="s">
        <v>752</v>
      </c>
      <c r="C178" t="s">
        <v>753</v>
      </c>
    </row>
    <row r="179" spans="1:3" x14ac:dyDescent="0.25">
      <c r="A179" t="s">
        <v>754</v>
      </c>
      <c r="B179" t="s">
        <v>755</v>
      </c>
      <c r="C179" t="s">
        <v>756</v>
      </c>
    </row>
    <row r="180" spans="1:3" x14ac:dyDescent="0.25">
      <c r="A180" t="s">
        <v>757</v>
      </c>
      <c r="B180" t="s">
        <v>758</v>
      </c>
      <c r="C180" t="s">
        <v>759</v>
      </c>
    </row>
    <row r="181" spans="1:3" x14ac:dyDescent="0.25">
      <c r="A181" t="s">
        <v>760</v>
      </c>
      <c r="B181" t="s">
        <v>761</v>
      </c>
      <c r="C181" t="s">
        <v>762</v>
      </c>
    </row>
    <row r="182" spans="1:3" x14ac:dyDescent="0.25">
      <c r="A182" t="s">
        <v>763</v>
      </c>
      <c r="B182" t="s">
        <v>764</v>
      </c>
      <c r="C182" t="s">
        <v>765</v>
      </c>
    </row>
    <row r="183" spans="1:3" x14ac:dyDescent="0.25">
      <c r="A183" t="s">
        <v>766</v>
      </c>
      <c r="B183" t="s">
        <v>767</v>
      </c>
      <c r="C183" t="s">
        <v>768</v>
      </c>
    </row>
    <row r="184" spans="1:3" x14ac:dyDescent="0.25">
      <c r="A184" t="s">
        <v>769</v>
      </c>
      <c r="B184" t="s">
        <v>770</v>
      </c>
      <c r="C184" t="s">
        <v>771</v>
      </c>
    </row>
    <row r="185" spans="1:3" x14ac:dyDescent="0.25">
      <c r="A185" t="s">
        <v>772</v>
      </c>
      <c r="B185" t="s">
        <v>773</v>
      </c>
      <c r="C185" t="s">
        <v>774</v>
      </c>
    </row>
    <row r="186" spans="1:3" x14ac:dyDescent="0.25">
      <c r="A186" t="s">
        <v>775</v>
      </c>
      <c r="B186" t="s">
        <v>776</v>
      </c>
      <c r="C186" t="s">
        <v>777</v>
      </c>
    </row>
    <row r="187" spans="1:3" x14ac:dyDescent="0.25">
      <c r="A187" t="s">
        <v>778</v>
      </c>
      <c r="B187" t="s">
        <v>779</v>
      </c>
      <c r="C187" t="s">
        <v>780</v>
      </c>
    </row>
    <row r="188" spans="1:3" x14ac:dyDescent="0.25">
      <c r="A188" t="s">
        <v>781</v>
      </c>
      <c r="B188" t="s">
        <v>782</v>
      </c>
      <c r="C188" t="s">
        <v>783</v>
      </c>
    </row>
    <row r="189" spans="1:3" x14ac:dyDescent="0.25">
      <c r="A189" t="s">
        <v>784</v>
      </c>
      <c r="B189" t="s">
        <v>785</v>
      </c>
      <c r="C189" t="s">
        <v>786</v>
      </c>
    </row>
    <row r="190" spans="1:3" x14ac:dyDescent="0.25">
      <c r="A190" t="s">
        <v>787</v>
      </c>
      <c r="B190" t="s">
        <v>788</v>
      </c>
      <c r="C190" t="s">
        <v>789</v>
      </c>
    </row>
    <row r="191" spans="1:3" x14ac:dyDescent="0.25">
      <c r="A191" t="s">
        <v>790</v>
      </c>
      <c r="B191" t="s">
        <v>791</v>
      </c>
      <c r="C191" t="s">
        <v>792</v>
      </c>
    </row>
    <row r="192" spans="1:3" x14ac:dyDescent="0.25">
      <c r="A192" t="s">
        <v>793</v>
      </c>
      <c r="B192" t="s">
        <v>794</v>
      </c>
      <c r="C192" t="s">
        <v>795</v>
      </c>
    </row>
    <row r="193" spans="1:3" x14ac:dyDescent="0.25">
      <c r="A193" t="s">
        <v>796</v>
      </c>
      <c r="B193" t="s">
        <v>797</v>
      </c>
      <c r="C193" t="s">
        <v>798</v>
      </c>
    </row>
    <row r="194" spans="1:3" x14ac:dyDescent="0.25">
      <c r="A194" t="s">
        <v>799</v>
      </c>
      <c r="B194" t="s">
        <v>800</v>
      </c>
      <c r="C194" t="s">
        <v>801</v>
      </c>
    </row>
    <row r="195" spans="1:3" x14ac:dyDescent="0.25">
      <c r="A195" t="s">
        <v>802</v>
      </c>
      <c r="B195" t="s">
        <v>803</v>
      </c>
      <c r="C195" t="s">
        <v>804</v>
      </c>
    </row>
    <row r="196" spans="1:3" x14ac:dyDescent="0.25">
      <c r="A196" t="s">
        <v>805</v>
      </c>
      <c r="B196" t="s">
        <v>806</v>
      </c>
      <c r="C196" t="s">
        <v>807</v>
      </c>
    </row>
    <row r="197" spans="1:3" x14ac:dyDescent="0.25">
      <c r="A197" t="s">
        <v>808</v>
      </c>
      <c r="B197" t="s">
        <v>809</v>
      </c>
      <c r="C197" t="s">
        <v>810</v>
      </c>
    </row>
    <row r="198" spans="1:3" x14ac:dyDescent="0.25">
      <c r="A198" t="s">
        <v>811</v>
      </c>
      <c r="B198" t="s">
        <v>812</v>
      </c>
      <c r="C198" t="s">
        <v>813</v>
      </c>
    </row>
    <row r="199" spans="1:3" x14ac:dyDescent="0.25">
      <c r="A199" t="s">
        <v>814</v>
      </c>
      <c r="B199" t="s">
        <v>815</v>
      </c>
      <c r="C199" t="s">
        <v>816</v>
      </c>
    </row>
    <row r="200" spans="1:3" x14ac:dyDescent="0.25">
      <c r="A200" t="s">
        <v>817</v>
      </c>
      <c r="B200" t="s">
        <v>818</v>
      </c>
      <c r="C200" t="s">
        <v>819</v>
      </c>
    </row>
    <row r="201" spans="1:3" x14ac:dyDescent="0.25">
      <c r="A201" t="s">
        <v>820</v>
      </c>
      <c r="B201" t="s">
        <v>821</v>
      </c>
      <c r="C201" t="s">
        <v>822</v>
      </c>
    </row>
    <row r="202" spans="1:3" x14ac:dyDescent="0.25">
      <c r="A202" t="s">
        <v>823</v>
      </c>
      <c r="B202" t="s">
        <v>824</v>
      </c>
      <c r="C202" t="s">
        <v>825</v>
      </c>
    </row>
    <row r="203" spans="1:3" x14ac:dyDescent="0.25">
      <c r="A203" t="s">
        <v>826</v>
      </c>
      <c r="B203" t="s">
        <v>827</v>
      </c>
      <c r="C203" t="s">
        <v>828</v>
      </c>
    </row>
    <row r="204" spans="1:3" x14ac:dyDescent="0.25">
      <c r="A204" t="s">
        <v>829</v>
      </c>
      <c r="B204" t="s">
        <v>830</v>
      </c>
      <c r="C204" t="s">
        <v>831</v>
      </c>
    </row>
    <row r="205" spans="1:3" x14ac:dyDescent="0.25">
      <c r="A205" t="s">
        <v>832</v>
      </c>
      <c r="B205" t="s">
        <v>833</v>
      </c>
      <c r="C205" t="s">
        <v>834</v>
      </c>
    </row>
    <row r="206" spans="1:3" x14ac:dyDescent="0.25">
      <c r="A206" t="s">
        <v>835</v>
      </c>
      <c r="B206" t="s">
        <v>836</v>
      </c>
      <c r="C206" t="s">
        <v>837</v>
      </c>
    </row>
    <row r="207" spans="1:3" x14ac:dyDescent="0.25">
      <c r="A207" t="s">
        <v>838</v>
      </c>
      <c r="B207" t="s">
        <v>839</v>
      </c>
      <c r="C207" t="s">
        <v>840</v>
      </c>
    </row>
    <row r="208" spans="1:3" x14ac:dyDescent="0.25">
      <c r="A208" t="s">
        <v>841</v>
      </c>
      <c r="B208" t="s">
        <v>842</v>
      </c>
      <c r="C208" t="s">
        <v>843</v>
      </c>
    </row>
    <row r="209" spans="1:3" x14ac:dyDescent="0.25">
      <c r="A209" t="s">
        <v>844</v>
      </c>
      <c r="B209" t="s">
        <v>845</v>
      </c>
      <c r="C209" t="s">
        <v>846</v>
      </c>
    </row>
    <row r="210" spans="1:3" x14ac:dyDescent="0.25">
      <c r="A210" t="s">
        <v>847</v>
      </c>
      <c r="B210" t="s">
        <v>848</v>
      </c>
      <c r="C210" t="s">
        <v>849</v>
      </c>
    </row>
    <row r="211" spans="1:3" x14ac:dyDescent="0.25">
      <c r="A211" t="s">
        <v>850</v>
      </c>
      <c r="B211" t="s">
        <v>851</v>
      </c>
      <c r="C211" t="s">
        <v>852</v>
      </c>
    </row>
    <row r="212" spans="1:3" x14ac:dyDescent="0.25">
      <c r="A212" t="s">
        <v>853</v>
      </c>
      <c r="B212" t="s">
        <v>854</v>
      </c>
      <c r="C212" t="s">
        <v>855</v>
      </c>
    </row>
    <row r="213" spans="1:3" x14ac:dyDescent="0.25">
      <c r="A213" t="s">
        <v>856</v>
      </c>
      <c r="B213" t="s">
        <v>857</v>
      </c>
      <c r="C213" t="s">
        <v>858</v>
      </c>
    </row>
    <row r="214" spans="1:3" x14ac:dyDescent="0.25">
      <c r="A214" t="s">
        <v>859</v>
      </c>
      <c r="B214" t="s">
        <v>860</v>
      </c>
      <c r="C214" t="s">
        <v>861</v>
      </c>
    </row>
    <row r="215" spans="1:3" x14ac:dyDescent="0.25">
      <c r="A215" t="s">
        <v>862</v>
      </c>
      <c r="B215" t="s">
        <v>863</v>
      </c>
      <c r="C215" t="s">
        <v>864</v>
      </c>
    </row>
    <row r="216" spans="1:3" x14ac:dyDescent="0.25">
      <c r="A216" t="s">
        <v>865</v>
      </c>
      <c r="B216" t="s">
        <v>866</v>
      </c>
      <c r="C216" t="s">
        <v>867</v>
      </c>
    </row>
    <row r="217" spans="1:3" x14ac:dyDescent="0.25">
      <c r="A217" t="s">
        <v>868</v>
      </c>
      <c r="B217" t="s">
        <v>869</v>
      </c>
      <c r="C217" t="s">
        <v>870</v>
      </c>
    </row>
    <row r="218" spans="1:3" x14ac:dyDescent="0.25">
      <c r="A218" t="s">
        <v>871</v>
      </c>
      <c r="B218" t="s">
        <v>872</v>
      </c>
      <c r="C218" t="s">
        <v>873</v>
      </c>
    </row>
    <row r="219" spans="1:3" x14ac:dyDescent="0.25">
      <c r="A219" t="s">
        <v>874</v>
      </c>
      <c r="B219" t="s">
        <v>875</v>
      </c>
      <c r="C219" t="s">
        <v>876</v>
      </c>
    </row>
    <row r="220" spans="1:3" x14ac:dyDescent="0.25">
      <c r="A220" t="s">
        <v>877</v>
      </c>
      <c r="B220" t="s">
        <v>878</v>
      </c>
      <c r="C220" t="s">
        <v>879</v>
      </c>
    </row>
    <row r="221" spans="1:3" x14ac:dyDescent="0.25">
      <c r="A221" t="s">
        <v>880</v>
      </c>
      <c r="B221" t="s">
        <v>881</v>
      </c>
      <c r="C221" t="s">
        <v>882</v>
      </c>
    </row>
    <row r="222" spans="1:3" x14ac:dyDescent="0.25">
      <c r="A222" t="s">
        <v>883</v>
      </c>
      <c r="B222" t="s">
        <v>884</v>
      </c>
      <c r="C222" t="s">
        <v>885</v>
      </c>
    </row>
    <row r="223" spans="1:3" x14ac:dyDescent="0.25">
      <c r="A223" t="s">
        <v>886</v>
      </c>
      <c r="B223" t="s">
        <v>887</v>
      </c>
      <c r="C223" t="s">
        <v>888</v>
      </c>
    </row>
    <row r="224" spans="1:3" x14ac:dyDescent="0.25">
      <c r="A224" t="s">
        <v>889</v>
      </c>
      <c r="B224" t="s">
        <v>890</v>
      </c>
      <c r="C224" t="s">
        <v>891</v>
      </c>
    </row>
    <row r="225" spans="1:3" x14ac:dyDescent="0.25">
      <c r="A225" t="s">
        <v>892</v>
      </c>
      <c r="B225" t="s">
        <v>893</v>
      </c>
      <c r="C225" t="s">
        <v>894</v>
      </c>
    </row>
    <row r="226" spans="1:3" x14ac:dyDescent="0.25">
      <c r="A226" t="s">
        <v>895</v>
      </c>
      <c r="B226" t="s">
        <v>896</v>
      </c>
      <c r="C226" t="s">
        <v>897</v>
      </c>
    </row>
    <row r="227" spans="1:3" x14ac:dyDescent="0.25">
      <c r="A227" t="s">
        <v>898</v>
      </c>
      <c r="B227" t="s">
        <v>899</v>
      </c>
      <c r="C227" t="s">
        <v>900</v>
      </c>
    </row>
    <row r="228" spans="1:3" x14ac:dyDescent="0.25">
      <c r="A228" t="s">
        <v>901</v>
      </c>
      <c r="B228" t="s">
        <v>902</v>
      </c>
      <c r="C228" t="s">
        <v>903</v>
      </c>
    </row>
    <row r="229" spans="1:3" x14ac:dyDescent="0.25">
      <c r="A229" t="s">
        <v>904</v>
      </c>
      <c r="B229" t="s">
        <v>905</v>
      </c>
      <c r="C229" t="s">
        <v>906</v>
      </c>
    </row>
    <row r="230" spans="1:3" x14ac:dyDescent="0.25">
      <c r="A230" t="s">
        <v>907</v>
      </c>
      <c r="B230" t="s">
        <v>908</v>
      </c>
      <c r="C230" t="s">
        <v>909</v>
      </c>
    </row>
    <row r="231" spans="1:3" x14ac:dyDescent="0.25">
      <c r="A231" t="s">
        <v>910</v>
      </c>
      <c r="B231" t="s">
        <v>911</v>
      </c>
      <c r="C231" t="s">
        <v>912</v>
      </c>
    </row>
    <row r="232" spans="1:3" x14ac:dyDescent="0.25">
      <c r="A232" t="s">
        <v>913</v>
      </c>
      <c r="B232" t="s">
        <v>914</v>
      </c>
      <c r="C232" t="s">
        <v>915</v>
      </c>
    </row>
    <row r="233" spans="1:3" x14ac:dyDescent="0.25">
      <c r="A233" t="s">
        <v>916</v>
      </c>
      <c r="B233" t="s">
        <v>917</v>
      </c>
      <c r="C233" t="s">
        <v>918</v>
      </c>
    </row>
    <row r="234" spans="1:3" x14ac:dyDescent="0.25">
      <c r="A234" t="s">
        <v>919</v>
      </c>
      <c r="B234" t="s">
        <v>920</v>
      </c>
      <c r="C234" t="s">
        <v>921</v>
      </c>
    </row>
    <row r="235" spans="1:3" x14ac:dyDescent="0.25">
      <c r="A235" t="s">
        <v>922</v>
      </c>
      <c r="B235" t="s">
        <v>923</v>
      </c>
      <c r="C235" t="s">
        <v>924</v>
      </c>
    </row>
    <row r="236" spans="1:3" x14ac:dyDescent="0.25">
      <c r="A236" t="s">
        <v>925</v>
      </c>
      <c r="B236" t="s">
        <v>926</v>
      </c>
      <c r="C236" t="s">
        <v>927</v>
      </c>
    </row>
    <row r="237" spans="1:3" x14ac:dyDescent="0.25">
      <c r="A237" t="s">
        <v>928</v>
      </c>
      <c r="B237" t="s">
        <v>929</v>
      </c>
      <c r="C237" t="s">
        <v>930</v>
      </c>
    </row>
    <row r="238" spans="1:3" x14ac:dyDescent="0.25">
      <c r="A238" t="s">
        <v>931</v>
      </c>
      <c r="B238" t="s">
        <v>932</v>
      </c>
      <c r="C238" t="s">
        <v>933</v>
      </c>
    </row>
    <row r="239" spans="1:3" x14ac:dyDescent="0.25">
      <c r="A239" t="s">
        <v>934</v>
      </c>
      <c r="B239" t="s">
        <v>935</v>
      </c>
      <c r="C239" t="s">
        <v>936</v>
      </c>
    </row>
    <row r="240" spans="1:3" x14ac:dyDescent="0.25">
      <c r="A240" t="s">
        <v>937</v>
      </c>
      <c r="B240" t="s">
        <v>938</v>
      </c>
      <c r="C240" t="s">
        <v>939</v>
      </c>
    </row>
    <row r="241" spans="1:3" x14ac:dyDescent="0.25">
      <c r="A241" t="s">
        <v>940</v>
      </c>
      <c r="B241" t="s">
        <v>941</v>
      </c>
      <c r="C241" t="s">
        <v>942</v>
      </c>
    </row>
    <row r="242" spans="1:3" x14ac:dyDescent="0.25">
      <c r="A242" t="s">
        <v>943</v>
      </c>
      <c r="B242" t="s">
        <v>944</v>
      </c>
      <c r="C242" t="s">
        <v>945</v>
      </c>
    </row>
    <row r="243" spans="1:3" x14ac:dyDescent="0.25">
      <c r="A243" t="s">
        <v>946</v>
      </c>
      <c r="B243" t="s">
        <v>947</v>
      </c>
      <c r="C243" t="s">
        <v>948</v>
      </c>
    </row>
    <row r="244" spans="1:3" x14ac:dyDescent="0.25">
      <c r="A244" t="s">
        <v>949</v>
      </c>
      <c r="B244" t="s">
        <v>950</v>
      </c>
      <c r="C244" t="s">
        <v>951</v>
      </c>
    </row>
    <row r="245" spans="1:3" x14ac:dyDescent="0.25">
      <c r="A245" t="s">
        <v>952</v>
      </c>
      <c r="B245" t="s">
        <v>953</v>
      </c>
      <c r="C245" t="s">
        <v>954</v>
      </c>
    </row>
    <row r="246" spans="1:3" x14ac:dyDescent="0.25">
      <c r="A246" t="s">
        <v>955</v>
      </c>
      <c r="B246" t="s">
        <v>956</v>
      </c>
      <c r="C246" t="s">
        <v>957</v>
      </c>
    </row>
    <row r="247" spans="1:3" x14ac:dyDescent="0.25">
      <c r="A247" t="s">
        <v>958</v>
      </c>
      <c r="B247" t="s">
        <v>959</v>
      </c>
      <c r="C247" t="s">
        <v>960</v>
      </c>
    </row>
    <row r="248" spans="1:3" x14ac:dyDescent="0.25">
      <c r="A248" t="s">
        <v>961</v>
      </c>
      <c r="B248" t="s">
        <v>962</v>
      </c>
      <c r="C248" t="s">
        <v>963</v>
      </c>
    </row>
    <row r="249" spans="1:3" x14ac:dyDescent="0.25">
      <c r="A249" t="s">
        <v>964</v>
      </c>
      <c r="B249" t="s">
        <v>965</v>
      </c>
      <c r="C249" t="s">
        <v>966</v>
      </c>
    </row>
    <row r="250" spans="1:3" x14ac:dyDescent="0.25">
      <c r="A250" t="s">
        <v>967</v>
      </c>
      <c r="B250" t="s">
        <v>968</v>
      </c>
      <c r="C250" t="s">
        <v>969</v>
      </c>
    </row>
    <row r="251" spans="1:3" x14ac:dyDescent="0.25">
      <c r="A251" t="s">
        <v>970</v>
      </c>
      <c r="B251" t="s">
        <v>971</v>
      </c>
      <c r="C251" t="s">
        <v>972</v>
      </c>
    </row>
    <row r="252" spans="1:3" x14ac:dyDescent="0.25">
      <c r="A252" t="s">
        <v>973</v>
      </c>
      <c r="B252" t="s">
        <v>974</v>
      </c>
      <c r="C252" t="s">
        <v>975</v>
      </c>
    </row>
    <row r="253" spans="1:3" x14ac:dyDescent="0.25">
      <c r="A253" t="s">
        <v>976</v>
      </c>
      <c r="B253" t="s">
        <v>977</v>
      </c>
      <c r="C253" t="s">
        <v>978</v>
      </c>
    </row>
    <row r="254" spans="1:3" x14ac:dyDescent="0.25">
      <c r="A254" t="s">
        <v>979</v>
      </c>
      <c r="B254" t="s">
        <v>980</v>
      </c>
      <c r="C254" t="s">
        <v>981</v>
      </c>
    </row>
    <row r="255" spans="1:3" x14ac:dyDescent="0.25">
      <c r="A255" t="s">
        <v>982</v>
      </c>
      <c r="B255" t="s">
        <v>983</v>
      </c>
      <c r="C255" t="s">
        <v>984</v>
      </c>
    </row>
    <row r="256" spans="1:3" x14ac:dyDescent="0.25">
      <c r="A256" t="s">
        <v>985</v>
      </c>
      <c r="B256" t="s">
        <v>986</v>
      </c>
      <c r="C256" t="s">
        <v>987</v>
      </c>
    </row>
    <row r="257" spans="1:3" x14ac:dyDescent="0.25">
      <c r="A257" t="s">
        <v>988</v>
      </c>
      <c r="B257" t="s">
        <v>989</v>
      </c>
      <c r="C257" t="s">
        <v>990</v>
      </c>
    </row>
    <row r="258" spans="1:3" x14ac:dyDescent="0.25">
      <c r="A258" t="s">
        <v>991</v>
      </c>
      <c r="B258" t="s">
        <v>992</v>
      </c>
      <c r="C258" t="s">
        <v>993</v>
      </c>
    </row>
    <row r="259" spans="1:3" x14ac:dyDescent="0.25">
      <c r="A259" t="s">
        <v>994</v>
      </c>
      <c r="B259" t="s">
        <v>995</v>
      </c>
      <c r="C259" t="s">
        <v>996</v>
      </c>
    </row>
    <row r="260" spans="1:3" x14ac:dyDescent="0.25">
      <c r="A260" t="s">
        <v>997</v>
      </c>
      <c r="B260" t="s">
        <v>998</v>
      </c>
      <c r="C260" t="s">
        <v>999</v>
      </c>
    </row>
    <row r="261" spans="1:3" x14ac:dyDescent="0.25">
      <c r="A261" t="s">
        <v>1000</v>
      </c>
      <c r="B261" t="s">
        <v>1001</v>
      </c>
      <c r="C261" t="s">
        <v>1002</v>
      </c>
    </row>
    <row r="262" spans="1:3" x14ac:dyDescent="0.25">
      <c r="A262" t="s">
        <v>1003</v>
      </c>
      <c r="B262" t="s">
        <v>1004</v>
      </c>
      <c r="C262" t="s">
        <v>1005</v>
      </c>
    </row>
    <row r="263" spans="1:3" x14ac:dyDescent="0.25">
      <c r="A263" t="s">
        <v>1006</v>
      </c>
      <c r="B263" t="s">
        <v>1007</v>
      </c>
      <c r="C263" t="s">
        <v>1008</v>
      </c>
    </row>
    <row r="264" spans="1:3" x14ac:dyDescent="0.25">
      <c r="A264" t="s">
        <v>1009</v>
      </c>
      <c r="B264" t="s">
        <v>1010</v>
      </c>
      <c r="C264" t="s">
        <v>1011</v>
      </c>
    </row>
    <row r="265" spans="1:3" x14ac:dyDescent="0.25">
      <c r="A265" t="s">
        <v>1012</v>
      </c>
      <c r="B265" t="s">
        <v>1013</v>
      </c>
      <c r="C265" t="s">
        <v>1014</v>
      </c>
    </row>
    <row r="266" spans="1:3" x14ac:dyDescent="0.25">
      <c r="A266" t="s">
        <v>1015</v>
      </c>
      <c r="B266" t="s">
        <v>1016</v>
      </c>
      <c r="C266" t="s">
        <v>1017</v>
      </c>
    </row>
    <row r="267" spans="1:3" x14ac:dyDescent="0.25">
      <c r="A267" t="s">
        <v>1018</v>
      </c>
      <c r="B267" t="s">
        <v>1019</v>
      </c>
      <c r="C267" t="s">
        <v>1020</v>
      </c>
    </row>
    <row r="268" spans="1:3" x14ac:dyDescent="0.25">
      <c r="A268" t="s">
        <v>1021</v>
      </c>
      <c r="B268" t="s">
        <v>1022</v>
      </c>
      <c r="C268" t="s">
        <v>1023</v>
      </c>
    </row>
    <row r="269" spans="1:3" x14ac:dyDescent="0.25">
      <c r="A269" t="s">
        <v>1024</v>
      </c>
      <c r="B269" t="s">
        <v>1025</v>
      </c>
      <c r="C269" t="s">
        <v>1026</v>
      </c>
    </row>
    <row r="270" spans="1:3" x14ac:dyDescent="0.25">
      <c r="A270" t="s">
        <v>1027</v>
      </c>
      <c r="B270" t="s">
        <v>1028</v>
      </c>
      <c r="C270" t="s">
        <v>1029</v>
      </c>
    </row>
    <row r="271" spans="1:3" x14ac:dyDescent="0.25">
      <c r="A271" t="s">
        <v>1030</v>
      </c>
      <c r="B271" t="s">
        <v>1031</v>
      </c>
      <c r="C271" t="s">
        <v>1032</v>
      </c>
    </row>
    <row r="272" spans="1:3" x14ac:dyDescent="0.25">
      <c r="A272" t="s">
        <v>1033</v>
      </c>
      <c r="B272" t="s">
        <v>1034</v>
      </c>
      <c r="C272" t="s">
        <v>1035</v>
      </c>
    </row>
    <row r="273" spans="1:3" x14ac:dyDescent="0.25">
      <c r="A273" t="s">
        <v>1036</v>
      </c>
      <c r="B273" t="s">
        <v>1037</v>
      </c>
      <c r="C273" t="s">
        <v>1038</v>
      </c>
    </row>
    <row r="274" spans="1:3" x14ac:dyDescent="0.25">
      <c r="A274" t="s">
        <v>1039</v>
      </c>
      <c r="B274" t="s">
        <v>1040</v>
      </c>
      <c r="C274" t="s">
        <v>1041</v>
      </c>
    </row>
    <row r="275" spans="1:3" x14ac:dyDescent="0.25">
      <c r="A275" t="s">
        <v>1042</v>
      </c>
      <c r="B275" t="s">
        <v>1043</v>
      </c>
      <c r="C275" t="s">
        <v>1044</v>
      </c>
    </row>
    <row r="276" spans="1:3" x14ac:dyDescent="0.25">
      <c r="A276" t="s">
        <v>1045</v>
      </c>
      <c r="B276" t="s">
        <v>1046</v>
      </c>
      <c r="C276" t="s">
        <v>1047</v>
      </c>
    </row>
    <row r="277" spans="1:3" x14ac:dyDescent="0.25">
      <c r="A277" t="s">
        <v>1048</v>
      </c>
      <c r="B277" t="s">
        <v>1049</v>
      </c>
      <c r="C277" t="s">
        <v>1050</v>
      </c>
    </row>
    <row r="278" spans="1:3" x14ac:dyDescent="0.25">
      <c r="A278" t="s">
        <v>1051</v>
      </c>
      <c r="B278" t="s">
        <v>1052</v>
      </c>
      <c r="C278" t="s">
        <v>1053</v>
      </c>
    </row>
    <row r="279" spans="1:3" x14ac:dyDescent="0.25">
      <c r="A279" t="s">
        <v>1054</v>
      </c>
      <c r="B279" t="s">
        <v>1055</v>
      </c>
      <c r="C279" t="s">
        <v>1056</v>
      </c>
    </row>
    <row r="280" spans="1:3" x14ac:dyDescent="0.25">
      <c r="A280" t="s">
        <v>1057</v>
      </c>
      <c r="B280" t="s">
        <v>1058</v>
      </c>
      <c r="C280" t="s">
        <v>1059</v>
      </c>
    </row>
    <row r="281" spans="1:3" x14ac:dyDescent="0.25">
      <c r="A281" t="s">
        <v>1060</v>
      </c>
      <c r="B281" t="s">
        <v>1061</v>
      </c>
      <c r="C281" t="s">
        <v>1062</v>
      </c>
    </row>
    <row r="282" spans="1:3" x14ac:dyDescent="0.25">
      <c r="A282" t="s">
        <v>1063</v>
      </c>
      <c r="B282" t="s">
        <v>1064</v>
      </c>
      <c r="C282" t="s">
        <v>1065</v>
      </c>
    </row>
    <row r="283" spans="1:3" x14ac:dyDescent="0.25">
      <c r="A283" t="s">
        <v>1066</v>
      </c>
      <c r="B283" t="s">
        <v>1067</v>
      </c>
      <c r="C283" t="s">
        <v>1068</v>
      </c>
    </row>
    <row r="284" spans="1:3" x14ac:dyDescent="0.25">
      <c r="A284" t="s">
        <v>1069</v>
      </c>
      <c r="B284" t="s">
        <v>1070</v>
      </c>
      <c r="C284" t="s">
        <v>1071</v>
      </c>
    </row>
    <row r="285" spans="1:3" x14ac:dyDescent="0.25">
      <c r="A285" t="s">
        <v>1072</v>
      </c>
      <c r="B285" t="s">
        <v>1073</v>
      </c>
      <c r="C285" t="s">
        <v>1074</v>
      </c>
    </row>
    <row r="286" spans="1:3" x14ac:dyDescent="0.25">
      <c r="A286" t="s">
        <v>1075</v>
      </c>
      <c r="B286" t="s">
        <v>1076</v>
      </c>
      <c r="C286" t="s">
        <v>1077</v>
      </c>
    </row>
    <row r="287" spans="1:3" x14ac:dyDescent="0.25">
      <c r="A287" t="s">
        <v>1078</v>
      </c>
      <c r="B287" t="s">
        <v>1079</v>
      </c>
      <c r="C287" t="s">
        <v>1080</v>
      </c>
    </row>
    <row r="288" spans="1:3" x14ac:dyDescent="0.25">
      <c r="A288" t="s">
        <v>1081</v>
      </c>
      <c r="B288" t="s">
        <v>1082</v>
      </c>
      <c r="C288" t="s">
        <v>1083</v>
      </c>
    </row>
    <row r="289" spans="1:3" x14ac:dyDescent="0.25">
      <c r="A289" t="s">
        <v>1084</v>
      </c>
      <c r="B289" t="s">
        <v>1085</v>
      </c>
      <c r="C289" t="s">
        <v>1086</v>
      </c>
    </row>
    <row r="290" spans="1:3" x14ac:dyDescent="0.25">
      <c r="A290" t="s">
        <v>1087</v>
      </c>
      <c r="B290" t="s">
        <v>1088</v>
      </c>
      <c r="C290" t="s">
        <v>1089</v>
      </c>
    </row>
    <row r="291" spans="1:3" x14ac:dyDescent="0.25">
      <c r="A291" t="s">
        <v>1090</v>
      </c>
      <c r="B291" t="s">
        <v>1091</v>
      </c>
      <c r="C291" t="s">
        <v>1092</v>
      </c>
    </row>
    <row r="292" spans="1:3" x14ac:dyDescent="0.25">
      <c r="A292" t="s">
        <v>1093</v>
      </c>
      <c r="B292" t="s">
        <v>1094</v>
      </c>
      <c r="C292" t="s">
        <v>1095</v>
      </c>
    </row>
    <row r="293" spans="1:3" x14ac:dyDescent="0.25">
      <c r="A293" t="s">
        <v>1096</v>
      </c>
      <c r="B293" t="s">
        <v>1097</v>
      </c>
      <c r="C293" t="s">
        <v>1098</v>
      </c>
    </row>
    <row r="294" spans="1:3" x14ac:dyDescent="0.25">
      <c r="A294" t="s">
        <v>1099</v>
      </c>
      <c r="B294" t="s">
        <v>1100</v>
      </c>
      <c r="C294" t="s">
        <v>1101</v>
      </c>
    </row>
    <row r="295" spans="1:3" x14ac:dyDescent="0.25">
      <c r="A295" t="s">
        <v>1102</v>
      </c>
      <c r="B295" t="s">
        <v>1103</v>
      </c>
      <c r="C295" t="s">
        <v>1104</v>
      </c>
    </row>
    <row r="296" spans="1:3" x14ac:dyDescent="0.25">
      <c r="A296" t="s">
        <v>1105</v>
      </c>
      <c r="B296" t="s">
        <v>1106</v>
      </c>
      <c r="C296" t="s">
        <v>1107</v>
      </c>
    </row>
    <row r="297" spans="1:3" x14ac:dyDescent="0.25">
      <c r="A297" t="s">
        <v>1108</v>
      </c>
      <c r="B297" t="s">
        <v>1109</v>
      </c>
      <c r="C297" t="s">
        <v>1110</v>
      </c>
    </row>
    <row r="298" spans="1:3" x14ac:dyDescent="0.25">
      <c r="A298" t="s">
        <v>1111</v>
      </c>
      <c r="B298" t="s">
        <v>1112</v>
      </c>
      <c r="C298" t="s">
        <v>1113</v>
      </c>
    </row>
    <row r="299" spans="1:3" x14ac:dyDescent="0.25">
      <c r="A299" t="s">
        <v>1114</v>
      </c>
      <c r="B299" t="s">
        <v>1115</v>
      </c>
      <c r="C299" t="s">
        <v>1116</v>
      </c>
    </row>
    <row r="300" spans="1:3" x14ac:dyDescent="0.25">
      <c r="A300" t="s">
        <v>1117</v>
      </c>
      <c r="B300" t="s">
        <v>1118</v>
      </c>
      <c r="C300" t="s">
        <v>1119</v>
      </c>
    </row>
    <row r="301" spans="1:3" x14ac:dyDescent="0.25">
      <c r="A301" t="s">
        <v>1120</v>
      </c>
      <c r="B301" t="s">
        <v>1121</v>
      </c>
      <c r="C301" t="s">
        <v>1122</v>
      </c>
    </row>
    <row r="302" spans="1:3" x14ac:dyDescent="0.25">
      <c r="A302" t="s">
        <v>1123</v>
      </c>
      <c r="B302" t="s">
        <v>1124</v>
      </c>
      <c r="C302" t="s">
        <v>1125</v>
      </c>
    </row>
    <row r="303" spans="1:3" x14ac:dyDescent="0.25">
      <c r="A303" t="s">
        <v>1126</v>
      </c>
      <c r="B303" t="s">
        <v>1127</v>
      </c>
      <c r="C303" t="s">
        <v>1128</v>
      </c>
    </row>
    <row r="304" spans="1:3" x14ac:dyDescent="0.25">
      <c r="A304" t="s">
        <v>1129</v>
      </c>
      <c r="B304" t="s">
        <v>1130</v>
      </c>
      <c r="C304" t="s">
        <v>1131</v>
      </c>
    </row>
    <row r="305" spans="1:3" x14ac:dyDescent="0.25">
      <c r="A305" t="s">
        <v>1132</v>
      </c>
      <c r="B305" t="s">
        <v>1133</v>
      </c>
      <c r="C305" t="s">
        <v>1134</v>
      </c>
    </row>
    <row r="306" spans="1:3" x14ac:dyDescent="0.25">
      <c r="A306" t="s">
        <v>1135</v>
      </c>
      <c r="B306" t="s">
        <v>1136</v>
      </c>
      <c r="C306" t="s">
        <v>1137</v>
      </c>
    </row>
    <row r="307" spans="1:3" x14ac:dyDescent="0.25">
      <c r="A307" t="s">
        <v>1138</v>
      </c>
      <c r="B307" t="s">
        <v>1139</v>
      </c>
      <c r="C307" t="s">
        <v>1140</v>
      </c>
    </row>
    <row r="308" spans="1:3" x14ac:dyDescent="0.25">
      <c r="A308" t="s">
        <v>1141</v>
      </c>
      <c r="B308" t="s">
        <v>1142</v>
      </c>
      <c r="C308" t="s">
        <v>1143</v>
      </c>
    </row>
    <row r="309" spans="1:3" x14ac:dyDescent="0.25">
      <c r="A309" t="s">
        <v>1144</v>
      </c>
      <c r="B309" t="s">
        <v>1145</v>
      </c>
      <c r="C309" t="s">
        <v>1146</v>
      </c>
    </row>
    <row r="310" spans="1:3" x14ac:dyDescent="0.25">
      <c r="A310" t="s">
        <v>1147</v>
      </c>
      <c r="B310" t="s">
        <v>1148</v>
      </c>
      <c r="C310" t="s">
        <v>1149</v>
      </c>
    </row>
    <row r="311" spans="1:3" x14ac:dyDescent="0.25">
      <c r="A311" t="s">
        <v>1150</v>
      </c>
      <c r="B311" t="s">
        <v>1151</v>
      </c>
      <c r="C311" t="s">
        <v>1152</v>
      </c>
    </row>
    <row r="312" spans="1:3" x14ac:dyDescent="0.25">
      <c r="A312" t="s">
        <v>1153</v>
      </c>
      <c r="B312" t="s">
        <v>1154</v>
      </c>
      <c r="C312" t="s">
        <v>1155</v>
      </c>
    </row>
    <row r="313" spans="1:3" x14ac:dyDescent="0.25">
      <c r="A313" t="s">
        <v>1156</v>
      </c>
      <c r="B313" t="s">
        <v>1157</v>
      </c>
      <c r="C313" t="s">
        <v>1158</v>
      </c>
    </row>
    <row r="314" spans="1:3" x14ac:dyDescent="0.25">
      <c r="A314" t="s">
        <v>1159</v>
      </c>
      <c r="B314" t="s">
        <v>1160</v>
      </c>
      <c r="C314" t="s">
        <v>1161</v>
      </c>
    </row>
    <row r="315" spans="1:3" x14ac:dyDescent="0.25">
      <c r="A315" t="s">
        <v>1162</v>
      </c>
      <c r="B315" t="s">
        <v>1163</v>
      </c>
      <c r="C315" t="s">
        <v>1164</v>
      </c>
    </row>
    <row r="316" spans="1:3" x14ac:dyDescent="0.25">
      <c r="A316" t="s">
        <v>1165</v>
      </c>
      <c r="B316" t="s">
        <v>1166</v>
      </c>
      <c r="C316" t="s">
        <v>1167</v>
      </c>
    </row>
    <row r="317" spans="1:3" x14ac:dyDescent="0.25">
      <c r="A317" t="s">
        <v>1168</v>
      </c>
      <c r="B317" t="s">
        <v>1169</v>
      </c>
      <c r="C317" t="s">
        <v>1170</v>
      </c>
    </row>
    <row r="318" spans="1:3" x14ac:dyDescent="0.25">
      <c r="A318" t="s">
        <v>1171</v>
      </c>
      <c r="B318" t="s">
        <v>1172</v>
      </c>
      <c r="C318" t="s">
        <v>1173</v>
      </c>
    </row>
    <row r="320" spans="1:3" x14ac:dyDescent="0.25">
      <c r="A320" s="120" t="s">
        <v>122</v>
      </c>
      <c r="B320" s="120" t="s">
        <v>123</v>
      </c>
      <c r="C320" t="s">
        <v>124</v>
      </c>
    </row>
    <row r="321" spans="1:3" x14ac:dyDescent="0.25">
      <c r="A321" s="120" t="s">
        <v>1189</v>
      </c>
      <c r="B321" s="120" t="s">
        <v>1373</v>
      </c>
      <c r="C321" t="s">
        <v>1592</v>
      </c>
    </row>
    <row r="322" spans="1:3" x14ac:dyDescent="0.25">
      <c r="A322" s="120" t="s">
        <v>1190</v>
      </c>
      <c r="B322" s="120" t="s">
        <v>1374</v>
      </c>
      <c r="C322" t="s">
        <v>1593</v>
      </c>
    </row>
    <row r="323" spans="1:3" x14ac:dyDescent="0.25">
      <c r="A323" s="120" t="s">
        <v>1191</v>
      </c>
      <c r="B323" s="120" t="s">
        <v>1375</v>
      </c>
      <c r="C323" t="s">
        <v>1594</v>
      </c>
    </row>
    <row r="324" spans="1:3" x14ac:dyDescent="0.25">
      <c r="A324" s="120" t="s">
        <v>1192</v>
      </c>
      <c r="B324" s="120" t="s">
        <v>1376</v>
      </c>
      <c r="C324" t="s">
        <v>1595</v>
      </c>
    </row>
    <row r="325" spans="1:3" x14ac:dyDescent="0.25">
      <c r="A325" s="120" t="s">
        <v>1192</v>
      </c>
      <c r="B325" s="120" t="s">
        <v>1377</v>
      </c>
      <c r="C325" t="s">
        <v>1596</v>
      </c>
    </row>
    <row r="326" spans="1:3" x14ac:dyDescent="0.25">
      <c r="A326" s="120" t="s">
        <v>1193</v>
      </c>
      <c r="B326" s="120" t="s">
        <v>1378</v>
      </c>
      <c r="C326" t="s">
        <v>1597</v>
      </c>
    </row>
    <row r="327" spans="1:3" x14ac:dyDescent="0.25">
      <c r="A327" s="120" t="s">
        <v>1193</v>
      </c>
      <c r="B327" s="120" t="s">
        <v>1379</v>
      </c>
      <c r="C327" t="s">
        <v>1598</v>
      </c>
    </row>
    <row r="328" spans="1:3" x14ac:dyDescent="0.25">
      <c r="A328" s="120" t="s">
        <v>1194</v>
      </c>
      <c r="B328" s="120" t="s">
        <v>1380</v>
      </c>
      <c r="C328" t="s">
        <v>1599</v>
      </c>
    </row>
    <row r="329" spans="1:3" x14ac:dyDescent="0.25">
      <c r="A329" s="120" t="s">
        <v>1194</v>
      </c>
      <c r="B329" s="120" t="s">
        <v>1381</v>
      </c>
      <c r="C329" t="s">
        <v>1600</v>
      </c>
    </row>
    <row r="330" spans="1:3" x14ac:dyDescent="0.25">
      <c r="A330" s="120" t="s">
        <v>1195</v>
      </c>
      <c r="B330" s="120" t="s">
        <v>1382</v>
      </c>
      <c r="C330" t="s">
        <v>1601</v>
      </c>
    </row>
    <row r="331" spans="1:3" x14ac:dyDescent="0.25">
      <c r="A331" s="120" t="s">
        <v>1196</v>
      </c>
      <c r="B331" s="120" t="s">
        <v>1383</v>
      </c>
      <c r="C331" t="s">
        <v>1602</v>
      </c>
    </row>
    <row r="332" spans="1:3" x14ac:dyDescent="0.25">
      <c r="A332" s="120" t="s">
        <v>1197</v>
      </c>
      <c r="B332" s="120" t="s">
        <v>1384</v>
      </c>
      <c r="C332" t="s">
        <v>1603</v>
      </c>
    </row>
    <row r="333" spans="1:3" x14ac:dyDescent="0.25">
      <c r="A333" s="120" t="s">
        <v>1197</v>
      </c>
      <c r="B333" s="120" t="s">
        <v>1385</v>
      </c>
      <c r="C333" t="s">
        <v>1604</v>
      </c>
    </row>
    <row r="334" spans="1:3" x14ac:dyDescent="0.25">
      <c r="A334" s="120" t="s">
        <v>1198</v>
      </c>
      <c r="B334" s="120" t="s">
        <v>1386</v>
      </c>
      <c r="C334" t="s">
        <v>1605</v>
      </c>
    </row>
    <row r="335" spans="1:3" x14ac:dyDescent="0.25">
      <c r="A335" s="120" t="s">
        <v>1199</v>
      </c>
      <c r="B335" s="120" t="s">
        <v>1387</v>
      </c>
      <c r="C335" t="s">
        <v>1606</v>
      </c>
    </row>
    <row r="336" spans="1:3" x14ac:dyDescent="0.25">
      <c r="A336" s="120" t="s">
        <v>1200</v>
      </c>
      <c r="B336" s="120" t="s">
        <v>1388</v>
      </c>
      <c r="C336" t="s">
        <v>1607</v>
      </c>
    </row>
    <row r="337" spans="1:3" x14ac:dyDescent="0.25">
      <c r="A337" s="120" t="s">
        <v>1201</v>
      </c>
      <c r="B337" s="120" t="s">
        <v>1389</v>
      </c>
      <c r="C337" t="s">
        <v>1608</v>
      </c>
    </row>
    <row r="338" spans="1:3" x14ac:dyDescent="0.25">
      <c r="A338" s="120" t="s">
        <v>1202</v>
      </c>
      <c r="B338" s="120" t="s">
        <v>1390</v>
      </c>
      <c r="C338" t="s">
        <v>1609</v>
      </c>
    </row>
    <row r="339" spans="1:3" x14ac:dyDescent="0.25">
      <c r="A339" s="120" t="s">
        <v>1203</v>
      </c>
      <c r="B339" s="120" t="s">
        <v>1391</v>
      </c>
      <c r="C339" t="s">
        <v>1610</v>
      </c>
    </row>
    <row r="340" spans="1:3" x14ac:dyDescent="0.25">
      <c r="A340" s="120" t="s">
        <v>1204</v>
      </c>
      <c r="B340" s="120" t="s">
        <v>1392</v>
      </c>
      <c r="C340" t="s">
        <v>1611</v>
      </c>
    </row>
    <row r="341" spans="1:3" x14ac:dyDescent="0.25">
      <c r="A341" s="120" t="s">
        <v>1204</v>
      </c>
      <c r="B341" s="120" t="s">
        <v>1393</v>
      </c>
      <c r="C341" t="s">
        <v>1612</v>
      </c>
    </row>
    <row r="342" spans="1:3" x14ac:dyDescent="0.25">
      <c r="A342" s="120" t="s">
        <v>1205</v>
      </c>
      <c r="B342" s="120" t="s">
        <v>1394</v>
      </c>
      <c r="C342" t="s">
        <v>1613</v>
      </c>
    </row>
    <row r="343" spans="1:3" x14ac:dyDescent="0.25">
      <c r="A343" s="120" t="s">
        <v>1206</v>
      </c>
      <c r="B343" s="120" t="s">
        <v>1395</v>
      </c>
      <c r="C343" t="s">
        <v>1614</v>
      </c>
    </row>
    <row r="344" spans="1:3" x14ac:dyDescent="0.25">
      <c r="A344" s="120" t="s">
        <v>1206</v>
      </c>
      <c r="B344" s="120" t="s">
        <v>1396</v>
      </c>
      <c r="C344" t="s">
        <v>1615</v>
      </c>
    </row>
    <row r="345" spans="1:3" x14ac:dyDescent="0.25">
      <c r="A345" s="120" t="s">
        <v>1207</v>
      </c>
      <c r="B345" s="120" t="s">
        <v>1397</v>
      </c>
      <c r="C345" t="s">
        <v>1616</v>
      </c>
    </row>
    <row r="346" spans="1:3" x14ac:dyDescent="0.25">
      <c r="A346" s="120" t="s">
        <v>1208</v>
      </c>
      <c r="B346" s="120" t="s">
        <v>1398</v>
      </c>
      <c r="C346" t="s">
        <v>1617</v>
      </c>
    </row>
    <row r="347" spans="1:3" x14ac:dyDescent="0.25">
      <c r="A347" s="120" t="s">
        <v>1209</v>
      </c>
      <c r="B347" s="120" t="s">
        <v>1399</v>
      </c>
      <c r="C347" t="s">
        <v>1618</v>
      </c>
    </row>
    <row r="348" spans="1:3" x14ac:dyDescent="0.25">
      <c r="A348" s="120" t="s">
        <v>1210</v>
      </c>
      <c r="B348" s="120" t="s">
        <v>1400</v>
      </c>
      <c r="C348" t="s">
        <v>1619</v>
      </c>
    </row>
    <row r="349" spans="1:3" x14ac:dyDescent="0.25">
      <c r="A349" s="120" t="s">
        <v>1211</v>
      </c>
      <c r="B349" s="120" t="s">
        <v>1401</v>
      </c>
      <c r="C349" t="s">
        <v>1620</v>
      </c>
    </row>
    <row r="350" spans="1:3" x14ac:dyDescent="0.25">
      <c r="A350" s="120" t="s">
        <v>1212</v>
      </c>
      <c r="B350" s="120" t="s">
        <v>1402</v>
      </c>
      <c r="C350" t="s">
        <v>1621</v>
      </c>
    </row>
    <row r="351" spans="1:3" x14ac:dyDescent="0.25">
      <c r="A351" s="120" t="s">
        <v>1213</v>
      </c>
      <c r="B351" s="120" t="s">
        <v>1403</v>
      </c>
      <c r="C351" t="s">
        <v>1622</v>
      </c>
    </row>
    <row r="352" spans="1:3" x14ac:dyDescent="0.25">
      <c r="A352" s="120" t="s">
        <v>1214</v>
      </c>
      <c r="B352" s="120" t="s">
        <v>1404</v>
      </c>
      <c r="C352" t="s">
        <v>1623</v>
      </c>
    </row>
    <row r="353" spans="1:3" x14ac:dyDescent="0.25">
      <c r="A353" s="120" t="s">
        <v>1215</v>
      </c>
      <c r="B353" s="120" t="s">
        <v>1405</v>
      </c>
      <c r="C353" t="s">
        <v>1624</v>
      </c>
    </row>
    <row r="354" spans="1:3" x14ac:dyDescent="0.25">
      <c r="A354" s="120" t="s">
        <v>1216</v>
      </c>
      <c r="B354" s="120" t="s">
        <v>1406</v>
      </c>
      <c r="C354" t="s">
        <v>1625</v>
      </c>
    </row>
    <row r="355" spans="1:3" x14ac:dyDescent="0.25">
      <c r="A355" s="120" t="s">
        <v>1217</v>
      </c>
      <c r="B355" s="120" t="s">
        <v>1407</v>
      </c>
      <c r="C355" t="s">
        <v>1626</v>
      </c>
    </row>
    <row r="356" spans="1:3" x14ac:dyDescent="0.25">
      <c r="A356" s="120" t="s">
        <v>1218</v>
      </c>
      <c r="B356" s="120" t="s">
        <v>1408</v>
      </c>
      <c r="C356" t="s">
        <v>1627</v>
      </c>
    </row>
    <row r="357" spans="1:3" x14ac:dyDescent="0.25">
      <c r="A357" s="120" t="s">
        <v>1219</v>
      </c>
      <c r="B357" s="120" t="s">
        <v>1409</v>
      </c>
      <c r="C357" t="s">
        <v>1628</v>
      </c>
    </row>
    <row r="358" spans="1:3" x14ac:dyDescent="0.25">
      <c r="A358" s="120" t="s">
        <v>1220</v>
      </c>
      <c r="B358" s="120" t="s">
        <v>1410</v>
      </c>
      <c r="C358" t="s">
        <v>1629</v>
      </c>
    </row>
    <row r="359" spans="1:3" x14ac:dyDescent="0.25">
      <c r="A359" s="120" t="s">
        <v>1221</v>
      </c>
      <c r="B359" s="120" t="s">
        <v>1411</v>
      </c>
      <c r="C359" t="s">
        <v>1630</v>
      </c>
    </row>
    <row r="360" spans="1:3" x14ac:dyDescent="0.25">
      <c r="A360" s="120" t="s">
        <v>1222</v>
      </c>
      <c r="B360" s="120" t="s">
        <v>1412</v>
      </c>
      <c r="C360" t="s">
        <v>1631</v>
      </c>
    </row>
    <row r="361" spans="1:3" x14ac:dyDescent="0.25">
      <c r="A361" s="120" t="s">
        <v>1223</v>
      </c>
      <c r="B361" s="120" t="s">
        <v>1413</v>
      </c>
      <c r="C361" t="s">
        <v>1632</v>
      </c>
    </row>
    <row r="362" spans="1:3" x14ac:dyDescent="0.25">
      <c r="A362" s="120" t="s">
        <v>1224</v>
      </c>
      <c r="B362" s="120" t="s">
        <v>1414</v>
      </c>
      <c r="C362" t="s">
        <v>1633</v>
      </c>
    </row>
    <row r="363" spans="1:3" x14ac:dyDescent="0.25">
      <c r="A363" s="120" t="s">
        <v>1225</v>
      </c>
      <c r="B363" s="120" t="s">
        <v>1415</v>
      </c>
      <c r="C363" t="s">
        <v>1634</v>
      </c>
    </row>
    <row r="364" spans="1:3" x14ac:dyDescent="0.25">
      <c r="A364" s="120" t="s">
        <v>1226</v>
      </c>
      <c r="B364" s="120" t="s">
        <v>1416</v>
      </c>
      <c r="C364" t="s">
        <v>1635</v>
      </c>
    </row>
    <row r="365" spans="1:3" x14ac:dyDescent="0.25">
      <c r="A365" s="120" t="s">
        <v>1226</v>
      </c>
      <c r="B365" s="120" t="s">
        <v>1417</v>
      </c>
      <c r="C365" t="s">
        <v>1636</v>
      </c>
    </row>
    <row r="366" spans="1:3" x14ac:dyDescent="0.25">
      <c r="A366" s="120" t="s">
        <v>1227</v>
      </c>
      <c r="B366" s="120" t="s">
        <v>1418</v>
      </c>
      <c r="C366" t="s">
        <v>1637</v>
      </c>
    </row>
    <row r="367" spans="1:3" x14ac:dyDescent="0.25">
      <c r="A367" s="120" t="s">
        <v>1227</v>
      </c>
      <c r="B367" s="120" t="s">
        <v>1419</v>
      </c>
      <c r="C367" t="s">
        <v>1638</v>
      </c>
    </row>
    <row r="368" spans="1:3" x14ac:dyDescent="0.25">
      <c r="A368" s="120" t="s">
        <v>1228</v>
      </c>
      <c r="B368" s="120" t="s">
        <v>1420</v>
      </c>
      <c r="C368" t="s">
        <v>1639</v>
      </c>
    </row>
    <row r="369" spans="1:3" x14ac:dyDescent="0.25">
      <c r="A369" s="120" t="s">
        <v>1229</v>
      </c>
      <c r="B369" s="120" t="s">
        <v>1421</v>
      </c>
      <c r="C369" t="s">
        <v>1640</v>
      </c>
    </row>
    <row r="370" spans="1:3" x14ac:dyDescent="0.25">
      <c r="A370" s="120" t="s">
        <v>1229</v>
      </c>
      <c r="B370" s="120" t="s">
        <v>1422</v>
      </c>
      <c r="C370" t="s">
        <v>1641</v>
      </c>
    </row>
    <row r="371" spans="1:3" x14ac:dyDescent="0.25">
      <c r="A371" s="120" t="s">
        <v>1230</v>
      </c>
      <c r="B371" s="120" t="s">
        <v>1423</v>
      </c>
      <c r="C371" t="s">
        <v>1642</v>
      </c>
    </row>
    <row r="372" spans="1:3" x14ac:dyDescent="0.25">
      <c r="A372" s="120" t="s">
        <v>1231</v>
      </c>
      <c r="B372" s="120" t="s">
        <v>1424</v>
      </c>
      <c r="C372" t="s">
        <v>1643</v>
      </c>
    </row>
    <row r="373" spans="1:3" x14ac:dyDescent="0.25">
      <c r="A373" s="120" t="s">
        <v>1232</v>
      </c>
      <c r="B373" s="120" t="s">
        <v>1425</v>
      </c>
      <c r="C373" t="s">
        <v>1644</v>
      </c>
    </row>
    <row r="374" spans="1:3" x14ac:dyDescent="0.25">
      <c r="A374" s="120" t="s">
        <v>1233</v>
      </c>
      <c r="B374" s="120" t="s">
        <v>1426</v>
      </c>
      <c r="C374" t="s">
        <v>1645</v>
      </c>
    </row>
    <row r="375" spans="1:3" x14ac:dyDescent="0.25">
      <c r="A375" s="120" t="s">
        <v>1234</v>
      </c>
      <c r="B375" s="120" t="s">
        <v>1427</v>
      </c>
      <c r="C375" t="s">
        <v>1646</v>
      </c>
    </row>
    <row r="376" spans="1:3" x14ac:dyDescent="0.25">
      <c r="A376" s="120" t="s">
        <v>1235</v>
      </c>
      <c r="B376" s="120" t="s">
        <v>1428</v>
      </c>
      <c r="C376" t="s">
        <v>1647</v>
      </c>
    </row>
    <row r="377" spans="1:3" x14ac:dyDescent="0.25">
      <c r="A377" s="120" t="s">
        <v>1236</v>
      </c>
      <c r="B377" s="120" t="s">
        <v>1429</v>
      </c>
      <c r="C377" t="s">
        <v>1648</v>
      </c>
    </row>
    <row r="378" spans="1:3" x14ac:dyDescent="0.25">
      <c r="A378" s="120" t="s">
        <v>1237</v>
      </c>
      <c r="B378" s="120" t="s">
        <v>1430</v>
      </c>
      <c r="C378" t="s">
        <v>1649</v>
      </c>
    </row>
    <row r="379" spans="1:3" x14ac:dyDescent="0.25">
      <c r="A379" s="120" t="s">
        <v>1238</v>
      </c>
      <c r="B379" s="120" t="s">
        <v>1431</v>
      </c>
      <c r="C379" t="s">
        <v>1650</v>
      </c>
    </row>
    <row r="380" spans="1:3" x14ac:dyDescent="0.25">
      <c r="A380" s="120" t="s">
        <v>1239</v>
      </c>
      <c r="B380" s="120" t="s">
        <v>1432</v>
      </c>
      <c r="C380" t="s">
        <v>1651</v>
      </c>
    </row>
    <row r="381" spans="1:3" x14ac:dyDescent="0.25">
      <c r="A381" s="120" t="s">
        <v>1240</v>
      </c>
      <c r="B381" s="120" t="s">
        <v>1433</v>
      </c>
      <c r="C381" t="s">
        <v>1652</v>
      </c>
    </row>
    <row r="382" spans="1:3" x14ac:dyDescent="0.25">
      <c r="A382" s="120" t="s">
        <v>1241</v>
      </c>
      <c r="B382" s="120" t="s">
        <v>1434</v>
      </c>
      <c r="C382" t="s">
        <v>1653</v>
      </c>
    </row>
    <row r="383" spans="1:3" x14ac:dyDescent="0.25">
      <c r="A383" s="120" t="s">
        <v>1242</v>
      </c>
      <c r="B383" s="120" t="s">
        <v>1435</v>
      </c>
      <c r="C383" t="s">
        <v>1654</v>
      </c>
    </row>
    <row r="384" spans="1:3" x14ac:dyDescent="0.25">
      <c r="A384" s="120" t="s">
        <v>1242</v>
      </c>
      <c r="B384" s="120" t="s">
        <v>1436</v>
      </c>
      <c r="C384" t="s">
        <v>1655</v>
      </c>
    </row>
    <row r="385" spans="1:3" x14ac:dyDescent="0.25">
      <c r="A385" s="120" t="s">
        <v>1243</v>
      </c>
      <c r="B385" s="120" t="s">
        <v>1437</v>
      </c>
      <c r="C385" t="s">
        <v>1656</v>
      </c>
    </row>
    <row r="386" spans="1:3" x14ac:dyDescent="0.25">
      <c r="A386" s="120" t="s">
        <v>1244</v>
      </c>
      <c r="B386" s="120" t="s">
        <v>1438</v>
      </c>
      <c r="C386" t="s">
        <v>1657</v>
      </c>
    </row>
    <row r="387" spans="1:3" x14ac:dyDescent="0.25">
      <c r="A387" s="120" t="s">
        <v>1245</v>
      </c>
      <c r="B387" s="120" t="s">
        <v>1439</v>
      </c>
      <c r="C387" t="s">
        <v>1658</v>
      </c>
    </row>
    <row r="388" spans="1:3" x14ac:dyDescent="0.25">
      <c r="A388" s="120" t="s">
        <v>1246</v>
      </c>
      <c r="B388" s="120" t="s">
        <v>1440</v>
      </c>
      <c r="C388" t="s">
        <v>1659</v>
      </c>
    </row>
    <row r="389" spans="1:3" x14ac:dyDescent="0.25">
      <c r="A389" s="120" t="s">
        <v>1246</v>
      </c>
      <c r="B389" s="120" t="s">
        <v>1441</v>
      </c>
      <c r="C389" t="s">
        <v>1660</v>
      </c>
    </row>
    <row r="390" spans="1:3" x14ac:dyDescent="0.25">
      <c r="A390" s="120" t="s">
        <v>1247</v>
      </c>
      <c r="B390" s="120" t="s">
        <v>1442</v>
      </c>
      <c r="C390" t="s">
        <v>1661</v>
      </c>
    </row>
    <row r="391" spans="1:3" x14ac:dyDescent="0.25">
      <c r="A391" s="120" t="s">
        <v>1248</v>
      </c>
      <c r="B391" s="120" t="s">
        <v>1443</v>
      </c>
      <c r="C391" t="s">
        <v>1662</v>
      </c>
    </row>
    <row r="392" spans="1:3" x14ac:dyDescent="0.25">
      <c r="A392" s="120" t="s">
        <v>1249</v>
      </c>
      <c r="B392" s="120" t="s">
        <v>1444</v>
      </c>
      <c r="C392" t="s">
        <v>1663</v>
      </c>
    </row>
    <row r="393" spans="1:3" x14ac:dyDescent="0.25">
      <c r="A393" s="120" t="s">
        <v>1250</v>
      </c>
      <c r="B393" s="120" t="s">
        <v>1445</v>
      </c>
      <c r="C393" t="s">
        <v>1664</v>
      </c>
    </row>
    <row r="394" spans="1:3" x14ac:dyDescent="0.25">
      <c r="A394" s="120" t="s">
        <v>1251</v>
      </c>
      <c r="B394" s="120" t="s">
        <v>1446</v>
      </c>
      <c r="C394" t="s">
        <v>1665</v>
      </c>
    </row>
    <row r="395" spans="1:3" x14ac:dyDescent="0.25">
      <c r="A395" s="120" t="s">
        <v>1252</v>
      </c>
      <c r="B395" s="120" t="s">
        <v>1447</v>
      </c>
      <c r="C395" t="s">
        <v>1666</v>
      </c>
    </row>
    <row r="396" spans="1:3" x14ac:dyDescent="0.25">
      <c r="A396" s="120" t="s">
        <v>1253</v>
      </c>
      <c r="B396" s="120" t="s">
        <v>1448</v>
      </c>
      <c r="C396" t="s">
        <v>1667</v>
      </c>
    </row>
    <row r="397" spans="1:3" x14ac:dyDescent="0.25">
      <c r="A397" s="120" t="s">
        <v>1254</v>
      </c>
      <c r="B397" s="120" t="s">
        <v>1449</v>
      </c>
      <c r="C397" t="s">
        <v>1668</v>
      </c>
    </row>
    <row r="398" spans="1:3" x14ac:dyDescent="0.25">
      <c r="A398" s="120" t="s">
        <v>1255</v>
      </c>
      <c r="B398" s="120" t="s">
        <v>1450</v>
      </c>
      <c r="C398" t="s">
        <v>1669</v>
      </c>
    </row>
    <row r="399" spans="1:3" x14ac:dyDescent="0.25">
      <c r="A399" s="120" t="s">
        <v>1256</v>
      </c>
      <c r="B399" s="120" t="s">
        <v>1451</v>
      </c>
      <c r="C399" t="s">
        <v>1670</v>
      </c>
    </row>
    <row r="400" spans="1:3" x14ac:dyDescent="0.25">
      <c r="A400" s="120" t="s">
        <v>1257</v>
      </c>
      <c r="B400" s="120" t="s">
        <v>1452</v>
      </c>
      <c r="C400" t="s">
        <v>1671</v>
      </c>
    </row>
    <row r="401" spans="1:3" x14ac:dyDescent="0.25">
      <c r="A401" s="120" t="s">
        <v>1257</v>
      </c>
      <c r="B401" s="120" t="s">
        <v>1453</v>
      </c>
      <c r="C401" t="s">
        <v>1672</v>
      </c>
    </row>
    <row r="402" spans="1:3" x14ac:dyDescent="0.25">
      <c r="A402" s="120" t="s">
        <v>1258</v>
      </c>
      <c r="B402" s="120" t="s">
        <v>1454</v>
      </c>
      <c r="C402" t="s">
        <v>1673</v>
      </c>
    </row>
    <row r="403" spans="1:3" x14ac:dyDescent="0.25">
      <c r="A403" s="120" t="s">
        <v>1258</v>
      </c>
      <c r="B403" s="120" t="s">
        <v>1455</v>
      </c>
      <c r="C403" t="s">
        <v>1674</v>
      </c>
    </row>
    <row r="404" spans="1:3" x14ac:dyDescent="0.25">
      <c r="A404" s="120" t="s">
        <v>1259</v>
      </c>
      <c r="B404" s="120" t="s">
        <v>1456</v>
      </c>
      <c r="C404" t="s">
        <v>1675</v>
      </c>
    </row>
    <row r="405" spans="1:3" x14ac:dyDescent="0.25">
      <c r="A405" s="120" t="s">
        <v>1260</v>
      </c>
      <c r="B405" s="120" t="s">
        <v>1457</v>
      </c>
      <c r="C405" t="s">
        <v>1676</v>
      </c>
    </row>
    <row r="406" spans="1:3" x14ac:dyDescent="0.25">
      <c r="A406" s="120" t="s">
        <v>1261</v>
      </c>
      <c r="B406" s="120" t="s">
        <v>1458</v>
      </c>
      <c r="C406" t="s">
        <v>1677</v>
      </c>
    </row>
    <row r="407" spans="1:3" x14ac:dyDescent="0.25">
      <c r="A407" s="120" t="s">
        <v>1262</v>
      </c>
      <c r="B407" s="120" t="s">
        <v>1459</v>
      </c>
      <c r="C407" t="s">
        <v>1678</v>
      </c>
    </row>
    <row r="408" spans="1:3" x14ac:dyDescent="0.25">
      <c r="A408" s="120" t="s">
        <v>1262</v>
      </c>
      <c r="B408" s="120" t="s">
        <v>1460</v>
      </c>
      <c r="C408" t="s">
        <v>1679</v>
      </c>
    </row>
    <row r="409" spans="1:3" x14ac:dyDescent="0.25">
      <c r="A409" s="120" t="s">
        <v>1263</v>
      </c>
      <c r="B409" s="120" t="s">
        <v>1461</v>
      </c>
      <c r="C409" t="s">
        <v>1680</v>
      </c>
    </row>
    <row r="410" spans="1:3" x14ac:dyDescent="0.25">
      <c r="A410" s="120" t="s">
        <v>1264</v>
      </c>
      <c r="B410" s="120" t="s">
        <v>1462</v>
      </c>
      <c r="C410" t="s">
        <v>1681</v>
      </c>
    </row>
    <row r="411" spans="1:3" x14ac:dyDescent="0.25">
      <c r="A411" s="120" t="s">
        <v>1265</v>
      </c>
      <c r="B411" s="120" t="s">
        <v>1463</v>
      </c>
      <c r="C411" t="s">
        <v>1682</v>
      </c>
    </row>
    <row r="412" spans="1:3" x14ac:dyDescent="0.25">
      <c r="A412" s="120" t="s">
        <v>1266</v>
      </c>
      <c r="B412" s="120" t="s">
        <v>1464</v>
      </c>
      <c r="C412" t="s">
        <v>1683</v>
      </c>
    </row>
    <row r="413" spans="1:3" x14ac:dyDescent="0.25">
      <c r="A413" s="120" t="s">
        <v>1267</v>
      </c>
      <c r="B413" s="120" t="s">
        <v>1465</v>
      </c>
      <c r="C413" t="s">
        <v>1684</v>
      </c>
    </row>
    <row r="414" spans="1:3" x14ac:dyDescent="0.25">
      <c r="A414" s="120" t="s">
        <v>1268</v>
      </c>
      <c r="B414" s="120" t="s">
        <v>1466</v>
      </c>
      <c r="C414" t="s">
        <v>1685</v>
      </c>
    </row>
    <row r="415" spans="1:3" x14ac:dyDescent="0.25">
      <c r="A415" s="120" t="s">
        <v>1269</v>
      </c>
      <c r="B415" s="120" t="s">
        <v>1467</v>
      </c>
      <c r="C415" t="s">
        <v>1686</v>
      </c>
    </row>
    <row r="416" spans="1:3" x14ac:dyDescent="0.25">
      <c r="A416" s="120" t="s">
        <v>1270</v>
      </c>
      <c r="B416" s="120" t="s">
        <v>1468</v>
      </c>
      <c r="C416" t="s">
        <v>1687</v>
      </c>
    </row>
    <row r="417" spans="1:3" x14ac:dyDescent="0.25">
      <c r="A417" s="120" t="s">
        <v>1271</v>
      </c>
      <c r="B417" s="120" t="s">
        <v>1469</v>
      </c>
      <c r="C417" t="s">
        <v>1688</v>
      </c>
    </row>
    <row r="418" spans="1:3" x14ac:dyDescent="0.25">
      <c r="A418" s="120" t="s">
        <v>1272</v>
      </c>
      <c r="B418" s="120" t="s">
        <v>1470</v>
      </c>
      <c r="C418" t="s">
        <v>1689</v>
      </c>
    </row>
    <row r="419" spans="1:3" x14ac:dyDescent="0.25">
      <c r="A419" s="120" t="s">
        <v>1273</v>
      </c>
      <c r="B419" s="120" t="s">
        <v>1471</v>
      </c>
      <c r="C419" t="s">
        <v>1690</v>
      </c>
    </row>
    <row r="420" spans="1:3" x14ac:dyDescent="0.25">
      <c r="A420" s="120" t="s">
        <v>1274</v>
      </c>
      <c r="B420" s="120" t="s">
        <v>1472</v>
      </c>
      <c r="C420" t="s">
        <v>1691</v>
      </c>
    </row>
    <row r="421" spans="1:3" x14ac:dyDescent="0.25">
      <c r="A421" s="120" t="s">
        <v>1275</v>
      </c>
      <c r="B421" s="120" t="s">
        <v>1473</v>
      </c>
      <c r="C421" t="s">
        <v>1692</v>
      </c>
    </row>
    <row r="422" spans="1:3" x14ac:dyDescent="0.25">
      <c r="A422" s="120" t="s">
        <v>1276</v>
      </c>
      <c r="B422" s="120" t="s">
        <v>1474</v>
      </c>
      <c r="C422" t="s">
        <v>1693</v>
      </c>
    </row>
    <row r="423" spans="1:3" x14ac:dyDescent="0.25">
      <c r="A423" s="120" t="s">
        <v>1277</v>
      </c>
      <c r="B423" s="120" t="s">
        <v>1475</v>
      </c>
      <c r="C423" t="s">
        <v>1694</v>
      </c>
    </row>
    <row r="424" spans="1:3" x14ac:dyDescent="0.25">
      <c r="A424" s="120" t="s">
        <v>1278</v>
      </c>
      <c r="B424" s="120" t="s">
        <v>1476</v>
      </c>
      <c r="C424" t="s">
        <v>1695</v>
      </c>
    </row>
    <row r="425" spans="1:3" x14ac:dyDescent="0.25">
      <c r="A425" s="120" t="s">
        <v>1279</v>
      </c>
      <c r="B425" s="120" t="s">
        <v>1477</v>
      </c>
      <c r="C425" t="s">
        <v>1696</v>
      </c>
    </row>
    <row r="426" spans="1:3" x14ac:dyDescent="0.25">
      <c r="A426" s="120" t="s">
        <v>1280</v>
      </c>
      <c r="B426" s="120" t="s">
        <v>1478</v>
      </c>
      <c r="C426" t="s">
        <v>1697</v>
      </c>
    </row>
    <row r="427" spans="1:3" x14ac:dyDescent="0.25">
      <c r="A427" s="120" t="s">
        <v>1281</v>
      </c>
      <c r="B427" s="120" t="s">
        <v>1479</v>
      </c>
      <c r="C427" t="s">
        <v>1698</v>
      </c>
    </row>
    <row r="428" spans="1:3" x14ac:dyDescent="0.25">
      <c r="A428" s="120" t="s">
        <v>1282</v>
      </c>
      <c r="B428" s="120" t="s">
        <v>1480</v>
      </c>
      <c r="C428" t="s">
        <v>1699</v>
      </c>
    </row>
    <row r="429" spans="1:3" x14ac:dyDescent="0.25">
      <c r="A429" s="120" t="s">
        <v>1283</v>
      </c>
      <c r="B429" s="120" t="s">
        <v>1481</v>
      </c>
      <c r="C429" t="s">
        <v>1700</v>
      </c>
    </row>
    <row r="430" spans="1:3" x14ac:dyDescent="0.25">
      <c r="A430" s="120" t="s">
        <v>1283</v>
      </c>
      <c r="B430" s="120" t="s">
        <v>1482</v>
      </c>
      <c r="C430" t="s">
        <v>1701</v>
      </c>
    </row>
    <row r="431" spans="1:3" x14ac:dyDescent="0.25">
      <c r="A431" s="120" t="s">
        <v>1284</v>
      </c>
      <c r="B431" s="120" t="s">
        <v>1483</v>
      </c>
      <c r="C431" t="s">
        <v>1702</v>
      </c>
    </row>
    <row r="432" spans="1:3" x14ac:dyDescent="0.25">
      <c r="A432" s="120" t="s">
        <v>1284</v>
      </c>
      <c r="B432" s="120" t="s">
        <v>1484</v>
      </c>
      <c r="C432" t="s">
        <v>1703</v>
      </c>
    </row>
    <row r="433" spans="1:3" x14ac:dyDescent="0.25">
      <c r="A433" s="120" t="s">
        <v>1285</v>
      </c>
      <c r="B433" s="120" t="s">
        <v>1485</v>
      </c>
      <c r="C433" t="s">
        <v>1704</v>
      </c>
    </row>
    <row r="434" spans="1:3" x14ac:dyDescent="0.25">
      <c r="A434" s="120" t="s">
        <v>1285</v>
      </c>
      <c r="B434" s="120" t="s">
        <v>1486</v>
      </c>
      <c r="C434" t="s">
        <v>1705</v>
      </c>
    </row>
    <row r="435" spans="1:3" x14ac:dyDescent="0.25">
      <c r="A435" s="120" t="s">
        <v>1286</v>
      </c>
      <c r="B435" s="120" t="s">
        <v>1487</v>
      </c>
      <c r="C435" t="s">
        <v>1706</v>
      </c>
    </row>
    <row r="436" spans="1:3" x14ac:dyDescent="0.25">
      <c r="A436" s="120" t="s">
        <v>1287</v>
      </c>
      <c r="B436" s="120" t="s">
        <v>1488</v>
      </c>
      <c r="C436" t="s">
        <v>1707</v>
      </c>
    </row>
    <row r="437" spans="1:3" x14ac:dyDescent="0.25">
      <c r="A437" s="120" t="s">
        <v>1288</v>
      </c>
      <c r="B437" s="120" t="s">
        <v>1489</v>
      </c>
      <c r="C437" t="s">
        <v>1708</v>
      </c>
    </row>
    <row r="438" spans="1:3" x14ac:dyDescent="0.25">
      <c r="A438" s="120" t="s">
        <v>1289</v>
      </c>
      <c r="B438" s="120" t="s">
        <v>1490</v>
      </c>
      <c r="C438" t="s">
        <v>1709</v>
      </c>
    </row>
    <row r="439" spans="1:3" x14ac:dyDescent="0.25">
      <c r="A439" s="120" t="s">
        <v>1290</v>
      </c>
      <c r="B439" s="120" t="s">
        <v>1491</v>
      </c>
      <c r="C439" t="s">
        <v>1710</v>
      </c>
    </row>
    <row r="440" spans="1:3" x14ac:dyDescent="0.25">
      <c r="A440" s="120" t="s">
        <v>1291</v>
      </c>
      <c r="B440" s="120" t="s">
        <v>1492</v>
      </c>
      <c r="C440" t="s">
        <v>1711</v>
      </c>
    </row>
    <row r="441" spans="1:3" x14ac:dyDescent="0.25">
      <c r="A441" s="120" t="s">
        <v>1291</v>
      </c>
      <c r="B441" s="120" t="s">
        <v>1493</v>
      </c>
      <c r="C441" t="s">
        <v>1712</v>
      </c>
    </row>
    <row r="442" spans="1:3" x14ac:dyDescent="0.25">
      <c r="A442" s="120" t="s">
        <v>1292</v>
      </c>
      <c r="B442" s="120" t="s">
        <v>1494</v>
      </c>
      <c r="C442" t="s">
        <v>1713</v>
      </c>
    </row>
    <row r="443" spans="1:3" x14ac:dyDescent="0.25">
      <c r="A443" s="120" t="s">
        <v>1293</v>
      </c>
      <c r="B443" s="120" t="s">
        <v>1495</v>
      </c>
      <c r="C443" t="s">
        <v>1714</v>
      </c>
    </row>
    <row r="444" spans="1:3" x14ac:dyDescent="0.25">
      <c r="A444" s="120" t="s">
        <v>1293</v>
      </c>
      <c r="B444" s="120" t="s">
        <v>1496</v>
      </c>
      <c r="C444" t="s">
        <v>1715</v>
      </c>
    </row>
    <row r="445" spans="1:3" x14ac:dyDescent="0.25">
      <c r="A445" s="120" t="s">
        <v>1294</v>
      </c>
      <c r="B445" s="120" t="s">
        <v>1497</v>
      </c>
      <c r="C445" t="s">
        <v>1716</v>
      </c>
    </row>
    <row r="446" spans="1:3" x14ac:dyDescent="0.25">
      <c r="A446" s="120" t="s">
        <v>1295</v>
      </c>
      <c r="B446" s="120" t="s">
        <v>1498</v>
      </c>
      <c r="C446" t="s">
        <v>1717</v>
      </c>
    </row>
    <row r="447" spans="1:3" x14ac:dyDescent="0.25">
      <c r="A447" s="120" t="s">
        <v>1296</v>
      </c>
      <c r="B447" s="120" t="s">
        <v>1499</v>
      </c>
      <c r="C447" t="s">
        <v>1718</v>
      </c>
    </row>
    <row r="448" spans="1:3" x14ac:dyDescent="0.25">
      <c r="A448" s="120" t="s">
        <v>1297</v>
      </c>
      <c r="B448" s="120" t="s">
        <v>1500</v>
      </c>
      <c r="C448" t="s">
        <v>1719</v>
      </c>
    </row>
    <row r="449" spans="1:3" x14ac:dyDescent="0.25">
      <c r="A449" s="120" t="s">
        <v>1298</v>
      </c>
      <c r="B449" s="120" t="s">
        <v>1501</v>
      </c>
      <c r="C449" t="s">
        <v>1720</v>
      </c>
    </row>
    <row r="450" spans="1:3" x14ac:dyDescent="0.25">
      <c r="A450" s="120" t="s">
        <v>1299</v>
      </c>
      <c r="B450" s="120" t="s">
        <v>1502</v>
      </c>
      <c r="C450" t="s">
        <v>1721</v>
      </c>
    </row>
    <row r="451" spans="1:3" x14ac:dyDescent="0.25">
      <c r="A451" s="120" t="s">
        <v>1300</v>
      </c>
      <c r="B451" s="120" t="s">
        <v>1503</v>
      </c>
      <c r="C451" t="s">
        <v>1722</v>
      </c>
    </row>
    <row r="452" spans="1:3" x14ac:dyDescent="0.25">
      <c r="A452" s="120" t="s">
        <v>1301</v>
      </c>
      <c r="B452" s="120" t="s">
        <v>1504</v>
      </c>
      <c r="C452" t="s">
        <v>1723</v>
      </c>
    </row>
    <row r="453" spans="1:3" x14ac:dyDescent="0.25">
      <c r="A453" s="120" t="s">
        <v>1302</v>
      </c>
      <c r="B453" s="120" t="s">
        <v>1505</v>
      </c>
      <c r="C453" t="s">
        <v>1724</v>
      </c>
    </row>
    <row r="454" spans="1:3" x14ac:dyDescent="0.25">
      <c r="A454" s="120" t="s">
        <v>1303</v>
      </c>
      <c r="B454" s="120" t="s">
        <v>1506</v>
      </c>
      <c r="C454" t="s">
        <v>1725</v>
      </c>
    </row>
    <row r="455" spans="1:3" x14ac:dyDescent="0.25">
      <c r="A455" s="120" t="s">
        <v>1304</v>
      </c>
      <c r="B455" s="120" t="s">
        <v>1507</v>
      </c>
      <c r="C455" t="s">
        <v>1726</v>
      </c>
    </row>
    <row r="456" spans="1:3" x14ac:dyDescent="0.25">
      <c r="A456" s="120" t="s">
        <v>1305</v>
      </c>
      <c r="B456" s="120" t="s">
        <v>1508</v>
      </c>
      <c r="C456" t="s">
        <v>1727</v>
      </c>
    </row>
    <row r="457" spans="1:3" x14ac:dyDescent="0.25">
      <c r="A457" s="120" t="s">
        <v>1306</v>
      </c>
      <c r="B457" s="120" t="s">
        <v>1509</v>
      </c>
      <c r="C457" t="s">
        <v>1728</v>
      </c>
    </row>
    <row r="458" spans="1:3" x14ac:dyDescent="0.25">
      <c r="A458" s="120" t="s">
        <v>1307</v>
      </c>
      <c r="B458" s="120" t="s">
        <v>1510</v>
      </c>
      <c r="C458" t="s">
        <v>1729</v>
      </c>
    </row>
    <row r="459" spans="1:3" x14ac:dyDescent="0.25">
      <c r="A459" s="120" t="s">
        <v>1308</v>
      </c>
      <c r="B459" s="120" t="s">
        <v>1511</v>
      </c>
      <c r="C459" t="s">
        <v>1730</v>
      </c>
    </row>
    <row r="460" spans="1:3" x14ac:dyDescent="0.25">
      <c r="A460" s="120" t="s">
        <v>1309</v>
      </c>
      <c r="B460" s="120" t="s">
        <v>1512</v>
      </c>
      <c r="C460" t="s">
        <v>1731</v>
      </c>
    </row>
    <row r="461" spans="1:3" x14ac:dyDescent="0.25">
      <c r="A461" s="120" t="s">
        <v>1310</v>
      </c>
      <c r="B461" s="120" t="s">
        <v>1513</v>
      </c>
      <c r="C461" t="s">
        <v>1732</v>
      </c>
    </row>
    <row r="462" spans="1:3" x14ac:dyDescent="0.25">
      <c r="A462" s="120" t="s">
        <v>1311</v>
      </c>
      <c r="B462" s="120" t="s">
        <v>1514</v>
      </c>
      <c r="C462" t="s">
        <v>1733</v>
      </c>
    </row>
    <row r="463" spans="1:3" x14ac:dyDescent="0.25">
      <c r="A463" s="120" t="s">
        <v>1312</v>
      </c>
      <c r="B463" s="120" t="s">
        <v>1515</v>
      </c>
      <c r="C463" t="s">
        <v>1734</v>
      </c>
    </row>
    <row r="464" spans="1:3" x14ac:dyDescent="0.25">
      <c r="A464" s="120" t="s">
        <v>1313</v>
      </c>
      <c r="B464" s="120" t="s">
        <v>1516</v>
      </c>
      <c r="C464" t="s">
        <v>1735</v>
      </c>
    </row>
    <row r="465" spans="1:3" x14ac:dyDescent="0.25">
      <c r="A465" s="120" t="s">
        <v>1314</v>
      </c>
      <c r="B465" s="120" t="s">
        <v>1517</v>
      </c>
      <c r="C465" t="s">
        <v>1736</v>
      </c>
    </row>
    <row r="466" spans="1:3" x14ac:dyDescent="0.25">
      <c r="A466" s="120" t="s">
        <v>1314</v>
      </c>
      <c r="B466" s="120" t="s">
        <v>1518</v>
      </c>
      <c r="C466" t="s">
        <v>1737</v>
      </c>
    </row>
    <row r="467" spans="1:3" x14ac:dyDescent="0.25">
      <c r="A467" s="120" t="s">
        <v>1315</v>
      </c>
      <c r="B467" s="120" t="s">
        <v>1519</v>
      </c>
      <c r="C467" t="s">
        <v>1738</v>
      </c>
    </row>
    <row r="468" spans="1:3" x14ac:dyDescent="0.25">
      <c r="A468" s="120" t="s">
        <v>1315</v>
      </c>
      <c r="B468" s="120" t="s">
        <v>1520</v>
      </c>
      <c r="C468" t="s">
        <v>1739</v>
      </c>
    </row>
    <row r="469" spans="1:3" x14ac:dyDescent="0.25">
      <c r="A469" s="120" t="s">
        <v>1316</v>
      </c>
      <c r="B469" s="120" t="s">
        <v>1521</v>
      </c>
      <c r="C469" t="s">
        <v>1740</v>
      </c>
    </row>
    <row r="470" spans="1:3" x14ac:dyDescent="0.25">
      <c r="A470" s="120" t="s">
        <v>1317</v>
      </c>
      <c r="B470" s="120" t="s">
        <v>1522</v>
      </c>
      <c r="C470" t="s">
        <v>1741</v>
      </c>
    </row>
    <row r="471" spans="1:3" x14ac:dyDescent="0.25">
      <c r="A471" s="120" t="s">
        <v>1317</v>
      </c>
      <c r="B471" s="120" t="s">
        <v>1523</v>
      </c>
      <c r="C471" t="s">
        <v>1742</v>
      </c>
    </row>
    <row r="472" spans="1:3" x14ac:dyDescent="0.25">
      <c r="A472" s="120" t="s">
        <v>1318</v>
      </c>
      <c r="B472" s="120" t="s">
        <v>1524</v>
      </c>
      <c r="C472" t="s">
        <v>1743</v>
      </c>
    </row>
    <row r="473" spans="1:3" x14ac:dyDescent="0.25">
      <c r="A473" s="120" t="s">
        <v>1319</v>
      </c>
      <c r="B473" s="120" t="s">
        <v>1525</v>
      </c>
      <c r="C473" t="s">
        <v>1744</v>
      </c>
    </row>
    <row r="474" spans="1:3" x14ac:dyDescent="0.25">
      <c r="A474" s="120" t="s">
        <v>1320</v>
      </c>
      <c r="B474" s="120" t="s">
        <v>1526</v>
      </c>
      <c r="C474" t="s">
        <v>1745</v>
      </c>
    </row>
    <row r="475" spans="1:3" x14ac:dyDescent="0.25">
      <c r="A475" s="120" t="s">
        <v>1321</v>
      </c>
      <c r="B475" s="120" t="s">
        <v>1527</v>
      </c>
      <c r="C475" t="s">
        <v>1746</v>
      </c>
    </row>
    <row r="476" spans="1:3" x14ac:dyDescent="0.25">
      <c r="A476" s="120" t="s">
        <v>1322</v>
      </c>
      <c r="B476" s="120" t="s">
        <v>1528</v>
      </c>
      <c r="C476" t="s">
        <v>1747</v>
      </c>
    </row>
    <row r="477" spans="1:3" x14ac:dyDescent="0.25">
      <c r="A477" s="120" t="s">
        <v>1323</v>
      </c>
      <c r="B477" s="120" t="s">
        <v>1529</v>
      </c>
      <c r="C477" t="s">
        <v>1748</v>
      </c>
    </row>
    <row r="478" spans="1:3" x14ac:dyDescent="0.25">
      <c r="A478" s="120" t="s">
        <v>1323</v>
      </c>
      <c r="B478" s="120" t="s">
        <v>1530</v>
      </c>
      <c r="C478" t="s">
        <v>1749</v>
      </c>
    </row>
    <row r="479" spans="1:3" x14ac:dyDescent="0.25">
      <c r="A479" s="120" t="s">
        <v>1324</v>
      </c>
      <c r="B479" s="120" t="s">
        <v>1531</v>
      </c>
      <c r="C479" t="s">
        <v>1750</v>
      </c>
    </row>
    <row r="480" spans="1:3" x14ac:dyDescent="0.25">
      <c r="A480" s="120" t="s">
        <v>1324</v>
      </c>
      <c r="B480" s="120" t="s">
        <v>1532</v>
      </c>
      <c r="C480" t="s">
        <v>1751</v>
      </c>
    </row>
    <row r="481" spans="1:3" x14ac:dyDescent="0.25">
      <c r="A481" s="120" t="s">
        <v>1325</v>
      </c>
      <c r="B481" s="120" t="s">
        <v>1533</v>
      </c>
      <c r="C481" t="s">
        <v>1752</v>
      </c>
    </row>
    <row r="482" spans="1:3" x14ac:dyDescent="0.25">
      <c r="A482" s="120" t="s">
        <v>1325</v>
      </c>
      <c r="B482" s="120" t="s">
        <v>1534</v>
      </c>
      <c r="C482" t="s">
        <v>1753</v>
      </c>
    </row>
    <row r="483" spans="1:3" x14ac:dyDescent="0.25">
      <c r="A483" s="120" t="s">
        <v>1326</v>
      </c>
      <c r="B483" s="120" t="s">
        <v>1535</v>
      </c>
      <c r="C483" t="s">
        <v>1754</v>
      </c>
    </row>
    <row r="484" spans="1:3" x14ac:dyDescent="0.25">
      <c r="A484" s="120" t="s">
        <v>1326</v>
      </c>
      <c r="B484" s="120" t="s">
        <v>1536</v>
      </c>
      <c r="C484" t="s">
        <v>1755</v>
      </c>
    </row>
    <row r="485" spans="1:3" x14ac:dyDescent="0.25">
      <c r="A485" s="120" t="s">
        <v>1327</v>
      </c>
      <c r="B485" s="120" t="s">
        <v>1537</v>
      </c>
      <c r="C485" t="s">
        <v>1756</v>
      </c>
    </row>
    <row r="486" spans="1:3" x14ac:dyDescent="0.25">
      <c r="A486" s="120" t="s">
        <v>1327</v>
      </c>
      <c r="B486" s="120" t="s">
        <v>1538</v>
      </c>
      <c r="C486" t="s">
        <v>1757</v>
      </c>
    </row>
    <row r="487" spans="1:3" x14ac:dyDescent="0.25">
      <c r="A487" s="120" t="s">
        <v>1328</v>
      </c>
      <c r="B487" s="120" t="s">
        <v>1539</v>
      </c>
      <c r="C487" t="s">
        <v>1758</v>
      </c>
    </row>
    <row r="488" spans="1:3" x14ac:dyDescent="0.25">
      <c r="A488" s="120" t="s">
        <v>1329</v>
      </c>
      <c r="B488" s="120" t="s">
        <v>1540</v>
      </c>
      <c r="C488" t="s">
        <v>1759</v>
      </c>
    </row>
    <row r="489" spans="1:3" x14ac:dyDescent="0.25">
      <c r="A489" s="120" t="s">
        <v>1329</v>
      </c>
      <c r="B489" s="120" t="s">
        <v>1541</v>
      </c>
      <c r="C489" t="s">
        <v>1760</v>
      </c>
    </row>
    <row r="490" spans="1:3" x14ac:dyDescent="0.25">
      <c r="A490" s="120" t="s">
        <v>1330</v>
      </c>
      <c r="B490" s="120" t="s">
        <v>1542</v>
      </c>
      <c r="C490" t="s">
        <v>1761</v>
      </c>
    </row>
    <row r="491" spans="1:3" x14ac:dyDescent="0.25">
      <c r="A491" s="120" t="s">
        <v>1331</v>
      </c>
      <c r="B491" s="120" t="s">
        <v>1543</v>
      </c>
      <c r="C491" t="s">
        <v>1762</v>
      </c>
    </row>
    <row r="492" spans="1:3" x14ac:dyDescent="0.25">
      <c r="A492" s="120" t="s">
        <v>1332</v>
      </c>
      <c r="B492" s="120" t="s">
        <v>1544</v>
      </c>
      <c r="C492" t="s">
        <v>1763</v>
      </c>
    </row>
    <row r="493" spans="1:3" x14ac:dyDescent="0.25">
      <c r="A493" s="120" t="s">
        <v>1333</v>
      </c>
      <c r="B493" s="120" t="s">
        <v>1545</v>
      </c>
      <c r="C493" t="s">
        <v>1764</v>
      </c>
    </row>
    <row r="494" spans="1:3" x14ac:dyDescent="0.25">
      <c r="A494" s="120" t="s">
        <v>1334</v>
      </c>
      <c r="B494" s="120" t="s">
        <v>1546</v>
      </c>
      <c r="C494" t="s">
        <v>1765</v>
      </c>
    </row>
    <row r="495" spans="1:3" x14ac:dyDescent="0.25">
      <c r="A495" s="120" t="s">
        <v>1335</v>
      </c>
      <c r="B495" s="120" t="s">
        <v>1547</v>
      </c>
      <c r="C495" t="s">
        <v>1766</v>
      </c>
    </row>
    <row r="496" spans="1:3" x14ac:dyDescent="0.25">
      <c r="A496" s="120" t="s">
        <v>1336</v>
      </c>
      <c r="B496" s="120" t="s">
        <v>1548</v>
      </c>
      <c r="C496" t="s">
        <v>1767</v>
      </c>
    </row>
    <row r="497" spans="1:3" x14ac:dyDescent="0.25">
      <c r="A497" s="120" t="s">
        <v>1337</v>
      </c>
      <c r="B497" s="120" t="s">
        <v>1549</v>
      </c>
      <c r="C497" t="s">
        <v>1768</v>
      </c>
    </row>
    <row r="498" spans="1:3" x14ac:dyDescent="0.25">
      <c r="A498" s="120" t="s">
        <v>1338</v>
      </c>
      <c r="B498" s="120" t="s">
        <v>1550</v>
      </c>
      <c r="C498" t="s">
        <v>1769</v>
      </c>
    </row>
    <row r="499" spans="1:3" x14ac:dyDescent="0.25">
      <c r="A499" s="120" t="s">
        <v>1339</v>
      </c>
      <c r="B499" s="120" t="s">
        <v>1551</v>
      </c>
      <c r="C499" t="s">
        <v>1770</v>
      </c>
    </row>
    <row r="500" spans="1:3" x14ac:dyDescent="0.25">
      <c r="A500" s="120" t="s">
        <v>1340</v>
      </c>
      <c r="B500" s="120" t="s">
        <v>1552</v>
      </c>
      <c r="C500" t="s">
        <v>1771</v>
      </c>
    </row>
    <row r="501" spans="1:3" x14ac:dyDescent="0.25">
      <c r="A501" s="120" t="s">
        <v>1341</v>
      </c>
      <c r="B501" s="120" t="s">
        <v>1553</v>
      </c>
      <c r="C501" t="s">
        <v>1772</v>
      </c>
    </row>
    <row r="502" spans="1:3" x14ac:dyDescent="0.25">
      <c r="A502" s="120" t="s">
        <v>1342</v>
      </c>
      <c r="B502" s="120" t="s">
        <v>1554</v>
      </c>
      <c r="C502" t="s">
        <v>1773</v>
      </c>
    </row>
    <row r="503" spans="1:3" x14ac:dyDescent="0.25">
      <c r="A503" s="120" t="s">
        <v>1343</v>
      </c>
      <c r="B503" s="120" t="s">
        <v>1555</v>
      </c>
      <c r="C503" t="s">
        <v>1774</v>
      </c>
    </row>
    <row r="504" spans="1:3" x14ac:dyDescent="0.25">
      <c r="A504" s="120" t="s">
        <v>1344</v>
      </c>
      <c r="B504" s="120" t="s">
        <v>1556</v>
      </c>
      <c r="C504" t="s">
        <v>1775</v>
      </c>
    </row>
    <row r="505" spans="1:3" x14ac:dyDescent="0.25">
      <c r="A505" s="120" t="s">
        <v>1345</v>
      </c>
      <c r="B505" s="120" t="s">
        <v>1557</v>
      </c>
      <c r="C505" t="s">
        <v>1776</v>
      </c>
    </row>
    <row r="506" spans="1:3" x14ac:dyDescent="0.25">
      <c r="A506" s="120" t="s">
        <v>1346</v>
      </c>
      <c r="B506" s="120" t="s">
        <v>1558</v>
      </c>
      <c r="C506" t="s">
        <v>1777</v>
      </c>
    </row>
    <row r="507" spans="1:3" x14ac:dyDescent="0.25">
      <c r="A507" s="120" t="s">
        <v>1346</v>
      </c>
      <c r="B507" s="120" t="s">
        <v>1559</v>
      </c>
      <c r="C507" t="s">
        <v>1778</v>
      </c>
    </row>
    <row r="508" spans="1:3" x14ac:dyDescent="0.25">
      <c r="A508" s="120" t="s">
        <v>1347</v>
      </c>
      <c r="B508" s="120" t="s">
        <v>1560</v>
      </c>
      <c r="C508" t="s">
        <v>1779</v>
      </c>
    </row>
    <row r="509" spans="1:3" x14ac:dyDescent="0.25">
      <c r="A509" s="120" t="s">
        <v>1348</v>
      </c>
      <c r="B509" s="120" t="s">
        <v>1561</v>
      </c>
      <c r="C509" t="s">
        <v>1780</v>
      </c>
    </row>
    <row r="510" spans="1:3" x14ac:dyDescent="0.25">
      <c r="A510" s="120" t="s">
        <v>1349</v>
      </c>
      <c r="B510" s="120" t="s">
        <v>1562</v>
      </c>
      <c r="C510" t="s">
        <v>1781</v>
      </c>
    </row>
    <row r="511" spans="1:3" x14ac:dyDescent="0.25">
      <c r="A511" s="120" t="s">
        <v>1350</v>
      </c>
      <c r="B511" s="120" t="s">
        <v>1563</v>
      </c>
      <c r="C511" t="s">
        <v>1782</v>
      </c>
    </row>
    <row r="512" spans="1:3" x14ac:dyDescent="0.25">
      <c r="A512" s="120" t="s">
        <v>1350</v>
      </c>
      <c r="B512" s="120" t="s">
        <v>1564</v>
      </c>
      <c r="C512" t="s">
        <v>1783</v>
      </c>
    </row>
    <row r="513" spans="1:3" x14ac:dyDescent="0.25">
      <c r="A513" s="120" t="s">
        <v>1351</v>
      </c>
      <c r="B513" s="120" t="s">
        <v>1565</v>
      </c>
      <c r="C513" t="s">
        <v>1784</v>
      </c>
    </row>
    <row r="514" spans="1:3" x14ac:dyDescent="0.25">
      <c r="A514" s="120" t="s">
        <v>1352</v>
      </c>
      <c r="B514" s="120" t="s">
        <v>1566</v>
      </c>
      <c r="C514" t="s">
        <v>1785</v>
      </c>
    </row>
    <row r="515" spans="1:3" x14ac:dyDescent="0.25">
      <c r="A515" s="120" t="s">
        <v>1353</v>
      </c>
      <c r="B515" s="120" t="s">
        <v>1567</v>
      </c>
      <c r="C515" t="s">
        <v>1786</v>
      </c>
    </row>
    <row r="516" spans="1:3" x14ac:dyDescent="0.25">
      <c r="A516" s="120" t="s">
        <v>1354</v>
      </c>
      <c r="B516" s="120" t="s">
        <v>1568</v>
      </c>
      <c r="C516" t="s">
        <v>1787</v>
      </c>
    </row>
    <row r="517" spans="1:3" x14ac:dyDescent="0.25">
      <c r="A517" s="120" t="s">
        <v>1355</v>
      </c>
      <c r="B517" s="120" t="s">
        <v>1569</v>
      </c>
      <c r="C517" t="s">
        <v>1788</v>
      </c>
    </row>
    <row r="518" spans="1:3" x14ac:dyDescent="0.25">
      <c r="A518" s="120" t="s">
        <v>1356</v>
      </c>
      <c r="B518" s="120" t="s">
        <v>1570</v>
      </c>
      <c r="C518" t="s">
        <v>1789</v>
      </c>
    </row>
    <row r="519" spans="1:3" x14ac:dyDescent="0.25">
      <c r="A519" s="120" t="s">
        <v>1357</v>
      </c>
      <c r="B519" s="120" t="s">
        <v>1571</v>
      </c>
      <c r="C519" t="s">
        <v>1790</v>
      </c>
    </row>
    <row r="520" spans="1:3" x14ac:dyDescent="0.25">
      <c r="A520" s="120" t="s">
        <v>1358</v>
      </c>
      <c r="B520" s="120" t="s">
        <v>1572</v>
      </c>
      <c r="C520" t="s">
        <v>1791</v>
      </c>
    </row>
    <row r="521" spans="1:3" x14ac:dyDescent="0.25">
      <c r="A521" s="120" t="s">
        <v>1359</v>
      </c>
      <c r="B521" s="120" t="s">
        <v>1573</v>
      </c>
      <c r="C521" t="s">
        <v>1792</v>
      </c>
    </row>
    <row r="522" spans="1:3" x14ac:dyDescent="0.25">
      <c r="A522" s="120" t="s">
        <v>1360</v>
      </c>
      <c r="B522" s="120" t="s">
        <v>1574</v>
      </c>
      <c r="C522" t="s">
        <v>1793</v>
      </c>
    </row>
    <row r="523" spans="1:3" x14ac:dyDescent="0.25">
      <c r="A523" s="120" t="s">
        <v>1361</v>
      </c>
      <c r="B523" s="120" t="s">
        <v>1575</v>
      </c>
      <c r="C523" t="s">
        <v>1794</v>
      </c>
    </row>
    <row r="524" spans="1:3" x14ac:dyDescent="0.25">
      <c r="A524" s="120" t="s">
        <v>1362</v>
      </c>
      <c r="B524" s="120" t="s">
        <v>1576</v>
      </c>
      <c r="C524" t="s">
        <v>1795</v>
      </c>
    </row>
    <row r="525" spans="1:3" x14ac:dyDescent="0.25">
      <c r="A525" s="120" t="s">
        <v>1363</v>
      </c>
      <c r="B525" s="120" t="s">
        <v>1577</v>
      </c>
      <c r="C525" t="s">
        <v>1796</v>
      </c>
    </row>
    <row r="526" spans="1:3" x14ac:dyDescent="0.25">
      <c r="A526" s="120" t="s">
        <v>1364</v>
      </c>
      <c r="B526" s="120" t="s">
        <v>1578</v>
      </c>
      <c r="C526" t="s">
        <v>1797</v>
      </c>
    </row>
    <row r="527" spans="1:3" x14ac:dyDescent="0.25">
      <c r="A527" s="120" t="s">
        <v>1365</v>
      </c>
      <c r="B527" s="120" t="s">
        <v>1579</v>
      </c>
      <c r="C527" t="s">
        <v>1798</v>
      </c>
    </row>
    <row r="528" spans="1:3" x14ac:dyDescent="0.25">
      <c r="A528" s="120" t="s">
        <v>1366</v>
      </c>
      <c r="B528" s="120" t="s">
        <v>1580</v>
      </c>
      <c r="C528" t="s">
        <v>1799</v>
      </c>
    </row>
    <row r="529" spans="1:3" x14ac:dyDescent="0.25">
      <c r="A529" s="120" t="s">
        <v>1367</v>
      </c>
      <c r="B529" s="120" t="s">
        <v>1581</v>
      </c>
      <c r="C529" t="s">
        <v>1800</v>
      </c>
    </row>
    <row r="530" spans="1:3" x14ac:dyDescent="0.25">
      <c r="A530" s="120" t="s">
        <v>1368</v>
      </c>
      <c r="B530" s="120" t="s">
        <v>1582</v>
      </c>
      <c r="C530" t="s">
        <v>1801</v>
      </c>
    </row>
    <row r="531" spans="1:3" x14ac:dyDescent="0.25">
      <c r="A531" s="120" t="s">
        <v>1369</v>
      </c>
      <c r="B531" s="120" t="s">
        <v>1583</v>
      </c>
      <c r="C531" t="s">
        <v>1802</v>
      </c>
    </row>
    <row r="532" spans="1:3" x14ac:dyDescent="0.25">
      <c r="A532" s="120" t="s">
        <v>1369</v>
      </c>
      <c r="B532" s="120" t="s">
        <v>1584</v>
      </c>
      <c r="C532" t="s">
        <v>1803</v>
      </c>
    </row>
    <row r="533" spans="1:3" x14ac:dyDescent="0.25">
      <c r="A533" s="120" t="s">
        <v>1370</v>
      </c>
      <c r="B533" s="120" t="s">
        <v>1585</v>
      </c>
      <c r="C533" t="s">
        <v>1804</v>
      </c>
    </row>
    <row r="534" spans="1:3" x14ac:dyDescent="0.25">
      <c r="A534" s="120" t="s">
        <v>1370</v>
      </c>
      <c r="B534" s="120" t="s">
        <v>1586</v>
      </c>
      <c r="C534" t="s">
        <v>1805</v>
      </c>
    </row>
    <row r="535" spans="1:3" x14ac:dyDescent="0.25">
      <c r="A535" s="120" t="s">
        <v>1371</v>
      </c>
      <c r="B535" s="120" t="s">
        <v>1587</v>
      </c>
      <c r="C535" t="s">
        <v>1806</v>
      </c>
    </row>
    <row r="536" spans="1:3" x14ac:dyDescent="0.25">
      <c r="A536" s="120" t="s">
        <v>1371</v>
      </c>
      <c r="B536" s="120" t="s">
        <v>1588</v>
      </c>
      <c r="C536" t="s">
        <v>1807</v>
      </c>
    </row>
    <row r="537" spans="1:3" x14ac:dyDescent="0.25">
      <c r="A537" s="120" t="s">
        <v>1372</v>
      </c>
      <c r="B537" s="120" t="s">
        <v>1589</v>
      </c>
      <c r="C537" t="s">
        <v>1808</v>
      </c>
    </row>
    <row r="538" spans="1:3" x14ac:dyDescent="0.25">
      <c r="A538" s="120" t="s">
        <v>1372</v>
      </c>
      <c r="B538" s="120" t="s">
        <v>1590</v>
      </c>
      <c r="C538" t="s">
        <v>1809</v>
      </c>
    </row>
    <row r="539" spans="1:3" x14ac:dyDescent="0.25">
      <c r="A539" s="120" t="s">
        <v>1372</v>
      </c>
      <c r="B539" s="120" t="s">
        <v>1591</v>
      </c>
      <c r="C539" t="s">
        <v>1810</v>
      </c>
    </row>
    <row r="541" spans="1:3" x14ac:dyDescent="0.25">
      <c r="A541" t="s">
        <v>122</v>
      </c>
      <c r="B541" t="s">
        <v>123</v>
      </c>
      <c r="C541" t="s">
        <v>124</v>
      </c>
    </row>
    <row r="542" spans="1:3" x14ac:dyDescent="0.25">
      <c r="A542" t="s">
        <v>1811</v>
      </c>
      <c r="B542" t="s">
        <v>1812</v>
      </c>
      <c r="C542" t="s">
        <v>1813</v>
      </c>
    </row>
    <row r="543" spans="1:3" x14ac:dyDescent="0.25">
      <c r="A543" t="s">
        <v>1814</v>
      </c>
      <c r="B543" t="s">
        <v>1815</v>
      </c>
      <c r="C543" t="s">
        <v>1816</v>
      </c>
    </row>
    <row r="544" spans="1:3" x14ac:dyDescent="0.25">
      <c r="A544" t="s">
        <v>1817</v>
      </c>
      <c r="B544" t="s">
        <v>1818</v>
      </c>
      <c r="C544" t="s">
        <v>1819</v>
      </c>
    </row>
    <row r="545" spans="1:3" x14ac:dyDescent="0.25">
      <c r="A545" t="s">
        <v>1820</v>
      </c>
      <c r="B545" t="s">
        <v>1821</v>
      </c>
      <c r="C545" t="s">
        <v>1822</v>
      </c>
    </row>
    <row r="546" spans="1:3" x14ac:dyDescent="0.25">
      <c r="A546" t="s">
        <v>1823</v>
      </c>
      <c r="B546" t="s">
        <v>1824</v>
      </c>
      <c r="C546" t="s">
        <v>1825</v>
      </c>
    </row>
    <row r="547" spans="1:3" x14ac:dyDescent="0.25">
      <c r="A547" t="s">
        <v>1826</v>
      </c>
      <c r="B547" t="s">
        <v>1827</v>
      </c>
      <c r="C547" t="s">
        <v>1828</v>
      </c>
    </row>
    <row r="548" spans="1:3" x14ac:dyDescent="0.25">
      <c r="A548" t="s">
        <v>1829</v>
      </c>
      <c r="B548" t="s">
        <v>1830</v>
      </c>
      <c r="C548" t="s">
        <v>1831</v>
      </c>
    </row>
    <row r="549" spans="1:3" x14ac:dyDescent="0.25">
      <c r="A549" t="s">
        <v>1832</v>
      </c>
      <c r="B549" t="s">
        <v>1833</v>
      </c>
      <c r="C549" t="s">
        <v>1834</v>
      </c>
    </row>
    <row r="550" spans="1:3" x14ac:dyDescent="0.25">
      <c r="A550" t="s">
        <v>1835</v>
      </c>
      <c r="B550" t="s">
        <v>1836</v>
      </c>
      <c r="C550" t="s">
        <v>1837</v>
      </c>
    </row>
    <row r="551" spans="1:3" x14ac:dyDescent="0.25">
      <c r="A551" t="s">
        <v>1838</v>
      </c>
      <c r="B551" t="s">
        <v>1839</v>
      </c>
      <c r="C551" t="s">
        <v>1840</v>
      </c>
    </row>
    <row r="552" spans="1:3" x14ac:dyDescent="0.25">
      <c r="A552" t="s">
        <v>1841</v>
      </c>
      <c r="B552" t="s">
        <v>1842</v>
      </c>
      <c r="C552" t="s">
        <v>1843</v>
      </c>
    </row>
    <row r="553" spans="1:3" x14ac:dyDescent="0.25">
      <c r="A553" t="s">
        <v>1844</v>
      </c>
      <c r="B553" t="s">
        <v>1845</v>
      </c>
      <c r="C553" t="s">
        <v>1846</v>
      </c>
    </row>
    <row r="554" spans="1:3" x14ac:dyDescent="0.25">
      <c r="A554" t="s">
        <v>1847</v>
      </c>
      <c r="B554" t="s">
        <v>1848</v>
      </c>
      <c r="C554" t="s">
        <v>1849</v>
      </c>
    </row>
    <row r="555" spans="1:3" x14ac:dyDescent="0.25">
      <c r="A555" t="s">
        <v>1850</v>
      </c>
      <c r="B555" t="s">
        <v>1851</v>
      </c>
      <c r="C555" t="s">
        <v>1852</v>
      </c>
    </row>
    <row r="556" spans="1:3" x14ac:dyDescent="0.25">
      <c r="A556" t="s">
        <v>1853</v>
      </c>
      <c r="B556" t="s">
        <v>1854</v>
      </c>
      <c r="C556" t="s">
        <v>1855</v>
      </c>
    </row>
    <row r="557" spans="1:3" x14ac:dyDescent="0.25">
      <c r="A557" t="s">
        <v>1856</v>
      </c>
      <c r="B557" t="s">
        <v>1857</v>
      </c>
      <c r="C557" t="s">
        <v>1858</v>
      </c>
    </row>
    <row r="558" spans="1:3" x14ac:dyDescent="0.25">
      <c r="A558" t="s">
        <v>1859</v>
      </c>
      <c r="B558" t="s">
        <v>1860</v>
      </c>
      <c r="C558" t="s">
        <v>1861</v>
      </c>
    </row>
    <row r="559" spans="1:3" x14ac:dyDescent="0.25">
      <c r="A559" t="s">
        <v>1862</v>
      </c>
      <c r="B559" t="s">
        <v>1863</v>
      </c>
      <c r="C559" t="s">
        <v>1864</v>
      </c>
    </row>
    <row r="560" spans="1:3" x14ac:dyDescent="0.25">
      <c r="A560" t="s">
        <v>1865</v>
      </c>
      <c r="B560" t="s">
        <v>1866</v>
      </c>
      <c r="C560" t="s">
        <v>1867</v>
      </c>
    </row>
    <row r="561" spans="1:3" x14ac:dyDescent="0.25">
      <c r="A561" t="s">
        <v>1868</v>
      </c>
      <c r="B561" t="s">
        <v>1869</v>
      </c>
      <c r="C561" t="s">
        <v>1870</v>
      </c>
    </row>
    <row r="562" spans="1:3" x14ac:dyDescent="0.25">
      <c r="A562" t="s">
        <v>1871</v>
      </c>
      <c r="B562" t="s">
        <v>1872</v>
      </c>
      <c r="C562" t="s">
        <v>161</v>
      </c>
    </row>
    <row r="563" spans="1:3" x14ac:dyDescent="0.25">
      <c r="A563" t="s">
        <v>1873</v>
      </c>
      <c r="B563" t="s">
        <v>1874</v>
      </c>
      <c r="C563" t="s">
        <v>1875</v>
      </c>
    </row>
    <row r="564" spans="1:3" x14ac:dyDescent="0.25">
      <c r="A564" t="s">
        <v>1876</v>
      </c>
      <c r="B564" t="s">
        <v>1877</v>
      </c>
      <c r="C564" t="s">
        <v>162</v>
      </c>
    </row>
    <row r="565" spans="1:3" x14ac:dyDescent="0.25">
      <c r="A565" t="s">
        <v>1878</v>
      </c>
      <c r="B565" t="s">
        <v>1879</v>
      </c>
      <c r="C565" t="s">
        <v>1880</v>
      </c>
    </row>
    <row r="566" spans="1:3" x14ac:dyDescent="0.25">
      <c r="A566" t="s">
        <v>1881</v>
      </c>
      <c r="B566" t="s">
        <v>1882</v>
      </c>
      <c r="C566" t="s">
        <v>1883</v>
      </c>
    </row>
    <row r="567" spans="1:3" x14ac:dyDescent="0.25">
      <c r="A567" t="s">
        <v>1884</v>
      </c>
      <c r="B567" t="s">
        <v>1885</v>
      </c>
      <c r="C567" t="s">
        <v>1886</v>
      </c>
    </row>
    <row r="568" spans="1:3" x14ac:dyDescent="0.25">
      <c r="A568" t="s">
        <v>1887</v>
      </c>
      <c r="B568" t="s">
        <v>1888</v>
      </c>
      <c r="C568" t="s">
        <v>1889</v>
      </c>
    </row>
    <row r="569" spans="1:3" x14ac:dyDescent="0.25">
      <c r="A569" t="s">
        <v>1890</v>
      </c>
      <c r="B569" t="s">
        <v>1891</v>
      </c>
      <c r="C569" t="s">
        <v>1892</v>
      </c>
    </row>
    <row r="570" spans="1:3" x14ac:dyDescent="0.25">
      <c r="A570" t="s">
        <v>1893</v>
      </c>
      <c r="B570" t="s">
        <v>90</v>
      </c>
      <c r="C570" t="s">
        <v>1894</v>
      </c>
    </row>
    <row r="571" spans="1:3" x14ac:dyDescent="0.25">
      <c r="A571" t="s">
        <v>1895</v>
      </c>
      <c r="B571" t="s">
        <v>1896</v>
      </c>
      <c r="C571" t="s">
        <v>1897</v>
      </c>
    </row>
    <row r="572" spans="1:3" x14ac:dyDescent="0.25">
      <c r="A572" t="s">
        <v>1898</v>
      </c>
      <c r="B572" t="s">
        <v>1899</v>
      </c>
      <c r="C572" t="s">
        <v>1900</v>
      </c>
    </row>
    <row r="573" spans="1:3" x14ac:dyDescent="0.25">
      <c r="A573" t="s">
        <v>1901</v>
      </c>
      <c r="B573" t="s">
        <v>1902</v>
      </c>
      <c r="C573" t="s">
        <v>163</v>
      </c>
    </row>
    <row r="574" spans="1:3" x14ac:dyDescent="0.25">
      <c r="A574" t="s">
        <v>1903</v>
      </c>
      <c r="B574" t="s">
        <v>1904</v>
      </c>
      <c r="C574" t="s">
        <v>164</v>
      </c>
    </row>
    <row r="575" spans="1:3" x14ac:dyDescent="0.25">
      <c r="A575" t="s">
        <v>1905</v>
      </c>
      <c r="B575" t="s">
        <v>1906</v>
      </c>
      <c r="C575" t="s">
        <v>1907</v>
      </c>
    </row>
    <row r="576" spans="1:3" x14ac:dyDescent="0.25">
      <c r="A576" t="s">
        <v>1908</v>
      </c>
      <c r="B576" t="s">
        <v>1909</v>
      </c>
      <c r="C576" t="s">
        <v>1910</v>
      </c>
    </row>
    <row r="577" spans="1:3" x14ac:dyDescent="0.25">
      <c r="A577" t="s">
        <v>1911</v>
      </c>
      <c r="B577" t="s">
        <v>1912</v>
      </c>
      <c r="C577" t="s">
        <v>165</v>
      </c>
    </row>
    <row r="578" spans="1:3" x14ac:dyDescent="0.25">
      <c r="A578" t="s">
        <v>95</v>
      </c>
      <c r="B578" t="s">
        <v>1913</v>
      </c>
      <c r="C578" t="s">
        <v>166</v>
      </c>
    </row>
    <row r="579" spans="1:3" x14ac:dyDescent="0.25">
      <c r="A579" t="s">
        <v>1914</v>
      </c>
      <c r="B579" t="s">
        <v>89</v>
      </c>
      <c r="C579" t="s">
        <v>1915</v>
      </c>
    </row>
    <row r="580" spans="1:3" x14ac:dyDescent="0.25">
      <c r="A580" t="s">
        <v>1916</v>
      </c>
      <c r="B580" t="s">
        <v>88</v>
      </c>
      <c r="C580" t="s">
        <v>168</v>
      </c>
    </row>
    <row r="581" spans="1:3" x14ac:dyDescent="0.25">
      <c r="A581" t="s">
        <v>1917</v>
      </c>
      <c r="B581" t="s">
        <v>1918</v>
      </c>
      <c r="C581" t="s">
        <v>1919</v>
      </c>
    </row>
    <row r="582" spans="1:3" x14ac:dyDescent="0.25">
      <c r="A582" t="s">
        <v>1920</v>
      </c>
      <c r="B582" t="s">
        <v>1921</v>
      </c>
      <c r="C582" t="s">
        <v>1922</v>
      </c>
    </row>
    <row r="583" spans="1:3" x14ac:dyDescent="0.25">
      <c r="A583" t="s">
        <v>1923</v>
      </c>
      <c r="B583" t="s">
        <v>1924</v>
      </c>
      <c r="C583" t="s">
        <v>1925</v>
      </c>
    </row>
    <row r="584" spans="1:3" x14ac:dyDescent="0.25">
      <c r="A584" t="s">
        <v>1926</v>
      </c>
      <c r="B584" t="s">
        <v>1927</v>
      </c>
      <c r="C584" t="s">
        <v>1928</v>
      </c>
    </row>
    <row r="585" spans="1:3" x14ac:dyDescent="0.25">
      <c r="A585" t="s">
        <v>1929</v>
      </c>
      <c r="B585" t="s">
        <v>1930</v>
      </c>
      <c r="C585" t="s">
        <v>1931</v>
      </c>
    </row>
    <row r="586" spans="1:3" x14ac:dyDescent="0.25">
      <c r="A586" t="s">
        <v>1932</v>
      </c>
      <c r="B586" t="s">
        <v>1933</v>
      </c>
      <c r="C586" t="s">
        <v>169</v>
      </c>
    </row>
    <row r="587" spans="1:3" x14ac:dyDescent="0.25">
      <c r="A587" t="s">
        <v>1934</v>
      </c>
      <c r="B587" t="s">
        <v>1935</v>
      </c>
      <c r="C587" t="s">
        <v>170</v>
      </c>
    </row>
    <row r="588" spans="1:3" x14ac:dyDescent="0.25">
      <c r="A588" t="s">
        <v>1936</v>
      </c>
      <c r="B588" t="s">
        <v>1937</v>
      </c>
      <c r="C588" t="s">
        <v>1938</v>
      </c>
    </row>
    <row r="589" spans="1:3" x14ac:dyDescent="0.25">
      <c r="A589" t="s">
        <v>1939</v>
      </c>
      <c r="B589" t="s">
        <v>1940</v>
      </c>
      <c r="C589" t="s">
        <v>1941</v>
      </c>
    </row>
    <row r="590" spans="1:3" x14ac:dyDescent="0.25">
      <c r="A590" t="s">
        <v>1942</v>
      </c>
      <c r="B590" t="s">
        <v>87</v>
      </c>
      <c r="C590" t="s">
        <v>1943</v>
      </c>
    </row>
    <row r="591" spans="1:3" x14ac:dyDescent="0.25">
      <c r="A591" t="s">
        <v>1944</v>
      </c>
      <c r="B591" t="s">
        <v>1945</v>
      </c>
      <c r="C591" t="s">
        <v>171</v>
      </c>
    </row>
    <row r="592" spans="1:3" x14ac:dyDescent="0.25">
      <c r="A592" t="s">
        <v>1946</v>
      </c>
      <c r="B592" t="s">
        <v>1947</v>
      </c>
      <c r="C592" t="s">
        <v>1948</v>
      </c>
    </row>
    <row r="593" spans="1:3" x14ac:dyDescent="0.25">
      <c r="A593" t="s">
        <v>1949</v>
      </c>
      <c r="B593" t="s">
        <v>1950</v>
      </c>
      <c r="C593" t="s">
        <v>1951</v>
      </c>
    </row>
    <row r="594" spans="1:3" x14ac:dyDescent="0.25">
      <c r="A594" t="s">
        <v>1952</v>
      </c>
      <c r="B594" t="s">
        <v>86</v>
      </c>
      <c r="C594" t="s">
        <v>1953</v>
      </c>
    </row>
    <row r="595" spans="1:3" x14ac:dyDescent="0.25">
      <c r="A595" t="s">
        <v>1954</v>
      </c>
      <c r="B595" t="s">
        <v>1955</v>
      </c>
      <c r="C595" t="s">
        <v>1956</v>
      </c>
    </row>
    <row r="596" spans="1:3" x14ac:dyDescent="0.25">
      <c r="A596" t="s">
        <v>1957</v>
      </c>
      <c r="B596" t="s">
        <v>85</v>
      </c>
      <c r="C596" t="s">
        <v>1958</v>
      </c>
    </row>
    <row r="597" spans="1:3" x14ac:dyDescent="0.25">
      <c r="A597" t="s">
        <v>1959</v>
      </c>
      <c r="B597" t="s">
        <v>1960</v>
      </c>
      <c r="C597" t="s">
        <v>1961</v>
      </c>
    </row>
    <row r="598" spans="1:3" x14ac:dyDescent="0.25">
      <c r="A598" t="s">
        <v>1962</v>
      </c>
      <c r="B598" t="s">
        <v>1963</v>
      </c>
      <c r="C598" t="s">
        <v>1964</v>
      </c>
    </row>
    <row r="599" spans="1:3" x14ac:dyDescent="0.25">
      <c r="A599" t="s">
        <v>1965</v>
      </c>
      <c r="B599" t="s">
        <v>1966</v>
      </c>
      <c r="C599" t="s">
        <v>1967</v>
      </c>
    </row>
    <row r="600" spans="1:3" x14ac:dyDescent="0.25">
      <c r="A600" t="s">
        <v>1968</v>
      </c>
      <c r="B600" t="s">
        <v>1969</v>
      </c>
      <c r="C600" t="s">
        <v>1970</v>
      </c>
    </row>
    <row r="601" spans="1:3" x14ac:dyDescent="0.25">
      <c r="A601" t="s">
        <v>1971</v>
      </c>
      <c r="B601" t="s">
        <v>1972</v>
      </c>
      <c r="C601" t="s">
        <v>1973</v>
      </c>
    </row>
    <row r="602" spans="1:3" x14ac:dyDescent="0.25">
      <c r="A602" t="s">
        <v>1974</v>
      </c>
      <c r="B602" t="s">
        <v>1975</v>
      </c>
      <c r="C602" t="s">
        <v>1976</v>
      </c>
    </row>
    <row r="603" spans="1:3" x14ac:dyDescent="0.25">
      <c r="A603" t="s">
        <v>1977</v>
      </c>
      <c r="B603" t="s">
        <v>1978</v>
      </c>
      <c r="C603" t="s">
        <v>172</v>
      </c>
    </row>
    <row r="604" spans="1:3" x14ac:dyDescent="0.25">
      <c r="A604" t="s">
        <v>1979</v>
      </c>
      <c r="B604" t="s">
        <v>1980</v>
      </c>
      <c r="C604" t="s">
        <v>173</v>
      </c>
    </row>
    <row r="605" spans="1:3" x14ac:dyDescent="0.25">
      <c r="A605" t="s">
        <v>1981</v>
      </c>
      <c r="B605" t="s">
        <v>1982</v>
      </c>
      <c r="C605" t="s">
        <v>1983</v>
      </c>
    </row>
    <row r="606" spans="1:3" x14ac:dyDescent="0.25">
      <c r="A606" t="s">
        <v>1984</v>
      </c>
      <c r="B606" t="s">
        <v>1985</v>
      </c>
      <c r="C606" t="s">
        <v>1986</v>
      </c>
    </row>
    <row r="607" spans="1:3" x14ac:dyDescent="0.25">
      <c r="A607" t="s">
        <v>1987</v>
      </c>
      <c r="B607" t="s">
        <v>84</v>
      </c>
      <c r="C607" t="s">
        <v>1988</v>
      </c>
    </row>
    <row r="608" spans="1:3" x14ac:dyDescent="0.25">
      <c r="A608" t="s">
        <v>1989</v>
      </c>
      <c r="B608" t="s">
        <v>1990</v>
      </c>
      <c r="C608" t="s">
        <v>1991</v>
      </c>
    </row>
    <row r="609" spans="1:3" x14ac:dyDescent="0.25">
      <c r="A609" t="s">
        <v>1992</v>
      </c>
      <c r="B609" t="s">
        <v>83</v>
      </c>
      <c r="C609" t="s">
        <v>1993</v>
      </c>
    </row>
    <row r="610" spans="1:3" x14ac:dyDescent="0.25">
      <c r="A610" t="s">
        <v>1994</v>
      </c>
      <c r="B610" t="s">
        <v>1995</v>
      </c>
      <c r="C610" t="s">
        <v>1996</v>
      </c>
    </row>
    <row r="611" spans="1:3" x14ac:dyDescent="0.25">
      <c r="A611" t="s">
        <v>1997</v>
      </c>
      <c r="B611" t="s">
        <v>1998</v>
      </c>
      <c r="C611" t="s">
        <v>1999</v>
      </c>
    </row>
    <row r="612" spans="1:3" x14ac:dyDescent="0.25">
      <c r="A612" t="s">
        <v>2000</v>
      </c>
      <c r="B612" t="s">
        <v>2001</v>
      </c>
      <c r="C612" t="s">
        <v>2002</v>
      </c>
    </row>
    <row r="613" spans="1:3" x14ac:dyDescent="0.25">
      <c r="A613" t="s">
        <v>2003</v>
      </c>
      <c r="B613" t="s">
        <v>2004</v>
      </c>
      <c r="C613" t="s">
        <v>2005</v>
      </c>
    </row>
    <row r="614" spans="1:3" x14ac:dyDescent="0.25">
      <c r="A614" t="s">
        <v>2006</v>
      </c>
      <c r="B614" t="s">
        <v>2007</v>
      </c>
      <c r="C614" t="s">
        <v>174</v>
      </c>
    </row>
    <row r="615" spans="1:3" x14ac:dyDescent="0.25">
      <c r="A615" t="s">
        <v>2008</v>
      </c>
      <c r="B615" t="s">
        <v>2009</v>
      </c>
      <c r="C615" t="s">
        <v>175</v>
      </c>
    </row>
    <row r="616" spans="1:3" x14ac:dyDescent="0.25">
      <c r="A616" t="s">
        <v>2010</v>
      </c>
      <c r="B616" t="s">
        <v>44</v>
      </c>
      <c r="C616" t="s">
        <v>2011</v>
      </c>
    </row>
    <row r="617" spans="1:3" x14ac:dyDescent="0.25">
      <c r="A617" t="s">
        <v>2012</v>
      </c>
      <c r="B617" t="s">
        <v>2013</v>
      </c>
      <c r="C617" t="s">
        <v>2014</v>
      </c>
    </row>
    <row r="618" spans="1:3" x14ac:dyDescent="0.25">
      <c r="A618" t="s">
        <v>2015</v>
      </c>
      <c r="B618" t="s">
        <v>2016</v>
      </c>
      <c r="C618" t="s">
        <v>2017</v>
      </c>
    </row>
    <row r="619" spans="1:3" x14ac:dyDescent="0.25">
      <c r="A619" t="s">
        <v>2018</v>
      </c>
      <c r="B619" t="s">
        <v>2019</v>
      </c>
      <c r="C619" t="s">
        <v>2020</v>
      </c>
    </row>
    <row r="620" spans="1:3" x14ac:dyDescent="0.25">
      <c r="A620" t="s">
        <v>2021</v>
      </c>
      <c r="B620" t="s">
        <v>2022</v>
      </c>
      <c r="C620" t="s">
        <v>2023</v>
      </c>
    </row>
    <row r="621" spans="1:3" x14ac:dyDescent="0.25">
      <c r="A621" t="s">
        <v>2024</v>
      </c>
      <c r="B621" t="s">
        <v>2025</v>
      </c>
      <c r="C621" t="s">
        <v>2026</v>
      </c>
    </row>
    <row r="622" spans="1:3" x14ac:dyDescent="0.25">
      <c r="A622" t="s">
        <v>2027</v>
      </c>
      <c r="B622" t="s">
        <v>2028</v>
      </c>
      <c r="C622" t="s">
        <v>2029</v>
      </c>
    </row>
    <row r="623" spans="1:3" x14ac:dyDescent="0.25">
      <c r="A623" t="s">
        <v>2030</v>
      </c>
      <c r="B623" t="s">
        <v>2031</v>
      </c>
      <c r="C623" t="s">
        <v>2032</v>
      </c>
    </row>
    <row r="624" spans="1:3" x14ac:dyDescent="0.25">
      <c r="A624" t="s">
        <v>2033</v>
      </c>
      <c r="B624" t="s">
        <v>2034</v>
      </c>
      <c r="C624" t="s">
        <v>2035</v>
      </c>
    </row>
    <row r="625" spans="1:3" x14ac:dyDescent="0.25">
      <c r="A625" t="s">
        <v>2036</v>
      </c>
      <c r="B625" t="s">
        <v>2037</v>
      </c>
      <c r="C625" t="s">
        <v>2038</v>
      </c>
    </row>
    <row r="626" spans="1:3" x14ac:dyDescent="0.25">
      <c r="A626" t="s">
        <v>2039</v>
      </c>
      <c r="B626" t="s">
        <v>82</v>
      </c>
      <c r="C626" t="s">
        <v>2040</v>
      </c>
    </row>
    <row r="627" spans="1:3" x14ac:dyDescent="0.25">
      <c r="A627" t="s">
        <v>2041</v>
      </c>
      <c r="B627" t="s">
        <v>2042</v>
      </c>
      <c r="C627" t="s">
        <v>2043</v>
      </c>
    </row>
    <row r="628" spans="1:3" x14ac:dyDescent="0.25">
      <c r="A628" t="s">
        <v>2044</v>
      </c>
      <c r="B628" t="s">
        <v>81</v>
      </c>
      <c r="C628" t="s">
        <v>2045</v>
      </c>
    </row>
    <row r="629" spans="1:3" x14ac:dyDescent="0.25">
      <c r="A629" t="s">
        <v>2046</v>
      </c>
      <c r="B629" t="s">
        <v>2047</v>
      </c>
      <c r="C629" t="s">
        <v>2048</v>
      </c>
    </row>
    <row r="630" spans="1:3" x14ac:dyDescent="0.25">
      <c r="A630" t="s">
        <v>2049</v>
      </c>
      <c r="B630" t="s">
        <v>2050</v>
      </c>
      <c r="C630" t="s">
        <v>2051</v>
      </c>
    </row>
    <row r="631" spans="1:3" x14ac:dyDescent="0.25">
      <c r="A631" t="s">
        <v>2052</v>
      </c>
      <c r="B631" t="s">
        <v>2053</v>
      </c>
      <c r="C631" t="s">
        <v>2054</v>
      </c>
    </row>
    <row r="632" spans="1:3" x14ac:dyDescent="0.25">
      <c r="A632" t="s">
        <v>2055</v>
      </c>
      <c r="B632" t="s">
        <v>2056</v>
      </c>
      <c r="C632" t="s">
        <v>2057</v>
      </c>
    </row>
    <row r="633" spans="1:3" x14ac:dyDescent="0.25">
      <c r="A633" t="s">
        <v>2058</v>
      </c>
      <c r="B633" t="s">
        <v>2059</v>
      </c>
      <c r="C633" t="s">
        <v>2060</v>
      </c>
    </row>
    <row r="634" spans="1:3" x14ac:dyDescent="0.25">
      <c r="A634" t="s">
        <v>2061</v>
      </c>
      <c r="B634" t="s">
        <v>2062</v>
      </c>
      <c r="C634" t="s">
        <v>2063</v>
      </c>
    </row>
    <row r="635" spans="1:3" x14ac:dyDescent="0.25">
      <c r="A635" t="s">
        <v>2064</v>
      </c>
      <c r="B635" t="s">
        <v>2065</v>
      </c>
      <c r="C635" t="s">
        <v>177</v>
      </c>
    </row>
    <row r="636" spans="1:3" x14ac:dyDescent="0.25">
      <c r="A636" t="s">
        <v>2066</v>
      </c>
      <c r="B636" t="s">
        <v>2067</v>
      </c>
      <c r="C636" t="s">
        <v>2068</v>
      </c>
    </row>
    <row r="637" spans="1:3" x14ac:dyDescent="0.25">
      <c r="A637" t="s">
        <v>2069</v>
      </c>
      <c r="B637" t="s">
        <v>2070</v>
      </c>
      <c r="C637" t="s">
        <v>2071</v>
      </c>
    </row>
    <row r="638" spans="1:3" x14ac:dyDescent="0.25">
      <c r="A638" t="s">
        <v>2072</v>
      </c>
      <c r="B638" t="s">
        <v>2073</v>
      </c>
      <c r="C638" t="s">
        <v>176</v>
      </c>
    </row>
    <row r="639" spans="1:3" x14ac:dyDescent="0.25">
      <c r="A639" t="s">
        <v>2074</v>
      </c>
      <c r="B639" t="s">
        <v>2075</v>
      </c>
      <c r="C639" t="s">
        <v>2076</v>
      </c>
    </row>
    <row r="640" spans="1:3" x14ac:dyDescent="0.25">
      <c r="A640" t="s">
        <v>2077</v>
      </c>
      <c r="B640" t="s">
        <v>2078</v>
      </c>
      <c r="C640" t="s">
        <v>2079</v>
      </c>
    </row>
    <row r="641" spans="1:3" x14ac:dyDescent="0.25">
      <c r="A641" t="s">
        <v>2080</v>
      </c>
      <c r="B641" t="s">
        <v>2081</v>
      </c>
      <c r="C641" t="s">
        <v>2082</v>
      </c>
    </row>
    <row r="642" spans="1:3" x14ac:dyDescent="0.25">
      <c r="A642" t="s">
        <v>2083</v>
      </c>
      <c r="B642" t="s">
        <v>2084</v>
      </c>
      <c r="C642" t="s">
        <v>2085</v>
      </c>
    </row>
    <row r="643" spans="1:3" x14ac:dyDescent="0.25">
      <c r="A643" t="s">
        <v>2086</v>
      </c>
      <c r="B643" t="s">
        <v>2087</v>
      </c>
      <c r="C643" t="s">
        <v>2088</v>
      </c>
    </row>
    <row r="644" spans="1:3" x14ac:dyDescent="0.25">
      <c r="A644" t="s">
        <v>2089</v>
      </c>
      <c r="B644" t="s">
        <v>2090</v>
      </c>
      <c r="C644" t="s">
        <v>2091</v>
      </c>
    </row>
    <row r="645" spans="1:3" x14ac:dyDescent="0.25">
      <c r="A645" t="s">
        <v>2092</v>
      </c>
      <c r="B645" t="s">
        <v>2093</v>
      </c>
      <c r="C645" t="s">
        <v>2094</v>
      </c>
    </row>
    <row r="646" spans="1:3" x14ac:dyDescent="0.25">
      <c r="A646" t="s">
        <v>2095</v>
      </c>
      <c r="B646" t="s">
        <v>2096</v>
      </c>
      <c r="C646" t="s">
        <v>2097</v>
      </c>
    </row>
    <row r="647" spans="1:3" x14ac:dyDescent="0.25">
      <c r="A647" t="s">
        <v>2098</v>
      </c>
      <c r="B647" t="s">
        <v>2099</v>
      </c>
      <c r="C647" t="s">
        <v>178</v>
      </c>
    </row>
    <row r="648" spans="1:3" x14ac:dyDescent="0.25">
      <c r="A648" t="s">
        <v>2100</v>
      </c>
      <c r="B648" t="s">
        <v>2101</v>
      </c>
      <c r="C648" t="s">
        <v>2102</v>
      </c>
    </row>
    <row r="649" spans="1:3" x14ac:dyDescent="0.25">
      <c r="A649" t="s">
        <v>2103</v>
      </c>
      <c r="B649" t="s">
        <v>2104</v>
      </c>
      <c r="C649" t="s">
        <v>2105</v>
      </c>
    </row>
    <row r="650" spans="1:3" x14ac:dyDescent="0.25">
      <c r="A650" t="s">
        <v>2106</v>
      </c>
      <c r="B650" t="s">
        <v>2107</v>
      </c>
      <c r="C650" t="s">
        <v>2108</v>
      </c>
    </row>
    <row r="651" spans="1:3" x14ac:dyDescent="0.25">
      <c r="A651" t="s">
        <v>2109</v>
      </c>
      <c r="B651" t="s">
        <v>2110</v>
      </c>
      <c r="C651" t="s">
        <v>2111</v>
      </c>
    </row>
    <row r="652" spans="1:3" x14ac:dyDescent="0.25">
      <c r="A652" t="s">
        <v>2112</v>
      </c>
      <c r="B652" t="s">
        <v>2113</v>
      </c>
      <c r="C652" t="s">
        <v>2114</v>
      </c>
    </row>
    <row r="653" spans="1:3" x14ac:dyDescent="0.25">
      <c r="A653" t="s">
        <v>2115</v>
      </c>
      <c r="B653" t="s">
        <v>80</v>
      </c>
      <c r="C653" t="s">
        <v>2116</v>
      </c>
    </row>
    <row r="654" spans="1:3" x14ac:dyDescent="0.25">
      <c r="A654" t="s">
        <v>2117</v>
      </c>
      <c r="B654" t="s">
        <v>79</v>
      </c>
      <c r="C654" t="s">
        <v>2118</v>
      </c>
    </row>
    <row r="655" spans="1:3" x14ac:dyDescent="0.25">
      <c r="A655" t="s">
        <v>2119</v>
      </c>
      <c r="B655" t="s">
        <v>2120</v>
      </c>
      <c r="C655" t="s">
        <v>2121</v>
      </c>
    </row>
    <row r="656" spans="1:3" x14ac:dyDescent="0.25">
      <c r="A656" t="s">
        <v>2122</v>
      </c>
      <c r="B656" t="s">
        <v>2123</v>
      </c>
      <c r="C656" t="s">
        <v>2124</v>
      </c>
    </row>
    <row r="657" spans="1:3" x14ac:dyDescent="0.25">
      <c r="A657" t="s">
        <v>2125</v>
      </c>
      <c r="B657" t="s">
        <v>2126</v>
      </c>
      <c r="C657" t="s">
        <v>2127</v>
      </c>
    </row>
    <row r="658" spans="1:3" x14ac:dyDescent="0.25">
      <c r="A658" t="s">
        <v>2128</v>
      </c>
      <c r="B658" t="s">
        <v>2129</v>
      </c>
      <c r="C658" t="s">
        <v>2130</v>
      </c>
    </row>
    <row r="659" spans="1:3" x14ac:dyDescent="0.25">
      <c r="A659" t="s">
        <v>2131</v>
      </c>
      <c r="B659" t="s">
        <v>2132</v>
      </c>
      <c r="C659" t="s">
        <v>179</v>
      </c>
    </row>
    <row r="660" spans="1:3" x14ac:dyDescent="0.25">
      <c r="A660" t="s">
        <v>2133</v>
      </c>
      <c r="B660" t="s">
        <v>129</v>
      </c>
      <c r="C660" t="s">
        <v>2134</v>
      </c>
    </row>
    <row r="661" spans="1:3" x14ac:dyDescent="0.25">
      <c r="A661" t="s">
        <v>2135</v>
      </c>
      <c r="B661" t="s">
        <v>2136</v>
      </c>
      <c r="C661" t="s">
        <v>2137</v>
      </c>
    </row>
    <row r="662" spans="1:3" x14ac:dyDescent="0.25">
      <c r="A662" t="s">
        <v>2138</v>
      </c>
      <c r="B662" t="s">
        <v>2139</v>
      </c>
      <c r="C662" t="s">
        <v>180</v>
      </c>
    </row>
    <row r="663" spans="1:3" x14ac:dyDescent="0.25">
      <c r="A663" t="s">
        <v>2140</v>
      </c>
      <c r="B663" t="s">
        <v>2141</v>
      </c>
      <c r="C663" t="s">
        <v>2142</v>
      </c>
    </row>
    <row r="664" spans="1:3" x14ac:dyDescent="0.25">
      <c r="A664" t="s">
        <v>2143</v>
      </c>
      <c r="B664" t="s">
        <v>78</v>
      </c>
      <c r="C664" t="s">
        <v>2144</v>
      </c>
    </row>
    <row r="665" spans="1:3" x14ac:dyDescent="0.25">
      <c r="A665" t="s">
        <v>2145</v>
      </c>
      <c r="B665" t="s">
        <v>2146</v>
      </c>
      <c r="C665" t="s">
        <v>2147</v>
      </c>
    </row>
    <row r="666" spans="1:3" x14ac:dyDescent="0.25">
      <c r="A666" t="s">
        <v>2148</v>
      </c>
      <c r="B666" t="s">
        <v>77</v>
      </c>
      <c r="C666" t="s">
        <v>2149</v>
      </c>
    </row>
    <row r="667" spans="1:3" x14ac:dyDescent="0.25">
      <c r="A667" t="s">
        <v>2150</v>
      </c>
      <c r="B667" t="s">
        <v>2151</v>
      </c>
      <c r="C667" t="s">
        <v>2152</v>
      </c>
    </row>
    <row r="668" spans="1:3" x14ac:dyDescent="0.25">
      <c r="A668" t="s">
        <v>2153</v>
      </c>
      <c r="B668" t="s">
        <v>2154</v>
      </c>
      <c r="C668" t="s">
        <v>2155</v>
      </c>
    </row>
    <row r="669" spans="1:3" x14ac:dyDescent="0.25">
      <c r="A669" t="s">
        <v>2156</v>
      </c>
      <c r="B669" t="s">
        <v>2157</v>
      </c>
      <c r="C669" t="s">
        <v>2158</v>
      </c>
    </row>
    <row r="670" spans="1:3" x14ac:dyDescent="0.25">
      <c r="A670" t="s">
        <v>2159</v>
      </c>
      <c r="B670" t="s">
        <v>2160</v>
      </c>
      <c r="C670" t="s">
        <v>2161</v>
      </c>
    </row>
    <row r="671" spans="1:3" x14ac:dyDescent="0.25">
      <c r="A671" t="s">
        <v>2162</v>
      </c>
      <c r="B671" t="s">
        <v>2163</v>
      </c>
      <c r="C671" t="s">
        <v>181</v>
      </c>
    </row>
    <row r="672" spans="1:3" x14ac:dyDescent="0.25">
      <c r="A672" t="s">
        <v>2164</v>
      </c>
      <c r="B672" t="s">
        <v>2165</v>
      </c>
      <c r="C672" t="s">
        <v>182</v>
      </c>
    </row>
    <row r="673" spans="1:3" x14ac:dyDescent="0.25">
      <c r="A673" t="s">
        <v>2166</v>
      </c>
      <c r="B673" t="s">
        <v>2167</v>
      </c>
      <c r="C673" t="s">
        <v>2168</v>
      </c>
    </row>
    <row r="674" spans="1:3" x14ac:dyDescent="0.25">
      <c r="A674" t="s">
        <v>2169</v>
      </c>
      <c r="B674" t="s">
        <v>2170</v>
      </c>
      <c r="C674" t="s">
        <v>2171</v>
      </c>
    </row>
    <row r="675" spans="1:3" x14ac:dyDescent="0.25">
      <c r="A675" t="s">
        <v>2172</v>
      </c>
      <c r="B675" t="s">
        <v>2173</v>
      </c>
      <c r="C675" t="s">
        <v>2174</v>
      </c>
    </row>
    <row r="676" spans="1:3" x14ac:dyDescent="0.25">
      <c r="A676" t="s">
        <v>2175</v>
      </c>
      <c r="B676" t="s">
        <v>76</v>
      </c>
      <c r="C676" t="s">
        <v>183</v>
      </c>
    </row>
    <row r="677" spans="1:3" x14ac:dyDescent="0.25">
      <c r="A677" t="s">
        <v>2176</v>
      </c>
      <c r="B677" t="s">
        <v>2177</v>
      </c>
      <c r="C677" t="s">
        <v>2178</v>
      </c>
    </row>
    <row r="678" spans="1:3" x14ac:dyDescent="0.25">
      <c r="A678" t="s">
        <v>2179</v>
      </c>
      <c r="B678" t="s">
        <v>75</v>
      </c>
      <c r="C678" t="s">
        <v>2180</v>
      </c>
    </row>
    <row r="679" spans="1:3" x14ac:dyDescent="0.25">
      <c r="A679" t="s">
        <v>2181</v>
      </c>
      <c r="B679" t="s">
        <v>2182</v>
      </c>
      <c r="C679" t="s">
        <v>2183</v>
      </c>
    </row>
    <row r="680" spans="1:3" x14ac:dyDescent="0.25">
      <c r="A680" t="s">
        <v>2184</v>
      </c>
      <c r="B680" t="s">
        <v>2185</v>
      </c>
      <c r="C680" t="s">
        <v>2186</v>
      </c>
    </row>
    <row r="681" spans="1:3" x14ac:dyDescent="0.25">
      <c r="A681" t="s">
        <v>2187</v>
      </c>
      <c r="B681" t="s">
        <v>74</v>
      </c>
      <c r="C681" t="s">
        <v>2188</v>
      </c>
    </row>
    <row r="682" spans="1:3" x14ac:dyDescent="0.25">
      <c r="A682" t="s">
        <v>2189</v>
      </c>
      <c r="B682" t="s">
        <v>2190</v>
      </c>
      <c r="C682" t="s">
        <v>184</v>
      </c>
    </row>
    <row r="683" spans="1:3" x14ac:dyDescent="0.25">
      <c r="A683" t="s">
        <v>2191</v>
      </c>
      <c r="B683" t="s">
        <v>2192</v>
      </c>
      <c r="C683" t="s">
        <v>185</v>
      </c>
    </row>
    <row r="684" spans="1:3" x14ac:dyDescent="0.25">
      <c r="A684" t="s">
        <v>2193</v>
      </c>
      <c r="B684" t="s">
        <v>2194</v>
      </c>
      <c r="C684" t="s">
        <v>2195</v>
      </c>
    </row>
    <row r="685" spans="1:3" x14ac:dyDescent="0.25">
      <c r="A685" t="s">
        <v>2196</v>
      </c>
      <c r="B685" t="s">
        <v>73</v>
      </c>
      <c r="C685" t="s">
        <v>2197</v>
      </c>
    </row>
    <row r="686" spans="1:3" x14ac:dyDescent="0.25">
      <c r="A686" t="s">
        <v>2198</v>
      </c>
      <c r="B686" t="s">
        <v>46</v>
      </c>
      <c r="C686" t="s">
        <v>2199</v>
      </c>
    </row>
    <row r="687" spans="1:3" x14ac:dyDescent="0.25">
      <c r="A687" t="s">
        <v>2200</v>
      </c>
      <c r="B687" t="s">
        <v>2201</v>
      </c>
      <c r="C687" t="s">
        <v>2202</v>
      </c>
    </row>
    <row r="688" spans="1:3" x14ac:dyDescent="0.25">
      <c r="A688" t="s">
        <v>2203</v>
      </c>
      <c r="B688" t="s">
        <v>43</v>
      </c>
      <c r="C688" t="s">
        <v>2204</v>
      </c>
    </row>
    <row r="689" spans="1:3" x14ac:dyDescent="0.25">
      <c r="A689" t="s">
        <v>2205</v>
      </c>
      <c r="B689" t="s">
        <v>72</v>
      </c>
      <c r="C689" t="s">
        <v>2206</v>
      </c>
    </row>
    <row r="690" spans="1:3" x14ac:dyDescent="0.25">
      <c r="A690" t="s">
        <v>2207</v>
      </c>
      <c r="B690" t="s">
        <v>2208</v>
      </c>
      <c r="C690" t="s">
        <v>167</v>
      </c>
    </row>
    <row r="691" spans="1:3" x14ac:dyDescent="0.25">
      <c r="A691" t="s">
        <v>2209</v>
      </c>
      <c r="B691" t="s">
        <v>2210</v>
      </c>
      <c r="C691" t="s">
        <v>2211</v>
      </c>
    </row>
    <row r="692" spans="1:3" x14ac:dyDescent="0.25">
      <c r="A692" t="s">
        <v>2212</v>
      </c>
      <c r="B692" t="s">
        <v>2213</v>
      </c>
      <c r="C692" t="s">
        <v>2214</v>
      </c>
    </row>
    <row r="693" spans="1:3" x14ac:dyDescent="0.25">
      <c r="A693" t="s">
        <v>2215</v>
      </c>
      <c r="B693" t="s">
        <v>71</v>
      </c>
      <c r="C693" t="s">
        <v>2216</v>
      </c>
    </row>
    <row r="694" spans="1:3" x14ac:dyDescent="0.25">
      <c r="A694" t="s">
        <v>2217</v>
      </c>
      <c r="B694" t="s">
        <v>70</v>
      </c>
      <c r="C694" t="s">
        <v>2218</v>
      </c>
    </row>
    <row r="695" spans="1:3" x14ac:dyDescent="0.25">
      <c r="A695" t="s">
        <v>2219</v>
      </c>
      <c r="B695" t="s">
        <v>2220</v>
      </c>
      <c r="C695" t="s">
        <v>2221</v>
      </c>
    </row>
    <row r="696" spans="1:3" x14ac:dyDescent="0.25">
      <c r="A696" t="s">
        <v>2222</v>
      </c>
      <c r="B696" t="s">
        <v>2223</v>
      </c>
      <c r="C696" t="s">
        <v>2224</v>
      </c>
    </row>
    <row r="697" spans="1:3" x14ac:dyDescent="0.25">
      <c r="A697" t="s">
        <v>2225</v>
      </c>
      <c r="B697" t="s">
        <v>2226</v>
      </c>
      <c r="C697" t="s">
        <v>186</v>
      </c>
    </row>
    <row r="698" spans="1:3" x14ac:dyDescent="0.25">
      <c r="A698" t="s">
        <v>2227</v>
      </c>
      <c r="B698" t="s">
        <v>69</v>
      </c>
      <c r="C698" t="s">
        <v>2228</v>
      </c>
    </row>
    <row r="699" spans="1:3" x14ac:dyDescent="0.25">
      <c r="A699" t="s">
        <v>2229</v>
      </c>
      <c r="B699" t="s">
        <v>2230</v>
      </c>
      <c r="C699" t="s">
        <v>2231</v>
      </c>
    </row>
    <row r="700" spans="1:3" x14ac:dyDescent="0.25">
      <c r="A700" t="s">
        <v>2232</v>
      </c>
      <c r="B700" t="s">
        <v>2233</v>
      </c>
      <c r="C700" t="s">
        <v>2234</v>
      </c>
    </row>
    <row r="701" spans="1:3" x14ac:dyDescent="0.25">
      <c r="A701" t="s">
        <v>2235</v>
      </c>
      <c r="B701" t="s">
        <v>2236</v>
      </c>
      <c r="C701" t="s">
        <v>2237</v>
      </c>
    </row>
    <row r="702" spans="1:3" x14ac:dyDescent="0.25">
      <c r="A702" t="s">
        <v>2238</v>
      </c>
      <c r="B702" t="s">
        <v>2239</v>
      </c>
      <c r="C702" t="s">
        <v>2240</v>
      </c>
    </row>
    <row r="703" spans="1:3" x14ac:dyDescent="0.25">
      <c r="A703" t="s">
        <v>2241</v>
      </c>
      <c r="B703" t="s">
        <v>45</v>
      </c>
      <c r="C703" t="s">
        <v>2242</v>
      </c>
    </row>
    <row r="704" spans="1:3" x14ac:dyDescent="0.25">
      <c r="A704" t="s">
        <v>2243</v>
      </c>
      <c r="B704" t="s">
        <v>2244</v>
      </c>
      <c r="C704" t="s">
        <v>2245</v>
      </c>
    </row>
    <row r="705" spans="1:3" x14ac:dyDescent="0.25">
      <c r="A705" t="s">
        <v>2246</v>
      </c>
      <c r="B705" t="s">
        <v>2247</v>
      </c>
      <c r="C705" t="s">
        <v>2248</v>
      </c>
    </row>
    <row r="706" spans="1:3" x14ac:dyDescent="0.25">
      <c r="A706" t="s">
        <v>2249</v>
      </c>
      <c r="B706" t="s">
        <v>2250</v>
      </c>
      <c r="C706" t="s">
        <v>2251</v>
      </c>
    </row>
    <row r="707" spans="1:3" x14ac:dyDescent="0.25">
      <c r="A707" t="s">
        <v>2252</v>
      </c>
      <c r="B707" t="s">
        <v>2253</v>
      </c>
      <c r="C707" t="s">
        <v>2254</v>
      </c>
    </row>
    <row r="708" spans="1:3" x14ac:dyDescent="0.25">
      <c r="A708" t="s">
        <v>2255</v>
      </c>
      <c r="B708" t="s">
        <v>2256</v>
      </c>
      <c r="C708" t="s">
        <v>2257</v>
      </c>
    </row>
    <row r="709" spans="1:3" x14ac:dyDescent="0.25">
      <c r="A709" t="s">
        <v>2258</v>
      </c>
      <c r="B709" t="s">
        <v>2259</v>
      </c>
      <c r="C709" t="s">
        <v>2260</v>
      </c>
    </row>
    <row r="710" spans="1:3" x14ac:dyDescent="0.25">
      <c r="A710" t="s">
        <v>2261</v>
      </c>
      <c r="B710" t="s">
        <v>68</v>
      </c>
      <c r="C710" t="s">
        <v>2262</v>
      </c>
    </row>
    <row r="711" spans="1:3" x14ac:dyDescent="0.25">
      <c r="A711" t="s">
        <v>2263</v>
      </c>
      <c r="B711" t="s">
        <v>2264</v>
      </c>
      <c r="C711" t="s">
        <v>2265</v>
      </c>
    </row>
    <row r="712" spans="1:3" x14ac:dyDescent="0.25">
      <c r="A712" t="s">
        <v>2266</v>
      </c>
      <c r="B712" t="s">
        <v>2267</v>
      </c>
      <c r="C712" t="s">
        <v>2268</v>
      </c>
    </row>
    <row r="713" spans="1:3" x14ac:dyDescent="0.25">
      <c r="A713" t="s">
        <v>2269</v>
      </c>
      <c r="B713" t="s">
        <v>2270</v>
      </c>
      <c r="C713" t="s">
        <v>2271</v>
      </c>
    </row>
    <row r="714" spans="1:3" x14ac:dyDescent="0.25">
      <c r="A714" t="s">
        <v>2272</v>
      </c>
      <c r="B714" t="s">
        <v>2273</v>
      </c>
      <c r="C714" t="s">
        <v>2274</v>
      </c>
    </row>
    <row r="715" spans="1:3" x14ac:dyDescent="0.25">
      <c r="A715" t="s">
        <v>2275</v>
      </c>
      <c r="B715" t="s">
        <v>2276</v>
      </c>
      <c r="C715" t="s">
        <v>2277</v>
      </c>
    </row>
    <row r="716" spans="1:3" x14ac:dyDescent="0.25">
      <c r="A716" t="s">
        <v>2278</v>
      </c>
      <c r="B716" t="s">
        <v>2279</v>
      </c>
      <c r="C716" t="s">
        <v>2280</v>
      </c>
    </row>
    <row r="717" spans="1:3" x14ac:dyDescent="0.25">
      <c r="A717" t="s">
        <v>2281</v>
      </c>
      <c r="B717" t="s">
        <v>2282</v>
      </c>
      <c r="C717" t="s">
        <v>2283</v>
      </c>
    </row>
    <row r="718" spans="1:3" x14ac:dyDescent="0.25">
      <c r="A718" t="s">
        <v>2284</v>
      </c>
      <c r="B718" t="s">
        <v>2285</v>
      </c>
      <c r="C718" t="s">
        <v>2286</v>
      </c>
    </row>
    <row r="719" spans="1:3" x14ac:dyDescent="0.25">
      <c r="A719" t="s">
        <v>2287</v>
      </c>
      <c r="B719" t="s">
        <v>2288</v>
      </c>
      <c r="C719" t="s">
        <v>2289</v>
      </c>
    </row>
    <row r="720" spans="1:3" x14ac:dyDescent="0.25">
      <c r="A720" t="s">
        <v>2290</v>
      </c>
      <c r="B720" t="s">
        <v>2291</v>
      </c>
      <c r="C720" t="s">
        <v>2292</v>
      </c>
    </row>
    <row r="721" spans="1:4" x14ac:dyDescent="0.25">
      <c r="A721" t="s">
        <v>2293</v>
      </c>
      <c r="B721" t="s">
        <v>2294</v>
      </c>
      <c r="C721" t="s">
        <v>2295</v>
      </c>
    </row>
    <row r="722" spans="1:4" x14ac:dyDescent="0.25">
      <c r="A722" t="s">
        <v>2296</v>
      </c>
      <c r="B722" t="s">
        <v>2297</v>
      </c>
      <c r="C722" t="s">
        <v>2298</v>
      </c>
    </row>
    <row r="723" spans="1:4" x14ac:dyDescent="0.25">
      <c r="A723" t="s">
        <v>2299</v>
      </c>
      <c r="B723" t="s">
        <v>2300</v>
      </c>
      <c r="C723" t="s">
        <v>2301</v>
      </c>
    </row>
    <row r="724" spans="1:4" x14ac:dyDescent="0.25">
      <c r="A724" t="s">
        <v>2302</v>
      </c>
      <c r="B724" t="s">
        <v>2303</v>
      </c>
      <c r="C724" t="s">
        <v>2304</v>
      </c>
    </row>
    <row r="725" spans="1:4" x14ac:dyDescent="0.25">
      <c r="A725" t="s">
        <v>2305</v>
      </c>
      <c r="B725" t="s">
        <v>2306</v>
      </c>
      <c r="C725" t="s">
        <v>2307</v>
      </c>
    </row>
    <row r="727" spans="1:4" x14ac:dyDescent="0.25">
      <c r="A727" s="124" t="s">
        <v>122</v>
      </c>
      <c r="B727" s="123" t="s">
        <v>123</v>
      </c>
      <c r="C727" s="125" t="s">
        <v>124</v>
      </c>
    </row>
    <row r="728" spans="1:4" x14ac:dyDescent="0.25">
      <c r="A728" s="122" t="s">
        <v>2308</v>
      </c>
      <c r="C728" s="125" t="s">
        <v>2314</v>
      </c>
    </row>
    <row r="729" spans="1:4" x14ac:dyDescent="0.25">
      <c r="A729" s="121" t="s">
        <v>2309</v>
      </c>
      <c r="C729" s="125" t="s">
        <v>2315</v>
      </c>
    </row>
    <row r="730" spans="1:4" x14ac:dyDescent="0.25">
      <c r="A730" s="121" t="s">
        <v>2310</v>
      </c>
      <c r="C730" s="125" t="s">
        <v>2316</v>
      </c>
    </row>
    <row r="731" spans="1:4" x14ac:dyDescent="0.25">
      <c r="A731" s="122" t="s">
        <v>2311</v>
      </c>
      <c r="C731" s="125" t="s">
        <v>2317</v>
      </c>
    </row>
    <row r="732" spans="1:4" x14ac:dyDescent="0.25">
      <c r="A732" s="122" t="s">
        <v>2312</v>
      </c>
      <c r="C732" s="125" t="s">
        <v>2318</v>
      </c>
    </row>
    <row r="733" spans="1:4" x14ac:dyDescent="0.25">
      <c r="A733" s="122" t="s">
        <v>2313</v>
      </c>
      <c r="C733" s="125" t="s">
        <v>2319</v>
      </c>
    </row>
    <row r="735" spans="1:4" x14ac:dyDescent="0.25">
      <c r="A735" s="129" t="s">
        <v>122</v>
      </c>
      <c r="B735" s="129" t="s">
        <v>123</v>
      </c>
      <c r="C735" s="129" t="s">
        <v>124</v>
      </c>
      <c r="D735" s="130" t="s">
        <v>125</v>
      </c>
    </row>
    <row r="736" spans="1:4" ht="210" x14ac:dyDescent="0.25">
      <c r="A736" s="126" t="s">
        <v>2320</v>
      </c>
      <c r="B736" s="126" t="s">
        <v>2321</v>
      </c>
      <c r="C736" s="127" t="s">
        <v>2324</v>
      </c>
      <c r="D736" s="130" t="s">
        <v>2326</v>
      </c>
    </row>
    <row r="737" spans="1:4" ht="409.5" x14ac:dyDescent="0.25">
      <c r="A737" s="126" t="s">
        <v>2322</v>
      </c>
      <c r="B737" s="126" t="s">
        <v>2323</v>
      </c>
      <c r="C737" s="127" t="s">
        <v>2325</v>
      </c>
      <c r="D737" s="131" t="s">
        <v>2509</v>
      </c>
    </row>
    <row r="739" spans="1:4" x14ac:dyDescent="0.25">
      <c r="A739" s="135" t="s">
        <v>122</v>
      </c>
      <c r="B739" s="134" t="s">
        <v>123</v>
      </c>
      <c r="C739" s="136" t="s">
        <v>124</v>
      </c>
    </row>
    <row r="740" spans="1:4" x14ac:dyDescent="0.25">
      <c r="A740" s="133" t="s">
        <v>2334</v>
      </c>
      <c r="C740" s="136" t="s">
        <v>2333</v>
      </c>
    </row>
    <row r="741" spans="1:4" x14ac:dyDescent="0.25">
      <c r="A741" s="132" t="s">
        <v>2336</v>
      </c>
      <c r="C741" s="136" t="s">
        <v>2335</v>
      </c>
    </row>
    <row r="742" spans="1:4" x14ac:dyDescent="0.25">
      <c r="A742" s="132" t="s">
        <v>2338</v>
      </c>
      <c r="C742" s="136" t="s">
        <v>2337</v>
      </c>
    </row>
    <row r="743" spans="1:4" x14ac:dyDescent="0.25">
      <c r="A743" s="132" t="s">
        <v>2340</v>
      </c>
      <c r="C743" s="136" t="s">
        <v>2339</v>
      </c>
    </row>
    <row r="744" spans="1:4" x14ac:dyDescent="0.25">
      <c r="A744" s="132" t="s">
        <v>2342</v>
      </c>
      <c r="C744" s="136" t="s">
        <v>2341</v>
      </c>
    </row>
    <row r="745" spans="1:4" x14ac:dyDescent="0.25">
      <c r="A745" s="132" t="s">
        <v>2344</v>
      </c>
      <c r="C745" s="136" t="s">
        <v>2343</v>
      </c>
    </row>
    <row r="746" spans="1:4" x14ac:dyDescent="0.25">
      <c r="A746" s="132" t="s">
        <v>2346</v>
      </c>
      <c r="C746" s="136" t="s">
        <v>2345</v>
      </c>
    </row>
    <row r="747" spans="1:4" x14ac:dyDescent="0.25">
      <c r="A747" s="132" t="s">
        <v>2348</v>
      </c>
      <c r="C747" s="136" t="s">
        <v>2347</v>
      </c>
    </row>
    <row r="748" spans="1:4" x14ac:dyDescent="0.25">
      <c r="A748" s="132" t="s">
        <v>2350</v>
      </c>
      <c r="C748" s="136" t="s">
        <v>2349</v>
      </c>
    </row>
    <row r="749" spans="1:4" x14ac:dyDescent="0.25">
      <c r="A749" s="132" t="s">
        <v>2352</v>
      </c>
      <c r="C749" s="136" t="s">
        <v>2351</v>
      </c>
    </row>
    <row r="750" spans="1:4" x14ac:dyDescent="0.25">
      <c r="A750" s="132" t="s">
        <v>2354</v>
      </c>
      <c r="C750" s="136" t="s">
        <v>2353</v>
      </c>
    </row>
    <row r="751" spans="1:4" x14ac:dyDescent="0.25">
      <c r="A751" s="132" t="s">
        <v>2356</v>
      </c>
      <c r="C751" s="136" t="s">
        <v>2355</v>
      </c>
    </row>
    <row r="752" spans="1:4" x14ac:dyDescent="0.25">
      <c r="A752" s="132" t="s">
        <v>2358</v>
      </c>
      <c r="C752" s="136" t="s">
        <v>2357</v>
      </c>
    </row>
    <row r="753" spans="1:3" x14ac:dyDescent="0.25">
      <c r="A753" s="132" t="s">
        <v>2360</v>
      </c>
      <c r="C753" s="136" t="s">
        <v>2359</v>
      </c>
    </row>
    <row r="754" spans="1:3" x14ac:dyDescent="0.25">
      <c r="A754" s="132" t="s">
        <v>2362</v>
      </c>
      <c r="C754" s="136" t="s">
        <v>2361</v>
      </c>
    </row>
    <row r="755" spans="1:3" x14ac:dyDescent="0.25">
      <c r="A755" s="132" t="s">
        <v>2364</v>
      </c>
      <c r="C755" s="136" t="s">
        <v>2363</v>
      </c>
    </row>
    <row r="756" spans="1:3" x14ac:dyDescent="0.25">
      <c r="A756" s="132" t="s">
        <v>2366</v>
      </c>
      <c r="C756" s="136" t="s">
        <v>2365</v>
      </c>
    </row>
    <row r="757" spans="1:3" x14ac:dyDescent="0.25">
      <c r="A757" s="132" t="s">
        <v>2368</v>
      </c>
      <c r="C757" s="136" t="s">
        <v>2367</v>
      </c>
    </row>
    <row r="758" spans="1:3" x14ac:dyDescent="0.25">
      <c r="A758" s="132" t="s">
        <v>2370</v>
      </c>
      <c r="C758" s="136" t="s">
        <v>2369</v>
      </c>
    </row>
    <row r="759" spans="1:3" x14ac:dyDescent="0.25">
      <c r="A759" s="132" t="s">
        <v>2372</v>
      </c>
      <c r="C759" s="136" t="s">
        <v>2371</v>
      </c>
    </row>
    <row r="761" spans="1:3" x14ac:dyDescent="0.25">
      <c r="A761" s="134" t="s">
        <v>122</v>
      </c>
      <c r="B761" s="134" t="s">
        <v>123</v>
      </c>
      <c r="C761" s="134" t="s">
        <v>124</v>
      </c>
    </row>
    <row r="762" spans="1:3" x14ac:dyDescent="0.25">
      <c r="A762" t="s">
        <v>2375</v>
      </c>
      <c r="B762">
        <v>1</v>
      </c>
      <c r="C762" s="134" t="s">
        <v>2376</v>
      </c>
    </row>
    <row r="763" spans="1:3" x14ac:dyDescent="0.25">
      <c r="A763" s="134" t="s">
        <v>2377</v>
      </c>
      <c r="B763" s="134">
        <v>2</v>
      </c>
      <c r="C763" s="134" t="s">
        <v>2378</v>
      </c>
    </row>
    <row r="764" spans="1:3" x14ac:dyDescent="0.25">
      <c r="A764" s="134" t="s">
        <v>2379</v>
      </c>
      <c r="B764" s="134">
        <v>3</v>
      </c>
      <c r="C764" s="134" t="s">
        <v>2380</v>
      </c>
    </row>
    <row r="765" spans="1:3" x14ac:dyDescent="0.25">
      <c r="A765" s="134" t="s">
        <v>2381</v>
      </c>
      <c r="B765" s="134">
        <v>4</v>
      </c>
      <c r="C765" s="134" t="s">
        <v>2382</v>
      </c>
    </row>
    <row r="766" spans="1:3" x14ac:dyDescent="0.25">
      <c r="A766" s="134" t="s">
        <v>2383</v>
      </c>
      <c r="B766" s="134">
        <v>5</v>
      </c>
      <c r="C766" s="134" t="s">
        <v>2384</v>
      </c>
    </row>
    <row r="767" spans="1:3" x14ac:dyDescent="0.25">
      <c r="A767" s="134" t="s">
        <v>2385</v>
      </c>
      <c r="B767" s="134">
        <v>6</v>
      </c>
      <c r="C767" s="134" t="s">
        <v>2386</v>
      </c>
    </row>
    <row r="768" spans="1:3" x14ac:dyDescent="0.25">
      <c r="A768" s="134" t="s">
        <v>2387</v>
      </c>
      <c r="B768" s="134">
        <v>7</v>
      </c>
      <c r="C768" s="134" t="s">
        <v>2388</v>
      </c>
    </row>
    <row r="769" spans="1:3" x14ac:dyDescent="0.25">
      <c r="A769" s="134" t="s">
        <v>2389</v>
      </c>
      <c r="B769" s="134">
        <v>8</v>
      </c>
      <c r="C769" s="134" t="s">
        <v>2390</v>
      </c>
    </row>
    <row r="771" spans="1:3" x14ac:dyDescent="0.25">
      <c r="A771" s="134" t="s">
        <v>122</v>
      </c>
      <c r="B771" s="134" t="s">
        <v>123</v>
      </c>
      <c r="C771" s="134" t="s">
        <v>124</v>
      </c>
    </row>
    <row r="772" spans="1:3" x14ac:dyDescent="0.25">
      <c r="A772" t="s">
        <v>2433</v>
      </c>
      <c r="C772" t="s">
        <v>2394</v>
      </c>
    </row>
    <row r="773" spans="1:3" x14ac:dyDescent="0.25">
      <c r="A773" t="s">
        <v>2434</v>
      </c>
      <c r="C773" t="s">
        <v>2395</v>
      </c>
    </row>
    <row r="774" spans="1:3" x14ac:dyDescent="0.25">
      <c r="A774" t="s">
        <v>2435</v>
      </c>
      <c r="C774" t="s">
        <v>2396</v>
      </c>
    </row>
    <row r="775" spans="1:3" x14ac:dyDescent="0.25">
      <c r="A775" t="s">
        <v>2436</v>
      </c>
      <c r="C775" t="s">
        <v>2397</v>
      </c>
    </row>
    <row r="776" spans="1:3" x14ac:dyDescent="0.25">
      <c r="A776" t="s">
        <v>2437</v>
      </c>
      <c r="C776" t="s">
        <v>2398</v>
      </c>
    </row>
    <row r="777" spans="1:3" x14ac:dyDescent="0.25">
      <c r="A777" t="s">
        <v>2438</v>
      </c>
      <c r="C777" t="s">
        <v>2399</v>
      </c>
    </row>
    <row r="778" spans="1:3" x14ac:dyDescent="0.25">
      <c r="A778" t="s">
        <v>2439</v>
      </c>
      <c r="C778" t="s">
        <v>2400</v>
      </c>
    </row>
    <row r="779" spans="1:3" x14ac:dyDescent="0.25">
      <c r="A779" t="s">
        <v>2440</v>
      </c>
      <c r="C779" t="s">
        <v>2401</v>
      </c>
    </row>
    <row r="780" spans="1:3" x14ac:dyDescent="0.25">
      <c r="A780" t="s">
        <v>2441</v>
      </c>
      <c r="C780" t="s">
        <v>2402</v>
      </c>
    </row>
    <row r="781" spans="1:3" x14ac:dyDescent="0.25">
      <c r="A781" t="s">
        <v>2442</v>
      </c>
      <c r="C781" t="s">
        <v>2403</v>
      </c>
    </row>
    <row r="782" spans="1:3" x14ac:dyDescent="0.25">
      <c r="A782" t="s">
        <v>2443</v>
      </c>
      <c r="C782" t="s">
        <v>2404</v>
      </c>
    </row>
    <row r="783" spans="1:3" x14ac:dyDescent="0.25">
      <c r="A783" t="s">
        <v>2444</v>
      </c>
      <c r="C783" t="s">
        <v>2405</v>
      </c>
    </row>
    <row r="784" spans="1:3" x14ac:dyDescent="0.25">
      <c r="A784" t="s">
        <v>2445</v>
      </c>
      <c r="C784" t="s">
        <v>2406</v>
      </c>
    </row>
    <row r="785" spans="1:3" x14ac:dyDescent="0.25">
      <c r="A785" t="s">
        <v>2446</v>
      </c>
      <c r="C785" t="s">
        <v>2407</v>
      </c>
    </row>
    <row r="786" spans="1:3" x14ac:dyDescent="0.25">
      <c r="A786" t="s">
        <v>2447</v>
      </c>
      <c r="C786" t="s">
        <v>2408</v>
      </c>
    </row>
    <row r="787" spans="1:3" x14ac:dyDescent="0.25">
      <c r="A787" t="s">
        <v>2448</v>
      </c>
      <c r="C787" t="s">
        <v>2409</v>
      </c>
    </row>
    <row r="788" spans="1:3" x14ac:dyDescent="0.25">
      <c r="A788" t="s">
        <v>2449</v>
      </c>
      <c r="C788" t="s">
        <v>2410</v>
      </c>
    </row>
    <row r="789" spans="1:3" x14ac:dyDescent="0.25">
      <c r="A789" t="s">
        <v>2450</v>
      </c>
      <c r="C789" t="s">
        <v>2411</v>
      </c>
    </row>
    <row r="790" spans="1:3" x14ac:dyDescent="0.25">
      <c r="A790" t="s">
        <v>2451</v>
      </c>
      <c r="C790" t="s">
        <v>2412</v>
      </c>
    </row>
    <row r="791" spans="1:3" x14ac:dyDescent="0.25">
      <c r="A791" t="s">
        <v>2452</v>
      </c>
      <c r="C791" t="s">
        <v>2413</v>
      </c>
    </row>
    <row r="792" spans="1:3" x14ac:dyDescent="0.25">
      <c r="A792" t="s">
        <v>2453</v>
      </c>
      <c r="C792" t="s">
        <v>2414</v>
      </c>
    </row>
    <row r="793" spans="1:3" x14ac:dyDescent="0.25">
      <c r="A793" t="s">
        <v>2454</v>
      </c>
      <c r="C793" t="s">
        <v>2415</v>
      </c>
    </row>
    <row r="794" spans="1:3" x14ac:dyDescent="0.25">
      <c r="A794" t="s">
        <v>2455</v>
      </c>
      <c r="C794" t="s">
        <v>2416</v>
      </c>
    </row>
    <row r="795" spans="1:3" x14ac:dyDescent="0.25">
      <c r="A795" t="s">
        <v>2456</v>
      </c>
      <c r="C795" t="s">
        <v>2417</v>
      </c>
    </row>
    <row r="796" spans="1:3" x14ac:dyDescent="0.25">
      <c r="A796" t="s">
        <v>2457</v>
      </c>
      <c r="C796" t="s">
        <v>2418</v>
      </c>
    </row>
    <row r="797" spans="1:3" x14ac:dyDescent="0.25">
      <c r="A797" t="s">
        <v>2458</v>
      </c>
      <c r="C797" t="s">
        <v>2419</v>
      </c>
    </row>
    <row r="798" spans="1:3" x14ac:dyDescent="0.25">
      <c r="A798" t="s">
        <v>2459</v>
      </c>
      <c r="C798" t="s">
        <v>2420</v>
      </c>
    </row>
    <row r="799" spans="1:3" x14ac:dyDescent="0.25">
      <c r="A799" t="s">
        <v>2460</v>
      </c>
      <c r="C799" t="s">
        <v>2421</v>
      </c>
    </row>
    <row r="800" spans="1:3" x14ac:dyDescent="0.25">
      <c r="A800" t="s">
        <v>2461</v>
      </c>
      <c r="C800" t="s">
        <v>2422</v>
      </c>
    </row>
    <row r="801" spans="1:3" x14ac:dyDescent="0.25">
      <c r="A801" t="s">
        <v>2462</v>
      </c>
      <c r="C801" t="s">
        <v>2423</v>
      </c>
    </row>
    <row r="802" spans="1:3" x14ac:dyDescent="0.25">
      <c r="A802" t="s">
        <v>2463</v>
      </c>
      <c r="C802" t="s">
        <v>2424</v>
      </c>
    </row>
    <row r="803" spans="1:3" x14ac:dyDescent="0.25">
      <c r="A803" t="s">
        <v>2464</v>
      </c>
      <c r="C803" t="s">
        <v>2425</v>
      </c>
    </row>
    <row r="804" spans="1:3" x14ac:dyDescent="0.25">
      <c r="A804" t="s">
        <v>2465</v>
      </c>
      <c r="C804" t="s">
        <v>2426</v>
      </c>
    </row>
    <row r="805" spans="1:3" x14ac:dyDescent="0.25">
      <c r="A805" t="s">
        <v>2466</v>
      </c>
      <c r="C805" t="s">
        <v>2427</v>
      </c>
    </row>
    <row r="806" spans="1:3" x14ac:dyDescent="0.25">
      <c r="A806" t="s">
        <v>2467</v>
      </c>
      <c r="C806" t="s">
        <v>2428</v>
      </c>
    </row>
    <row r="807" spans="1:3" x14ac:dyDescent="0.25">
      <c r="A807" t="s">
        <v>2468</v>
      </c>
      <c r="C807" t="s">
        <v>2429</v>
      </c>
    </row>
    <row r="808" spans="1:3" x14ac:dyDescent="0.25">
      <c r="A808" t="s">
        <v>2469</v>
      </c>
      <c r="C808" t="s">
        <v>2430</v>
      </c>
    </row>
    <row r="809" spans="1:3" x14ac:dyDescent="0.25">
      <c r="A809" t="s">
        <v>2470</v>
      </c>
      <c r="C809" t="s">
        <v>2431</v>
      </c>
    </row>
    <row r="810" spans="1:3" x14ac:dyDescent="0.25">
      <c r="A810" t="s">
        <v>2471</v>
      </c>
      <c r="C810" t="s">
        <v>2432</v>
      </c>
    </row>
  </sheetData>
  <phoneticPr fontId="9" type="noConversion"/>
  <hyperlinks>
    <hyperlink ref="C3" r:id="rId1"/>
    <hyperlink ref="C19" r:id="rId2"/>
    <hyperlink ref="C24" r:id="rId3"/>
    <hyperlink ref="C20" r:id="rId4"/>
    <hyperlink ref="C21" r:id="rId5"/>
    <hyperlink ref="C31" r:id="rId6"/>
    <hyperlink ref="C32" r:id="rId7"/>
    <hyperlink ref="C33" r:id="rId8"/>
    <hyperlink ref="C7" r:id="rId9"/>
    <hyperlink ref="C8" r:id="rId10"/>
    <hyperlink ref="C2" r:id="rId11"/>
    <hyperlink ref="C729:C731" r:id="rId12" display="http://data.europa.eu/europass/modeOfLearningAndAssessment/online"/>
    <hyperlink ref="C729" r:id="rId13"/>
    <hyperlink ref="C730" r:id="rId14"/>
    <hyperlink ref="C731" r:id="rId15"/>
    <hyperlink ref="C732" r:id="rId16" display="http://data.europa.eu/europass/modeOfLearningAndAssessment/workbased"/>
    <hyperlink ref="C733" r:id="rId17" display="http://data.europa.eu/europass/modeOfLearningAndAssessment/workbased"/>
    <hyperlink ref="C740" r:id="rId18"/>
    <hyperlink ref="C741" r:id="rId19"/>
    <hyperlink ref="C742" r:id="rId20"/>
    <hyperlink ref="C743" r:id="rId21"/>
    <hyperlink ref="C744" r:id="rId22"/>
    <hyperlink ref="C745" r:id="rId23" display="http://data.europa.eu/europass/targetGroup/completedprimary"/>
    <hyperlink ref="C746" r:id="rId24" display="http://data.europa.eu/europass/targetGroup/completedcompulsory"/>
    <hyperlink ref="C747" r:id="rId25" display="http://data.europa.eu/europass/targetGroup/completedEQF6"/>
    <hyperlink ref="C748" r:id="rId26" display="http://data.europa.eu/europass/targetGroup/completedEQF7"/>
    <hyperlink ref="C749" r:id="rId27" display="http://data.europa.eu/europass/targetGroup/completedEQF8"/>
    <hyperlink ref="C750" r:id="rId28"/>
    <hyperlink ref="C751" r:id="rId29"/>
    <hyperlink ref="C752" r:id="rId30"/>
    <hyperlink ref="C753" r:id="rId31"/>
    <hyperlink ref="C754:C759" r:id="rId32" display="http://data.europa.eu/europass/targetGroup/requireretraining"/>
    <hyperlink ref="C754" r:id="rId33"/>
    <hyperlink ref="C755" r:id="rId34"/>
    <hyperlink ref="C756" r:id="rId35"/>
    <hyperlink ref="C757" r:id="rId36"/>
    <hyperlink ref="C758" r:id="rId37"/>
    <hyperlink ref="C759" r:id="rId38"/>
  </hyperlinks>
  <pageMargins left="0.7" right="0.7" top="0.75" bottom="0.75" header="0.3" footer="0.3"/>
  <pageSetup paperSize="9" orientation="portrait" horizontalDpi="300" verticalDpi="300" r:id="rId39"/>
  <tableParts count="10">
    <tablePart r:id="rId40"/>
    <tablePart r:id="rId41"/>
    <tablePart r:id="rId42"/>
    <tablePart r:id="rId43"/>
    <tablePart r:id="rId44"/>
    <tablePart r:id="rId45"/>
    <tablePart r:id="rId46"/>
    <tablePart r:id="rId47"/>
    <tablePart r:id="rId48"/>
    <tablePart r:id="rId4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Z314"/>
  <sheetViews>
    <sheetView topLeftCell="AR1" zoomScale="70" zoomScaleNormal="70" workbookViewId="0">
      <selection activeCell="BJ38" sqref="BJ38"/>
    </sheetView>
  </sheetViews>
  <sheetFormatPr baseColWidth="10" defaultColWidth="9.140625" defaultRowHeight="15" outlineLevelCol="1" x14ac:dyDescent="0.25"/>
  <cols>
    <col min="1" max="1" width="42.85546875" bestFit="1" customWidth="1" outlineLevel="1"/>
    <col min="2" max="51" width="8.7109375" customWidth="1" outlineLevel="1"/>
    <col min="52" max="52" width="13.140625" customWidth="1" outlineLevel="1"/>
    <col min="53" max="53" width="34.5703125" bestFit="1" customWidth="1"/>
    <col min="79" max="79" width="10.7109375" bestFit="1" customWidth="1"/>
    <col min="104" max="104" width="10.7109375" bestFit="1" customWidth="1"/>
  </cols>
  <sheetData>
    <row r="1" spans="1:104" x14ac:dyDescent="0.25">
      <c r="A1" s="9" t="s">
        <v>1188</v>
      </c>
      <c r="BA1" t="s">
        <v>2497</v>
      </c>
    </row>
    <row r="2" spans="1:104" hidden="1" x14ac:dyDescent="0.25"/>
    <row r="3" spans="1:104" hidden="1" x14ac:dyDescent="0.25"/>
    <row r="4" spans="1:104" hidden="1" x14ac:dyDescent="0.25"/>
    <row r="5" spans="1:104" hidden="1" x14ac:dyDescent="0.25"/>
    <row r="6" spans="1:104" hidden="1" x14ac:dyDescent="0.25"/>
    <row r="7" spans="1:104" hidden="1" x14ac:dyDescent="0.25"/>
    <row r="8" spans="1:104" hidden="1" x14ac:dyDescent="0.25"/>
    <row r="9" spans="1:104" hidden="1" x14ac:dyDescent="0.25"/>
    <row r="10" spans="1:104" hidden="1" x14ac:dyDescent="0.25"/>
    <row r="11" spans="1:104" hidden="1" x14ac:dyDescent="0.25"/>
    <row r="12" spans="1:104" hidden="1" x14ac:dyDescent="0.25">
      <c r="AZ12" s="115" t="s">
        <v>122</v>
      </c>
    </row>
    <row r="13" spans="1:104" x14ac:dyDescent="0.25">
      <c r="A13" t="e" cm="1">
        <f t="array" aca="1" ref="A13" ca="1">SplitValues("; ",#REF!)</f>
        <v>#NAME?</v>
      </c>
      <c r="AA13" t="e">
        <f ca="1">_xlfn.IFNA(MATCH(A13,Achievements[[#All],[Column1]],0)+11,"")</f>
        <v>#NAME?</v>
      </c>
      <c r="AB13" t="str">
        <f>_xlfn.IFNA(MATCH(B13,Achievements[[#All],[Column1]],0)+10,"")</f>
        <v/>
      </c>
      <c r="AC13" t="str">
        <f>_xlfn.IFNA(MATCH(C13,Achievements[[#All],[Column1]],0)+10,"")</f>
        <v/>
      </c>
      <c r="AD13" s="134" t="str">
        <f>_xlfn.IFNA(MATCH(D13,Achievements[[#All],[Column110]],0)+10,"")</f>
        <v/>
      </c>
      <c r="AE13" s="134" t="str">
        <f>_xlfn.IFNA(MATCH(E13,Achievements[[#All],[Column110]],0)+10,"")</f>
        <v/>
      </c>
      <c r="AF13" s="134" t="str">
        <f>_xlfn.IFNA(MATCH(F13,Achievements[[#All],[Column111]],0)+10,"")</f>
        <v/>
      </c>
      <c r="AG13" s="134" t="str">
        <f>_xlfn.IFNA(MATCH(G13,Achievements[[#All],[Column111]],0)+10,"")</f>
        <v/>
      </c>
      <c r="AH13" s="134" t="str">
        <f>_xlfn.IFNA(MATCH(H13,Achievements[[#All],[Column112]],0)+10,"")</f>
        <v/>
      </c>
      <c r="AI13" s="134" t="str">
        <f>_xlfn.IFNA(MATCH(I13,Achievements[[#All],[Column112]],0)+10,"")</f>
        <v/>
      </c>
      <c r="AJ13" s="134" t="str">
        <f>_xlfn.IFNA(MATCH(J13,Achievements[[#All],[Column113]],0)+10,"")</f>
        <v/>
      </c>
      <c r="AK13" s="134" t="str">
        <f>_xlfn.IFNA(MATCH(K13,Achievements[[#All],[Column113]],0)+10,"")</f>
        <v/>
      </c>
      <c r="AL13" s="134" t="str">
        <f>_xlfn.IFNA(MATCH(L13,Achievements[[#All],[Column114]],0)+10,"")</f>
        <v/>
      </c>
      <c r="AM13" s="134" t="str">
        <f>_xlfn.IFNA(MATCH(M13,Achievements[[#All],[Column114]],0)+10,"")</f>
        <v/>
      </c>
      <c r="AN13" s="134" t="str">
        <f>_xlfn.IFNA(MATCH(N13,Achievements[[#All],[Column115]],0)+10,"")</f>
        <v/>
      </c>
      <c r="AO13" s="134" t="str">
        <f>_xlfn.IFNA(MATCH(O13,Achievements[[#All],[Column115]],0)+10,"")</f>
        <v/>
      </c>
      <c r="AP13" s="134" t="str">
        <f>_xlfn.IFNA(MATCH(P13,Achievements[[#All],[Column116]],0)+10,"")</f>
        <v/>
      </c>
      <c r="AQ13" s="134" t="str">
        <f>_xlfn.IFNA(MATCH(Q13,Achievements[[#All],[Column116]],0)+10,"")</f>
        <v/>
      </c>
      <c r="AR13" s="134" t="str">
        <f>_xlfn.IFNA(MATCH(R13,Achievements[[#All],[Column117]],0)+10,"")</f>
        <v/>
      </c>
      <c r="AS13" s="134" t="str">
        <f>_xlfn.IFNA(MATCH(S13,Achievements[[#All],[Column117]],0)+10,"")</f>
        <v/>
      </c>
      <c r="AT13" s="134" t="str">
        <f>_xlfn.IFNA(MATCH(T13,Achievements[[#All],[Column118]],0)+10,"")</f>
        <v/>
      </c>
      <c r="AU13" s="134" t="str">
        <f>_xlfn.IFNA(MATCH(U13,Achievements[[#All],[Column118]],0)+10,"")</f>
        <v/>
      </c>
      <c r="AV13" s="134" t="str">
        <f>_xlfn.IFNA(MATCH(V13,Achievements[[#All],[Column119]],0)+10,"")</f>
        <v/>
      </c>
      <c r="AW13" s="134" t="str">
        <f>_xlfn.IFNA(MATCH(W13,Achievements[[#All],[Column119]],0)+10,"")</f>
        <v/>
      </c>
      <c r="AX13" s="134" t="str">
        <f>_xlfn.IFNA(MATCH(X13,Achievements[[#All],[Column120]],0)+10,"")</f>
        <v/>
      </c>
      <c r="AY13" s="134" t="str">
        <f>_xlfn.IFNA(MATCH(Y13,Achievements[[#All],[Column120]],0)+10,"")</f>
        <v/>
      </c>
      <c r="AZ13" s="118" t="e">
        <f t="shared" ref="AZ13:AZ76" ca="1" si="0">SUBSTITUTE(TRIM(AA13&amp;" "&amp;AB13&amp;" "&amp;AC13&amp;" "&amp;AD13&amp;" "&amp;AE13&amp;" "&amp;AF13&amp;" "&amp;AG13&amp;" "&amp;AH13&amp;" "&amp;AI13&amp;" "&amp;AJ13&amp;" "&amp;AK13&amp;" "&amp;AL13&amp;" "&amp;AM13&amp;" "&amp;AN13&amp;" "&amp;AO13&amp;" "&amp;AP13&amp;" "&amp;AQ13&amp;" "&amp;AR13&amp;" "&amp;AS13&amp;" "&amp;AT13&amp;" "&amp;AU13&amp;" "&amp;AV13&amp;" "&amp;AW13&amp;" "&amp;AX13&amp;" "&amp;AY13)," ",", ")</f>
        <v>#NAME?</v>
      </c>
      <c r="BA13" t="e" cm="1">
        <f t="array" aca="1" ref="BA13:BB13" ca="1">SplitValues("; ",Persons[[#This Row],[Column1]])</f>
        <v>#NAME?</v>
      </c>
      <c r="BB13" t="e">
        <f ca="1"/>
        <v>#NAME?</v>
      </c>
      <c r="CA13" t="e">
        <f ca="1">_xlfn.IFNA(MATCH(BA13,Achievements[[#All],[Column1]],0)+10,"")</f>
        <v>#NAME?</v>
      </c>
      <c r="CB13" s="134" t="e">
        <f ca="1">_xlfn.IFNA(MATCH(BB13,Achievements[[#All],[Column1]],0)+10,"")</f>
        <v>#NAME?</v>
      </c>
      <c r="CC13" s="134" t="str">
        <f>_xlfn.IFNA(MATCH(BC13,Achievements[[#All],[Column110]],0)+10,"")</f>
        <v/>
      </c>
      <c r="CD13" s="134" t="str">
        <f>_xlfn.IFNA(MATCH(BD13,Achievements[[#All],[Column110]],0)+10,"")</f>
        <v/>
      </c>
      <c r="CE13" s="134" t="str">
        <f>_xlfn.IFNA(MATCH(BE13,Achievements[[#All],[Column111]],0)+10,"")</f>
        <v/>
      </c>
      <c r="CF13" s="134" t="str">
        <f>_xlfn.IFNA(MATCH(BF13,Achievements[[#All],[Column111]],0)+10,"")</f>
        <v/>
      </c>
      <c r="CG13" s="134" t="str">
        <f>_xlfn.IFNA(MATCH(BG13,Achievements[[#All],[Column112]],0)+10,"")</f>
        <v/>
      </c>
      <c r="CH13" s="134" t="str">
        <f>_xlfn.IFNA(MATCH(BH13,Achievements[[#All],[Column112]],0)+10,"")</f>
        <v/>
      </c>
      <c r="CI13" s="134" t="str">
        <f>_xlfn.IFNA(MATCH(BI13,Achievements[[#All],[Column113]],0)+10,"")</f>
        <v/>
      </c>
      <c r="CJ13" s="134" t="str">
        <f>_xlfn.IFNA(MATCH(BJ13,Achievements[[#All],[Column113]],0)+10,"")</f>
        <v/>
      </c>
      <c r="CK13" s="134" t="str">
        <f>_xlfn.IFNA(MATCH(BK13,Achievements[[#All],[Column114]],0)+10,"")</f>
        <v/>
      </c>
      <c r="CL13" s="134" t="str">
        <f>_xlfn.IFNA(MATCH(BL13,Achievements[[#All],[Column114]],0)+10,"")</f>
        <v/>
      </c>
      <c r="CM13" s="134" t="str">
        <f>_xlfn.IFNA(MATCH(BM13,Achievements[[#All],[Column115]],0)+10,"")</f>
        <v/>
      </c>
      <c r="CN13" s="134" t="str">
        <f>_xlfn.IFNA(MATCH(BN13,Achievements[[#All],[Column115]],0)+10,"")</f>
        <v/>
      </c>
      <c r="CO13" s="134" t="str">
        <f>_xlfn.IFNA(MATCH(BO13,Achievements[[#All],[Column116]],0)+10,"")</f>
        <v/>
      </c>
      <c r="CP13" s="134" t="str">
        <f>_xlfn.IFNA(MATCH(BP13,Achievements[[#All],[Column116]],0)+10,"")</f>
        <v/>
      </c>
      <c r="CQ13" s="134" t="str">
        <f>_xlfn.IFNA(MATCH(BQ13,Achievements[[#All],[Column117]],0)+10,"")</f>
        <v/>
      </c>
      <c r="CR13" s="134" t="str">
        <f>_xlfn.IFNA(MATCH(BR13,Achievements[[#All],[Column117]],0)+10,"")</f>
        <v/>
      </c>
      <c r="CS13" s="134" t="str">
        <f>_xlfn.IFNA(MATCH(BS13,Achievements[[#All],[Column118]],0)+10,"")</f>
        <v/>
      </c>
      <c r="CT13" s="134" t="str">
        <f>_xlfn.IFNA(MATCH(BT13,Achievements[[#All],[Column118]],0)+10,"")</f>
        <v/>
      </c>
      <c r="CU13" s="134" t="str">
        <f>_xlfn.IFNA(MATCH(BU13,Achievements[[#All],[Column119]],0)+10,"")</f>
        <v/>
      </c>
      <c r="CV13" s="134" t="str">
        <f>_xlfn.IFNA(MATCH(BV13,Achievements[[#All],[Column119]],0)+10,"")</f>
        <v/>
      </c>
      <c r="CW13" s="134" t="str">
        <f>_xlfn.IFNA(MATCH(BW13,Achievements[[#All],[Column120]],0)+10,"")</f>
        <v/>
      </c>
      <c r="CX13" s="134" t="str">
        <f>_xlfn.IFNA(MATCH(BX13,Achievements[[#All],[Column120]],0)+10,"")</f>
        <v/>
      </c>
      <c r="CY13" s="134" t="str">
        <f>_xlfn.IFNA(MATCH(BY13,Achievements[[#All],[Column121]],0)+10,"")</f>
        <v/>
      </c>
      <c r="CZ13" s="118" t="e">
        <f t="shared" ref="CZ13:CZ76" ca="1" si="1">SUBSTITUTE(TRIM(CA13&amp;" "&amp;CB13&amp;" "&amp;CC13&amp;" "&amp;CD13&amp;" "&amp;CE13&amp;" "&amp;CF13&amp;" "&amp;CG13&amp;" "&amp;CH13&amp;" "&amp;CI13&amp;" "&amp;CJ13&amp;" "&amp;CK13&amp;" "&amp;CL13&amp;" "&amp;CM13&amp;" "&amp;CN13&amp;" "&amp;CO13&amp;" "&amp;CP13&amp;" "&amp;CQ13&amp;" "&amp;CR13&amp;" "&amp;CS13&amp;" "&amp;CT13&amp;" "&amp;CU13&amp;" "&amp;CV13&amp;" "&amp;CW13&amp;" "&amp;CX13&amp;" "&amp;CY13)," ",", ")</f>
        <v>#NAME?</v>
      </c>
    </row>
    <row r="14" spans="1:104" x14ac:dyDescent="0.25">
      <c r="A14" t="e" cm="1">
        <f t="array" aca="1" ref="A14" ca="1">SplitValues("; ",#REF!)</f>
        <v>#NAME?</v>
      </c>
      <c r="AA14" t="e">
        <f ca="1">_xlfn.IFNA(MATCH(A14,Achievements[[#All],[Column1]],0)+11,"")</f>
        <v>#NAME?</v>
      </c>
      <c r="AB14" t="str">
        <f>_xlfn.IFNA(MATCH(B14,Achievements[[#All],[Column1]],0)+10,"")</f>
        <v/>
      </c>
      <c r="AC14" t="str">
        <f>_xlfn.IFNA(MATCH(C14,Achievements[[#All],[Column1]],0)+10,"")</f>
        <v/>
      </c>
      <c r="AD14" s="134" t="str">
        <f>_xlfn.IFNA(MATCH(D14,Achievements[[#All],[Column110]],0)+10,"")</f>
        <v/>
      </c>
      <c r="AE14" s="134" t="str">
        <f>_xlfn.IFNA(MATCH(E14,Achievements[[#All],[Column110]],0)+10,"")</f>
        <v/>
      </c>
      <c r="AF14" s="134" t="str">
        <f>_xlfn.IFNA(MATCH(F14,Achievements[[#All],[Column111]],0)+10,"")</f>
        <v/>
      </c>
      <c r="AG14" s="134" t="str">
        <f>_xlfn.IFNA(MATCH(G14,Achievements[[#All],[Column111]],0)+10,"")</f>
        <v/>
      </c>
      <c r="AH14" s="134" t="str">
        <f>_xlfn.IFNA(MATCH(H14,Achievements[[#All],[Column112]],0)+10,"")</f>
        <v/>
      </c>
      <c r="AI14" s="134" t="str">
        <f>_xlfn.IFNA(MATCH(I14,Achievements[[#All],[Column112]],0)+10,"")</f>
        <v/>
      </c>
      <c r="AJ14" s="134" t="str">
        <f>_xlfn.IFNA(MATCH(J14,Achievements[[#All],[Column113]],0)+10,"")</f>
        <v/>
      </c>
      <c r="AK14" s="134" t="str">
        <f>_xlfn.IFNA(MATCH(K14,Achievements[[#All],[Column113]],0)+10,"")</f>
        <v/>
      </c>
      <c r="AL14" s="134" t="str">
        <f>_xlfn.IFNA(MATCH(L14,Achievements[[#All],[Column114]],0)+10,"")</f>
        <v/>
      </c>
      <c r="AM14" s="134" t="str">
        <f>_xlfn.IFNA(MATCH(M14,Achievements[[#All],[Column114]],0)+10,"")</f>
        <v/>
      </c>
      <c r="AN14" s="134" t="str">
        <f>_xlfn.IFNA(MATCH(N14,Achievements[[#All],[Column115]],0)+10,"")</f>
        <v/>
      </c>
      <c r="AO14" s="134" t="str">
        <f>_xlfn.IFNA(MATCH(O14,Achievements[[#All],[Column115]],0)+10,"")</f>
        <v/>
      </c>
      <c r="AP14" s="134" t="str">
        <f>_xlfn.IFNA(MATCH(P14,Achievements[[#All],[Column116]],0)+10,"")</f>
        <v/>
      </c>
      <c r="AQ14" s="134" t="str">
        <f>_xlfn.IFNA(MATCH(Q14,Achievements[[#All],[Column116]],0)+10,"")</f>
        <v/>
      </c>
      <c r="AR14" s="134" t="str">
        <f>_xlfn.IFNA(MATCH(R14,Achievements[[#All],[Column117]],0)+10,"")</f>
        <v/>
      </c>
      <c r="AS14" s="134" t="str">
        <f>_xlfn.IFNA(MATCH(S14,Achievements[[#All],[Column117]],0)+10,"")</f>
        <v/>
      </c>
      <c r="AT14" s="134" t="str">
        <f>_xlfn.IFNA(MATCH(T14,Achievements[[#All],[Column118]],0)+10,"")</f>
        <v/>
      </c>
      <c r="AU14" s="134" t="str">
        <f>_xlfn.IFNA(MATCH(U14,Achievements[[#All],[Column118]],0)+10,"")</f>
        <v/>
      </c>
      <c r="AV14" s="134" t="str">
        <f>_xlfn.IFNA(MATCH(V14,Achievements[[#All],[Column119]],0)+10,"")</f>
        <v/>
      </c>
      <c r="AW14" s="134" t="str">
        <f>_xlfn.IFNA(MATCH(W14,Achievements[[#All],[Column119]],0)+10,"")</f>
        <v/>
      </c>
      <c r="AX14" s="134" t="str">
        <f>_xlfn.IFNA(MATCH(X14,Achievements[[#All],[Column120]],0)+10,"")</f>
        <v/>
      </c>
      <c r="AY14" s="134" t="str">
        <f>_xlfn.IFNA(MATCH(Y14,Achievements[[#All],[Column120]],0)+10,"")</f>
        <v/>
      </c>
      <c r="AZ14" s="116" t="e">
        <f t="shared" ca="1" si="0"/>
        <v>#NAME?</v>
      </c>
      <c r="BA14" s="134" t="e" cm="1">
        <f t="array" aca="1" ref="BA14" ca="1">SplitValues("; ",Persons[[#This Row],[Column1]])</f>
        <v>#NAME?</v>
      </c>
      <c r="CA14" s="134" t="e">
        <f ca="1">_xlfn.IFNA(MATCH(BA14,Achievements[[#All],[Column1]],0)+10,"")</f>
        <v>#NAME?</v>
      </c>
      <c r="CB14" s="134" t="str">
        <f>_xlfn.IFNA(MATCH(BB14,Achievements[[#All],[Column1]],0)+10,"")</f>
        <v/>
      </c>
      <c r="CC14" s="134" t="str">
        <f>_xlfn.IFNA(MATCH(BC14,Achievements[[#All],[Column110]],0)+10,"")</f>
        <v/>
      </c>
      <c r="CD14" s="134" t="str">
        <f>_xlfn.IFNA(MATCH(BD14,Achievements[[#All],[Column110]],0)+10,"")</f>
        <v/>
      </c>
      <c r="CE14" s="134" t="str">
        <f>_xlfn.IFNA(MATCH(BE14,Achievements[[#All],[Column111]],0)+10,"")</f>
        <v/>
      </c>
      <c r="CF14" s="134" t="str">
        <f>_xlfn.IFNA(MATCH(BF14,Achievements[[#All],[Column111]],0)+10,"")</f>
        <v/>
      </c>
      <c r="CG14" s="134" t="str">
        <f>_xlfn.IFNA(MATCH(BG14,Achievements[[#All],[Column112]],0)+10,"")</f>
        <v/>
      </c>
      <c r="CH14" s="134" t="str">
        <f>_xlfn.IFNA(MATCH(BH14,Achievements[[#All],[Column112]],0)+10,"")</f>
        <v/>
      </c>
      <c r="CI14" s="134" t="str">
        <f>_xlfn.IFNA(MATCH(BI14,Achievements[[#All],[Column113]],0)+10,"")</f>
        <v/>
      </c>
      <c r="CJ14" s="134" t="str">
        <f>_xlfn.IFNA(MATCH(BJ14,Achievements[[#All],[Column113]],0)+10,"")</f>
        <v/>
      </c>
      <c r="CK14" s="134" t="str">
        <f>_xlfn.IFNA(MATCH(BK14,Achievements[[#All],[Column114]],0)+10,"")</f>
        <v/>
      </c>
      <c r="CL14" s="134" t="str">
        <f>_xlfn.IFNA(MATCH(BL14,Achievements[[#All],[Column114]],0)+10,"")</f>
        <v/>
      </c>
      <c r="CM14" s="134" t="str">
        <f>_xlfn.IFNA(MATCH(BM14,Achievements[[#All],[Column115]],0)+10,"")</f>
        <v/>
      </c>
      <c r="CN14" s="134" t="str">
        <f>_xlfn.IFNA(MATCH(BN14,Achievements[[#All],[Column115]],0)+10,"")</f>
        <v/>
      </c>
      <c r="CO14" s="134" t="str">
        <f>_xlfn.IFNA(MATCH(BO14,Achievements[[#All],[Column116]],0)+10,"")</f>
        <v/>
      </c>
      <c r="CP14" s="134" t="str">
        <f>_xlfn.IFNA(MATCH(BP14,Achievements[[#All],[Column116]],0)+10,"")</f>
        <v/>
      </c>
      <c r="CQ14" s="134" t="str">
        <f>_xlfn.IFNA(MATCH(BQ14,Achievements[[#All],[Column117]],0)+10,"")</f>
        <v/>
      </c>
      <c r="CR14" s="134" t="str">
        <f>_xlfn.IFNA(MATCH(BR14,Achievements[[#All],[Column117]],0)+10,"")</f>
        <v/>
      </c>
      <c r="CS14" s="134" t="str">
        <f>_xlfn.IFNA(MATCH(BS14,Achievements[[#All],[Column118]],0)+10,"")</f>
        <v/>
      </c>
      <c r="CT14" s="134" t="str">
        <f>_xlfn.IFNA(MATCH(BT14,Achievements[[#All],[Column118]],0)+10,"")</f>
        <v/>
      </c>
      <c r="CU14" s="134" t="str">
        <f>_xlfn.IFNA(MATCH(BU14,Achievements[[#All],[Column119]],0)+10,"")</f>
        <v/>
      </c>
      <c r="CV14" s="134" t="str">
        <f>_xlfn.IFNA(MATCH(BV14,Achievements[[#All],[Column119]],0)+10,"")</f>
        <v/>
      </c>
      <c r="CW14" s="134" t="str">
        <f>_xlfn.IFNA(MATCH(BW14,Achievements[[#All],[Column120]],0)+10,"")</f>
        <v/>
      </c>
      <c r="CX14" s="134" t="str">
        <f>_xlfn.IFNA(MATCH(BX14,Achievements[[#All],[Column120]],0)+10,"")</f>
        <v/>
      </c>
      <c r="CY14" s="134" t="str">
        <f>_xlfn.IFNA(MATCH(BY14,Achievements[[#All],[Column121]],0)+10,"")</f>
        <v/>
      </c>
      <c r="CZ14" s="118" t="e">
        <f t="shared" ca="1" si="1"/>
        <v>#NAME?</v>
      </c>
    </row>
    <row r="15" spans="1:104" x14ac:dyDescent="0.25">
      <c r="A15" t="e" cm="1">
        <f t="array" aca="1" ref="A15" ca="1">SplitValues("; ",#REF!)</f>
        <v>#NAME?</v>
      </c>
      <c r="AA15" t="e">
        <f ca="1">_xlfn.IFNA(MATCH(A15,Achievements[[#All],[Column1]],0)+11,"")</f>
        <v>#NAME?</v>
      </c>
      <c r="AB15" s="134" t="str">
        <f>_xlfn.IFNA(MATCH(B15,Achievements[[#All],[Column1]],0)+10,"")</f>
        <v/>
      </c>
      <c r="AC15" s="134" t="str">
        <f>_xlfn.IFNA(MATCH(C15,Achievements[[#All],[Column1]],0)+10,"")</f>
        <v/>
      </c>
      <c r="AD15" s="134" t="str">
        <f>_xlfn.IFNA(MATCH(D15,Achievements[[#All],[Column110]],0)+10,"")</f>
        <v/>
      </c>
      <c r="AE15" s="134" t="str">
        <f>_xlfn.IFNA(MATCH(E15,Achievements[[#All],[Column110]],0)+10,"")</f>
        <v/>
      </c>
      <c r="AF15" s="134" t="str">
        <f>_xlfn.IFNA(MATCH(F15,Achievements[[#All],[Column111]],0)+10,"")</f>
        <v/>
      </c>
      <c r="AG15" s="134" t="str">
        <f>_xlfn.IFNA(MATCH(G15,Achievements[[#All],[Column111]],0)+10,"")</f>
        <v/>
      </c>
      <c r="AH15" s="134" t="str">
        <f>_xlfn.IFNA(MATCH(H15,Achievements[[#All],[Column112]],0)+10,"")</f>
        <v/>
      </c>
      <c r="AI15" s="134" t="str">
        <f>_xlfn.IFNA(MATCH(I15,Achievements[[#All],[Column112]],0)+10,"")</f>
        <v/>
      </c>
      <c r="AJ15" s="134" t="str">
        <f>_xlfn.IFNA(MATCH(J15,Achievements[[#All],[Column113]],0)+10,"")</f>
        <v/>
      </c>
      <c r="AK15" s="134" t="str">
        <f>_xlfn.IFNA(MATCH(K15,Achievements[[#All],[Column113]],0)+10,"")</f>
        <v/>
      </c>
      <c r="AL15" s="134" t="str">
        <f>_xlfn.IFNA(MATCH(L15,Achievements[[#All],[Column114]],0)+10,"")</f>
        <v/>
      </c>
      <c r="AM15" s="134" t="str">
        <f>_xlfn.IFNA(MATCH(M15,Achievements[[#All],[Column114]],0)+10,"")</f>
        <v/>
      </c>
      <c r="AN15" s="134" t="str">
        <f>_xlfn.IFNA(MATCH(N15,Achievements[[#All],[Column115]],0)+10,"")</f>
        <v/>
      </c>
      <c r="AO15" s="134" t="str">
        <f>_xlfn.IFNA(MATCH(O15,Achievements[[#All],[Column115]],0)+10,"")</f>
        <v/>
      </c>
      <c r="AP15" s="134" t="str">
        <f>_xlfn.IFNA(MATCH(P15,Achievements[[#All],[Column116]],0)+10,"")</f>
        <v/>
      </c>
      <c r="AQ15" s="134" t="str">
        <f>_xlfn.IFNA(MATCH(Q15,Achievements[[#All],[Column116]],0)+10,"")</f>
        <v/>
      </c>
      <c r="AR15" s="134" t="str">
        <f>_xlfn.IFNA(MATCH(R15,Achievements[[#All],[Column117]],0)+10,"")</f>
        <v/>
      </c>
      <c r="AS15" s="134" t="str">
        <f>_xlfn.IFNA(MATCH(S15,Achievements[[#All],[Column117]],0)+10,"")</f>
        <v/>
      </c>
      <c r="AT15" s="134" t="str">
        <f>_xlfn.IFNA(MATCH(T15,Achievements[[#All],[Column118]],0)+10,"")</f>
        <v/>
      </c>
      <c r="AU15" s="134" t="str">
        <f>_xlfn.IFNA(MATCH(U15,Achievements[[#All],[Column118]],0)+10,"")</f>
        <v/>
      </c>
      <c r="AV15" s="134" t="str">
        <f>_xlfn.IFNA(MATCH(V15,Achievements[[#All],[Column119]],0)+10,"")</f>
        <v/>
      </c>
      <c r="AW15" s="134" t="str">
        <f>_xlfn.IFNA(MATCH(W15,Achievements[[#All],[Column119]],0)+10,"")</f>
        <v/>
      </c>
      <c r="AX15" s="134" t="str">
        <f>_xlfn.IFNA(MATCH(X15,Achievements[[#All],[Column120]],0)+10,"")</f>
        <v/>
      </c>
      <c r="AY15" s="134" t="str">
        <f>_xlfn.IFNA(MATCH(Y15,Achievements[[#All],[Column120]],0)+10,"")</f>
        <v/>
      </c>
      <c r="AZ15" s="116" t="e">
        <f t="shared" ca="1" si="0"/>
        <v>#NAME?</v>
      </c>
      <c r="BA15" s="134" t="e" cm="1">
        <f t="array" aca="1" ref="BA15" ca="1">SplitValues("; ",Persons[[#This Row],[Column1]])</f>
        <v>#NAME?</v>
      </c>
      <c r="CA15" s="134" t="e">
        <f ca="1">_xlfn.IFNA(MATCH(BA15,Achievements[[#All],[Column1]],0)+10,"")</f>
        <v>#NAME?</v>
      </c>
      <c r="CB15" s="134" t="str">
        <f>_xlfn.IFNA(MATCH(BB15,Achievements[[#All],[Column1]],0)+10,"")</f>
        <v/>
      </c>
      <c r="CC15" s="134" t="str">
        <f>_xlfn.IFNA(MATCH(BC15,Achievements[[#All],[Column110]],0)+10,"")</f>
        <v/>
      </c>
      <c r="CD15" s="134" t="str">
        <f>_xlfn.IFNA(MATCH(BD15,Achievements[[#All],[Column110]],0)+10,"")</f>
        <v/>
      </c>
      <c r="CE15" s="134" t="str">
        <f>_xlfn.IFNA(MATCH(BE15,Achievements[[#All],[Column111]],0)+10,"")</f>
        <v/>
      </c>
      <c r="CF15" s="134" t="str">
        <f>_xlfn.IFNA(MATCH(BF15,Achievements[[#All],[Column111]],0)+10,"")</f>
        <v/>
      </c>
      <c r="CG15" s="134" t="str">
        <f>_xlfn.IFNA(MATCH(BG15,Achievements[[#All],[Column112]],0)+10,"")</f>
        <v/>
      </c>
      <c r="CH15" s="134" t="str">
        <f>_xlfn.IFNA(MATCH(BH15,Achievements[[#All],[Column112]],0)+10,"")</f>
        <v/>
      </c>
      <c r="CI15" s="134" t="str">
        <f>_xlfn.IFNA(MATCH(BI15,Achievements[[#All],[Column113]],0)+10,"")</f>
        <v/>
      </c>
      <c r="CJ15" s="134" t="str">
        <f>_xlfn.IFNA(MATCH(BJ15,Achievements[[#All],[Column113]],0)+10,"")</f>
        <v/>
      </c>
      <c r="CK15" s="134" t="str">
        <f>_xlfn.IFNA(MATCH(BK15,Achievements[[#All],[Column114]],0)+10,"")</f>
        <v/>
      </c>
      <c r="CL15" s="134" t="str">
        <f>_xlfn.IFNA(MATCH(BL15,Achievements[[#All],[Column114]],0)+10,"")</f>
        <v/>
      </c>
      <c r="CM15" s="134" t="str">
        <f>_xlfn.IFNA(MATCH(BM15,Achievements[[#All],[Column115]],0)+10,"")</f>
        <v/>
      </c>
      <c r="CN15" s="134" t="str">
        <f>_xlfn.IFNA(MATCH(BN15,Achievements[[#All],[Column115]],0)+10,"")</f>
        <v/>
      </c>
      <c r="CO15" s="134" t="str">
        <f>_xlfn.IFNA(MATCH(BO15,Achievements[[#All],[Column116]],0)+10,"")</f>
        <v/>
      </c>
      <c r="CP15" s="134" t="str">
        <f>_xlfn.IFNA(MATCH(BP15,Achievements[[#All],[Column116]],0)+10,"")</f>
        <v/>
      </c>
      <c r="CQ15" s="134" t="str">
        <f>_xlfn.IFNA(MATCH(BQ15,Achievements[[#All],[Column117]],0)+10,"")</f>
        <v/>
      </c>
      <c r="CR15" s="134" t="str">
        <f>_xlfn.IFNA(MATCH(BR15,Achievements[[#All],[Column117]],0)+10,"")</f>
        <v/>
      </c>
      <c r="CS15" s="134" t="str">
        <f>_xlfn.IFNA(MATCH(BS15,Achievements[[#All],[Column118]],0)+10,"")</f>
        <v/>
      </c>
      <c r="CT15" s="134" t="str">
        <f>_xlfn.IFNA(MATCH(BT15,Achievements[[#All],[Column118]],0)+10,"")</f>
        <v/>
      </c>
      <c r="CU15" s="134" t="str">
        <f>_xlfn.IFNA(MATCH(BU15,Achievements[[#All],[Column119]],0)+10,"")</f>
        <v/>
      </c>
      <c r="CV15" s="134" t="str">
        <f>_xlfn.IFNA(MATCH(BV15,Achievements[[#All],[Column119]],0)+10,"")</f>
        <v/>
      </c>
      <c r="CW15" s="134" t="str">
        <f>_xlfn.IFNA(MATCH(BW15,Achievements[[#All],[Column120]],0)+10,"")</f>
        <v/>
      </c>
      <c r="CX15" s="134" t="str">
        <f>_xlfn.IFNA(MATCH(BX15,Achievements[[#All],[Column120]],0)+10,"")</f>
        <v/>
      </c>
      <c r="CY15" s="134" t="str">
        <f>_xlfn.IFNA(MATCH(BY15,Achievements[[#All],[Column121]],0)+10,"")</f>
        <v/>
      </c>
      <c r="CZ15" s="118" t="e">
        <f t="shared" ca="1" si="1"/>
        <v>#NAME?</v>
      </c>
    </row>
    <row r="16" spans="1:104" x14ac:dyDescent="0.25">
      <c r="A16" t="e" cm="1">
        <f t="array" aca="1" ref="A16" ca="1">SplitValues("; ",#REF!)</f>
        <v>#NAME?</v>
      </c>
      <c r="AA16" t="e">
        <f ca="1">_xlfn.IFNA(MATCH(A16,Achievements[[#All],[Column1]],0)+11,"")</f>
        <v>#NAME?</v>
      </c>
      <c r="AB16" s="134" t="str">
        <f>_xlfn.IFNA(MATCH(B16,Achievements[[#All],[Column1]],0)+10,"")</f>
        <v/>
      </c>
      <c r="AC16" s="134" t="str">
        <f>_xlfn.IFNA(MATCH(C16,Achievements[[#All],[Column1]],0)+10,"")</f>
        <v/>
      </c>
      <c r="AD16" s="134" t="str">
        <f>_xlfn.IFNA(MATCH(D16,Achievements[[#All],[Column110]],0)+10,"")</f>
        <v/>
      </c>
      <c r="AE16" s="134" t="str">
        <f>_xlfn.IFNA(MATCH(E16,Achievements[[#All],[Column110]],0)+10,"")</f>
        <v/>
      </c>
      <c r="AF16" s="134" t="str">
        <f>_xlfn.IFNA(MATCH(F16,Achievements[[#All],[Column111]],0)+10,"")</f>
        <v/>
      </c>
      <c r="AG16" s="134" t="str">
        <f>_xlfn.IFNA(MATCH(G16,Achievements[[#All],[Column111]],0)+10,"")</f>
        <v/>
      </c>
      <c r="AH16" s="134" t="str">
        <f>_xlfn.IFNA(MATCH(H16,Achievements[[#All],[Column112]],0)+10,"")</f>
        <v/>
      </c>
      <c r="AI16" s="134" t="str">
        <f>_xlfn.IFNA(MATCH(I16,Achievements[[#All],[Column112]],0)+10,"")</f>
        <v/>
      </c>
      <c r="AJ16" s="134" t="str">
        <f>_xlfn.IFNA(MATCH(J16,Achievements[[#All],[Column113]],0)+10,"")</f>
        <v/>
      </c>
      <c r="AK16" s="134" t="str">
        <f>_xlfn.IFNA(MATCH(K16,Achievements[[#All],[Column113]],0)+10,"")</f>
        <v/>
      </c>
      <c r="AL16" s="134" t="str">
        <f>_xlfn.IFNA(MATCH(L16,Achievements[[#All],[Column114]],0)+10,"")</f>
        <v/>
      </c>
      <c r="AM16" s="134" t="str">
        <f>_xlfn.IFNA(MATCH(M16,Achievements[[#All],[Column114]],0)+10,"")</f>
        <v/>
      </c>
      <c r="AN16" s="134" t="str">
        <f>_xlfn.IFNA(MATCH(N16,Achievements[[#All],[Column115]],0)+10,"")</f>
        <v/>
      </c>
      <c r="AO16" s="134" t="str">
        <f>_xlfn.IFNA(MATCH(O16,Achievements[[#All],[Column115]],0)+10,"")</f>
        <v/>
      </c>
      <c r="AP16" s="134" t="str">
        <f>_xlfn.IFNA(MATCH(P16,Achievements[[#All],[Column116]],0)+10,"")</f>
        <v/>
      </c>
      <c r="AQ16" s="134" t="str">
        <f>_xlfn.IFNA(MATCH(Q16,Achievements[[#All],[Column116]],0)+10,"")</f>
        <v/>
      </c>
      <c r="AR16" s="134" t="str">
        <f>_xlfn.IFNA(MATCH(R16,Achievements[[#All],[Column117]],0)+10,"")</f>
        <v/>
      </c>
      <c r="AS16" s="134" t="str">
        <f>_xlfn.IFNA(MATCH(S16,Achievements[[#All],[Column117]],0)+10,"")</f>
        <v/>
      </c>
      <c r="AT16" s="134" t="str">
        <f>_xlfn.IFNA(MATCH(T16,Achievements[[#All],[Column118]],0)+10,"")</f>
        <v/>
      </c>
      <c r="AU16" s="134" t="str">
        <f>_xlfn.IFNA(MATCH(U16,Achievements[[#All],[Column118]],0)+10,"")</f>
        <v/>
      </c>
      <c r="AV16" s="134" t="str">
        <f>_xlfn.IFNA(MATCH(V16,Achievements[[#All],[Column119]],0)+10,"")</f>
        <v/>
      </c>
      <c r="AW16" s="134" t="str">
        <f>_xlfn.IFNA(MATCH(W16,Achievements[[#All],[Column119]],0)+10,"")</f>
        <v/>
      </c>
      <c r="AX16" s="134" t="str">
        <f>_xlfn.IFNA(MATCH(X16,Achievements[[#All],[Column120]],0)+10,"")</f>
        <v/>
      </c>
      <c r="AY16" s="134" t="str">
        <f>_xlfn.IFNA(MATCH(Y16,Achievements[[#All],[Column120]],0)+10,"")</f>
        <v/>
      </c>
      <c r="AZ16" s="116" t="e">
        <f t="shared" ca="1" si="0"/>
        <v>#NAME?</v>
      </c>
      <c r="BA16" s="134" t="e" cm="1">
        <f t="array" aca="1" ref="BA16" ca="1">SplitValues("; ",Persons[[#This Row],[Column1]])</f>
        <v>#NAME?</v>
      </c>
      <c r="CA16" s="134" t="e">
        <f ca="1">_xlfn.IFNA(MATCH(BA16,Achievements[[#All],[Column1]],0)+10,"")</f>
        <v>#NAME?</v>
      </c>
      <c r="CB16" s="134" t="str">
        <f>_xlfn.IFNA(MATCH(BB16,Achievements[[#All],[Column1]],0)+10,"")</f>
        <v/>
      </c>
      <c r="CC16" s="134" t="str">
        <f>_xlfn.IFNA(MATCH(BC16,Achievements[[#All],[Column110]],0)+10,"")</f>
        <v/>
      </c>
      <c r="CD16" s="134" t="str">
        <f>_xlfn.IFNA(MATCH(BD16,Achievements[[#All],[Column110]],0)+10,"")</f>
        <v/>
      </c>
      <c r="CE16" s="134" t="str">
        <f>_xlfn.IFNA(MATCH(BE16,Achievements[[#All],[Column111]],0)+10,"")</f>
        <v/>
      </c>
      <c r="CF16" s="134" t="str">
        <f>_xlfn.IFNA(MATCH(BF16,Achievements[[#All],[Column111]],0)+10,"")</f>
        <v/>
      </c>
      <c r="CG16" s="134" t="str">
        <f>_xlfn.IFNA(MATCH(BG16,Achievements[[#All],[Column112]],0)+10,"")</f>
        <v/>
      </c>
      <c r="CH16" s="134" t="str">
        <f>_xlfn.IFNA(MATCH(BH16,Achievements[[#All],[Column112]],0)+10,"")</f>
        <v/>
      </c>
      <c r="CI16" s="134" t="str">
        <f>_xlfn.IFNA(MATCH(BI16,Achievements[[#All],[Column113]],0)+10,"")</f>
        <v/>
      </c>
      <c r="CJ16" s="134" t="str">
        <f>_xlfn.IFNA(MATCH(BJ16,Achievements[[#All],[Column113]],0)+10,"")</f>
        <v/>
      </c>
      <c r="CK16" s="134" t="str">
        <f>_xlfn.IFNA(MATCH(BK16,Achievements[[#All],[Column114]],0)+10,"")</f>
        <v/>
      </c>
      <c r="CL16" s="134" t="str">
        <f>_xlfn.IFNA(MATCH(BL16,Achievements[[#All],[Column114]],0)+10,"")</f>
        <v/>
      </c>
      <c r="CM16" s="134" t="str">
        <f>_xlfn.IFNA(MATCH(BM16,Achievements[[#All],[Column115]],0)+10,"")</f>
        <v/>
      </c>
      <c r="CN16" s="134" t="str">
        <f>_xlfn.IFNA(MATCH(BN16,Achievements[[#All],[Column115]],0)+10,"")</f>
        <v/>
      </c>
      <c r="CO16" s="134" t="str">
        <f>_xlfn.IFNA(MATCH(BO16,Achievements[[#All],[Column116]],0)+10,"")</f>
        <v/>
      </c>
      <c r="CP16" s="134" t="str">
        <f>_xlfn.IFNA(MATCH(BP16,Achievements[[#All],[Column116]],0)+10,"")</f>
        <v/>
      </c>
      <c r="CQ16" s="134" t="str">
        <f>_xlfn.IFNA(MATCH(BQ16,Achievements[[#All],[Column117]],0)+10,"")</f>
        <v/>
      </c>
      <c r="CR16" s="134" t="str">
        <f>_xlfn.IFNA(MATCH(BR16,Achievements[[#All],[Column117]],0)+10,"")</f>
        <v/>
      </c>
      <c r="CS16" s="134" t="str">
        <f>_xlfn.IFNA(MATCH(BS16,Achievements[[#All],[Column118]],0)+10,"")</f>
        <v/>
      </c>
      <c r="CT16" s="134" t="str">
        <f>_xlfn.IFNA(MATCH(BT16,Achievements[[#All],[Column118]],0)+10,"")</f>
        <v/>
      </c>
      <c r="CU16" s="134" t="str">
        <f>_xlfn.IFNA(MATCH(BU16,Achievements[[#All],[Column119]],0)+10,"")</f>
        <v/>
      </c>
      <c r="CV16" s="134" t="str">
        <f>_xlfn.IFNA(MATCH(BV16,Achievements[[#All],[Column119]],0)+10,"")</f>
        <v/>
      </c>
      <c r="CW16" s="134" t="str">
        <f>_xlfn.IFNA(MATCH(BW16,Achievements[[#All],[Column120]],0)+10,"")</f>
        <v/>
      </c>
      <c r="CX16" s="134" t="str">
        <f>_xlfn.IFNA(MATCH(BX16,Achievements[[#All],[Column120]],0)+10,"")</f>
        <v/>
      </c>
      <c r="CY16" s="134" t="str">
        <f>_xlfn.IFNA(MATCH(BY16,Achievements[[#All],[Column121]],0)+10,"")</f>
        <v/>
      </c>
      <c r="CZ16" s="118" t="e">
        <f t="shared" ca="1" si="1"/>
        <v>#NAME?</v>
      </c>
    </row>
    <row r="17" spans="1:104" x14ac:dyDescent="0.25">
      <c r="A17" t="e" cm="1">
        <f t="array" aca="1" ref="A17" ca="1">SplitValues("; ",#REF!)</f>
        <v>#NAME?</v>
      </c>
      <c r="AA17" t="e">
        <f ca="1">_xlfn.IFNA(MATCH(A17,Achievements[[#All],[Column1]],0)+11,"")</f>
        <v>#NAME?</v>
      </c>
      <c r="AB17" s="134" t="str">
        <f>_xlfn.IFNA(MATCH(B17,Achievements[[#All],[Column1]],0)+10,"")</f>
        <v/>
      </c>
      <c r="AC17" s="134" t="str">
        <f>_xlfn.IFNA(MATCH(C17,Achievements[[#All],[Column1]],0)+10,"")</f>
        <v/>
      </c>
      <c r="AD17" s="134" t="str">
        <f>_xlfn.IFNA(MATCH(D17,Achievements[[#All],[Column110]],0)+10,"")</f>
        <v/>
      </c>
      <c r="AE17" s="134" t="str">
        <f>_xlfn.IFNA(MATCH(E17,Achievements[[#All],[Column110]],0)+10,"")</f>
        <v/>
      </c>
      <c r="AF17" s="134" t="str">
        <f>_xlfn.IFNA(MATCH(F17,Achievements[[#All],[Column111]],0)+10,"")</f>
        <v/>
      </c>
      <c r="AG17" s="134" t="str">
        <f>_xlfn.IFNA(MATCH(G17,Achievements[[#All],[Column111]],0)+10,"")</f>
        <v/>
      </c>
      <c r="AH17" s="134" t="str">
        <f>_xlfn.IFNA(MATCH(H17,Achievements[[#All],[Column112]],0)+10,"")</f>
        <v/>
      </c>
      <c r="AI17" s="134" t="str">
        <f>_xlfn.IFNA(MATCH(I17,Achievements[[#All],[Column112]],0)+10,"")</f>
        <v/>
      </c>
      <c r="AJ17" s="134" t="str">
        <f>_xlfn.IFNA(MATCH(J17,Achievements[[#All],[Column113]],0)+10,"")</f>
        <v/>
      </c>
      <c r="AK17" s="134" t="str">
        <f>_xlfn.IFNA(MATCH(K17,Achievements[[#All],[Column113]],0)+10,"")</f>
        <v/>
      </c>
      <c r="AL17" s="134" t="str">
        <f>_xlfn.IFNA(MATCH(L17,Achievements[[#All],[Column114]],0)+10,"")</f>
        <v/>
      </c>
      <c r="AM17" s="134" t="str">
        <f>_xlfn.IFNA(MATCH(M17,Achievements[[#All],[Column114]],0)+10,"")</f>
        <v/>
      </c>
      <c r="AN17" s="134" t="str">
        <f>_xlfn.IFNA(MATCH(N17,Achievements[[#All],[Column115]],0)+10,"")</f>
        <v/>
      </c>
      <c r="AO17" s="134" t="str">
        <f>_xlfn.IFNA(MATCH(O17,Achievements[[#All],[Column115]],0)+10,"")</f>
        <v/>
      </c>
      <c r="AP17" s="134" t="str">
        <f>_xlfn.IFNA(MATCH(P17,Achievements[[#All],[Column116]],0)+10,"")</f>
        <v/>
      </c>
      <c r="AQ17" s="134" t="str">
        <f>_xlfn.IFNA(MATCH(Q17,Achievements[[#All],[Column116]],0)+10,"")</f>
        <v/>
      </c>
      <c r="AR17" s="134" t="str">
        <f>_xlfn.IFNA(MATCH(R17,Achievements[[#All],[Column117]],0)+10,"")</f>
        <v/>
      </c>
      <c r="AS17" s="134" t="str">
        <f>_xlfn.IFNA(MATCH(S17,Achievements[[#All],[Column117]],0)+10,"")</f>
        <v/>
      </c>
      <c r="AT17" s="134" t="str">
        <f>_xlfn.IFNA(MATCH(T17,Achievements[[#All],[Column118]],0)+10,"")</f>
        <v/>
      </c>
      <c r="AU17" s="134" t="str">
        <f>_xlfn.IFNA(MATCH(U17,Achievements[[#All],[Column118]],0)+10,"")</f>
        <v/>
      </c>
      <c r="AV17" s="134" t="str">
        <f>_xlfn.IFNA(MATCH(V17,Achievements[[#All],[Column119]],0)+10,"")</f>
        <v/>
      </c>
      <c r="AW17" s="134" t="str">
        <f>_xlfn.IFNA(MATCH(W17,Achievements[[#All],[Column119]],0)+10,"")</f>
        <v/>
      </c>
      <c r="AX17" s="134" t="str">
        <f>_xlfn.IFNA(MATCH(X17,Achievements[[#All],[Column120]],0)+10,"")</f>
        <v/>
      </c>
      <c r="AY17" s="134" t="str">
        <f>_xlfn.IFNA(MATCH(Y17,Achievements[[#All],[Column120]],0)+10,"")</f>
        <v/>
      </c>
      <c r="AZ17" s="116" t="e">
        <f t="shared" ca="1" si="0"/>
        <v>#NAME?</v>
      </c>
      <c r="BA17" s="134" t="e" cm="1">
        <f t="array" aca="1" ref="BA17" ca="1">SplitValues("; ",Persons[[#This Row],[Column1]])</f>
        <v>#NAME?</v>
      </c>
      <c r="CA17" s="134" t="e">
        <f ca="1">_xlfn.IFNA(MATCH(BA17,Achievements[[#All],[Column1]],0)+10,"")</f>
        <v>#NAME?</v>
      </c>
      <c r="CB17" s="134" t="str">
        <f>_xlfn.IFNA(MATCH(BB17,Achievements[[#All],[Column1]],0)+10,"")</f>
        <v/>
      </c>
      <c r="CC17" s="134" t="str">
        <f>_xlfn.IFNA(MATCH(BC17,Achievements[[#All],[Column110]],0)+10,"")</f>
        <v/>
      </c>
      <c r="CD17" s="134" t="str">
        <f>_xlfn.IFNA(MATCH(BD17,Achievements[[#All],[Column110]],0)+10,"")</f>
        <v/>
      </c>
      <c r="CE17" s="134" t="str">
        <f>_xlfn.IFNA(MATCH(BE17,Achievements[[#All],[Column111]],0)+10,"")</f>
        <v/>
      </c>
      <c r="CF17" s="134" t="str">
        <f>_xlfn.IFNA(MATCH(BF17,Achievements[[#All],[Column111]],0)+10,"")</f>
        <v/>
      </c>
      <c r="CG17" s="134" t="str">
        <f>_xlfn.IFNA(MATCH(BG17,Achievements[[#All],[Column112]],0)+10,"")</f>
        <v/>
      </c>
      <c r="CH17" s="134" t="str">
        <f>_xlfn.IFNA(MATCH(BH17,Achievements[[#All],[Column112]],0)+10,"")</f>
        <v/>
      </c>
      <c r="CI17" s="134" t="str">
        <f>_xlfn.IFNA(MATCH(BI17,Achievements[[#All],[Column113]],0)+10,"")</f>
        <v/>
      </c>
      <c r="CJ17" s="134" t="str">
        <f>_xlfn.IFNA(MATCH(BJ17,Achievements[[#All],[Column113]],0)+10,"")</f>
        <v/>
      </c>
      <c r="CK17" s="134" t="str">
        <f>_xlfn.IFNA(MATCH(BK17,Achievements[[#All],[Column114]],0)+10,"")</f>
        <v/>
      </c>
      <c r="CL17" s="134" t="str">
        <f>_xlfn.IFNA(MATCH(BL17,Achievements[[#All],[Column114]],0)+10,"")</f>
        <v/>
      </c>
      <c r="CM17" s="134" t="str">
        <f>_xlfn.IFNA(MATCH(BM17,Achievements[[#All],[Column115]],0)+10,"")</f>
        <v/>
      </c>
      <c r="CN17" s="134" t="str">
        <f>_xlfn.IFNA(MATCH(BN17,Achievements[[#All],[Column115]],0)+10,"")</f>
        <v/>
      </c>
      <c r="CO17" s="134" t="str">
        <f>_xlfn.IFNA(MATCH(BO17,Achievements[[#All],[Column116]],0)+10,"")</f>
        <v/>
      </c>
      <c r="CP17" s="134" t="str">
        <f>_xlfn.IFNA(MATCH(BP17,Achievements[[#All],[Column116]],0)+10,"")</f>
        <v/>
      </c>
      <c r="CQ17" s="134" t="str">
        <f>_xlfn.IFNA(MATCH(BQ17,Achievements[[#All],[Column117]],0)+10,"")</f>
        <v/>
      </c>
      <c r="CR17" s="134" t="str">
        <f>_xlfn.IFNA(MATCH(BR17,Achievements[[#All],[Column117]],0)+10,"")</f>
        <v/>
      </c>
      <c r="CS17" s="134" t="str">
        <f>_xlfn.IFNA(MATCH(BS17,Achievements[[#All],[Column118]],0)+10,"")</f>
        <v/>
      </c>
      <c r="CT17" s="134" t="str">
        <f>_xlfn.IFNA(MATCH(BT17,Achievements[[#All],[Column118]],0)+10,"")</f>
        <v/>
      </c>
      <c r="CU17" s="134" t="str">
        <f>_xlfn.IFNA(MATCH(BU17,Achievements[[#All],[Column119]],0)+10,"")</f>
        <v/>
      </c>
      <c r="CV17" s="134" t="str">
        <f>_xlfn.IFNA(MATCH(BV17,Achievements[[#All],[Column119]],0)+10,"")</f>
        <v/>
      </c>
      <c r="CW17" s="134" t="str">
        <f>_xlfn.IFNA(MATCH(BW17,Achievements[[#All],[Column120]],0)+10,"")</f>
        <v/>
      </c>
      <c r="CX17" s="134" t="str">
        <f>_xlfn.IFNA(MATCH(BX17,Achievements[[#All],[Column120]],0)+10,"")</f>
        <v/>
      </c>
      <c r="CY17" s="134" t="str">
        <f>_xlfn.IFNA(MATCH(BY17,Achievements[[#All],[Column121]],0)+10,"")</f>
        <v/>
      </c>
      <c r="CZ17" s="118" t="e">
        <f t="shared" ca="1" si="1"/>
        <v>#NAME?</v>
      </c>
    </row>
    <row r="18" spans="1:104" x14ac:dyDescent="0.25">
      <c r="A18" t="e" cm="1">
        <f t="array" aca="1" ref="A18" ca="1">SplitValues("; ",#REF!)</f>
        <v>#NAME?</v>
      </c>
      <c r="AA18" t="e">
        <f ca="1">_xlfn.IFNA(MATCH(A18,Achievements[[#All],[Column1]],0)+11,"")</f>
        <v>#NAME?</v>
      </c>
      <c r="AB18" s="134" t="str">
        <f>_xlfn.IFNA(MATCH(B18,Achievements[[#All],[Column1]],0)+10,"")</f>
        <v/>
      </c>
      <c r="AC18" s="134" t="str">
        <f>_xlfn.IFNA(MATCH(C18,Achievements[[#All],[Column1]],0)+10,"")</f>
        <v/>
      </c>
      <c r="AD18" s="134" t="str">
        <f>_xlfn.IFNA(MATCH(D18,Achievements[[#All],[Column110]],0)+10,"")</f>
        <v/>
      </c>
      <c r="AE18" s="134" t="str">
        <f>_xlfn.IFNA(MATCH(E18,Achievements[[#All],[Column110]],0)+10,"")</f>
        <v/>
      </c>
      <c r="AF18" s="134" t="str">
        <f>_xlfn.IFNA(MATCH(F18,Achievements[[#All],[Column111]],0)+10,"")</f>
        <v/>
      </c>
      <c r="AG18" s="134" t="str">
        <f>_xlfn.IFNA(MATCH(G18,Achievements[[#All],[Column111]],0)+10,"")</f>
        <v/>
      </c>
      <c r="AH18" s="134" t="str">
        <f>_xlfn.IFNA(MATCH(H18,Achievements[[#All],[Column112]],0)+10,"")</f>
        <v/>
      </c>
      <c r="AI18" s="134" t="str">
        <f>_xlfn.IFNA(MATCH(I18,Achievements[[#All],[Column112]],0)+10,"")</f>
        <v/>
      </c>
      <c r="AJ18" s="134" t="str">
        <f>_xlfn.IFNA(MATCH(J18,Achievements[[#All],[Column113]],0)+10,"")</f>
        <v/>
      </c>
      <c r="AK18" s="134" t="str">
        <f>_xlfn.IFNA(MATCH(K18,Achievements[[#All],[Column113]],0)+10,"")</f>
        <v/>
      </c>
      <c r="AL18" s="134" t="str">
        <f>_xlfn.IFNA(MATCH(L18,Achievements[[#All],[Column114]],0)+10,"")</f>
        <v/>
      </c>
      <c r="AM18" s="134" t="str">
        <f>_xlfn.IFNA(MATCH(M18,Achievements[[#All],[Column114]],0)+10,"")</f>
        <v/>
      </c>
      <c r="AN18" s="134" t="str">
        <f>_xlfn.IFNA(MATCH(N18,Achievements[[#All],[Column115]],0)+10,"")</f>
        <v/>
      </c>
      <c r="AO18" s="134" t="str">
        <f>_xlfn.IFNA(MATCH(O18,Achievements[[#All],[Column115]],0)+10,"")</f>
        <v/>
      </c>
      <c r="AP18" s="134" t="str">
        <f>_xlfn.IFNA(MATCH(P18,Achievements[[#All],[Column116]],0)+10,"")</f>
        <v/>
      </c>
      <c r="AQ18" s="134" t="str">
        <f>_xlfn.IFNA(MATCH(Q18,Achievements[[#All],[Column116]],0)+10,"")</f>
        <v/>
      </c>
      <c r="AR18" s="134" t="str">
        <f>_xlfn.IFNA(MATCH(R18,Achievements[[#All],[Column117]],0)+10,"")</f>
        <v/>
      </c>
      <c r="AS18" s="134" t="str">
        <f>_xlfn.IFNA(MATCH(S18,Achievements[[#All],[Column117]],0)+10,"")</f>
        <v/>
      </c>
      <c r="AT18" s="134" t="str">
        <f>_xlfn.IFNA(MATCH(T18,Achievements[[#All],[Column118]],0)+10,"")</f>
        <v/>
      </c>
      <c r="AU18" s="134" t="str">
        <f>_xlfn.IFNA(MATCH(U18,Achievements[[#All],[Column118]],0)+10,"")</f>
        <v/>
      </c>
      <c r="AV18" s="134" t="str">
        <f>_xlfn.IFNA(MATCH(V18,Achievements[[#All],[Column119]],0)+10,"")</f>
        <v/>
      </c>
      <c r="AW18" s="134" t="str">
        <f>_xlfn.IFNA(MATCH(W18,Achievements[[#All],[Column119]],0)+10,"")</f>
        <v/>
      </c>
      <c r="AX18" s="134" t="str">
        <f>_xlfn.IFNA(MATCH(X18,Achievements[[#All],[Column120]],0)+10,"")</f>
        <v/>
      </c>
      <c r="AY18" s="134" t="str">
        <f>_xlfn.IFNA(MATCH(Y18,Achievements[[#All],[Column120]],0)+10,"")</f>
        <v/>
      </c>
      <c r="AZ18" s="116" t="e">
        <f t="shared" ca="1" si="0"/>
        <v>#NAME?</v>
      </c>
      <c r="BA18" s="134" t="e" cm="1">
        <f t="array" aca="1" ref="BA18" ca="1">SplitValues("; ",Persons[[#This Row],[Column1]])</f>
        <v>#NAME?</v>
      </c>
      <c r="CA18" s="134" t="e">
        <f ca="1">_xlfn.IFNA(MATCH(BA18,Achievements[[#All],[Column1]],0)+10,"")</f>
        <v>#NAME?</v>
      </c>
      <c r="CB18" s="134" t="str">
        <f>_xlfn.IFNA(MATCH(BB18,Achievements[[#All],[Column1]],0)+10,"")</f>
        <v/>
      </c>
      <c r="CC18" s="134" t="str">
        <f>_xlfn.IFNA(MATCH(BC18,Achievements[[#All],[Column110]],0)+10,"")</f>
        <v/>
      </c>
      <c r="CD18" s="134" t="str">
        <f>_xlfn.IFNA(MATCH(BD18,Achievements[[#All],[Column110]],0)+10,"")</f>
        <v/>
      </c>
      <c r="CE18" s="134" t="str">
        <f>_xlfn.IFNA(MATCH(BE18,Achievements[[#All],[Column111]],0)+10,"")</f>
        <v/>
      </c>
      <c r="CF18" s="134" t="str">
        <f>_xlfn.IFNA(MATCH(BF18,Achievements[[#All],[Column111]],0)+10,"")</f>
        <v/>
      </c>
      <c r="CG18" s="134" t="str">
        <f>_xlfn.IFNA(MATCH(BG18,Achievements[[#All],[Column112]],0)+10,"")</f>
        <v/>
      </c>
      <c r="CH18" s="134" t="str">
        <f>_xlfn.IFNA(MATCH(BH18,Achievements[[#All],[Column112]],0)+10,"")</f>
        <v/>
      </c>
      <c r="CI18" s="134" t="str">
        <f>_xlfn.IFNA(MATCH(BI18,Achievements[[#All],[Column113]],0)+10,"")</f>
        <v/>
      </c>
      <c r="CJ18" s="134" t="str">
        <f>_xlfn.IFNA(MATCH(BJ18,Achievements[[#All],[Column113]],0)+10,"")</f>
        <v/>
      </c>
      <c r="CK18" s="134" t="str">
        <f>_xlfn.IFNA(MATCH(BK18,Achievements[[#All],[Column114]],0)+10,"")</f>
        <v/>
      </c>
      <c r="CL18" s="134" t="str">
        <f>_xlfn.IFNA(MATCH(BL18,Achievements[[#All],[Column114]],0)+10,"")</f>
        <v/>
      </c>
      <c r="CM18" s="134" t="str">
        <f>_xlfn.IFNA(MATCH(BM18,Achievements[[#All],[Column115]],0)+10,"")</f>
        <v/>
      </c>
      <c r="CN18" s="134" t="str">
        <f>_xlfn.IFNA(MATCH(BN18,Achievements[[#All],[Column115]],0)+10,"")</f>
        <v/>
      </c>
      <c r="CO18" s="134" t="str">
        <f>_xlfn.IFNA(MATCH(BO18,Achievements[[#All],[Column116]],0)+10,"")</f>
        <v/>
      </c>
      <c r="CP18" s="134" t="str">
        <f>_xlfn.IFNA(MATCH(BP18,Achievements[[#All],[Column116]],0)+10,"")</f>
        <v/>
      </c>
      <c r="CQ18" s="134" t="str">
        <f>_xlfn.IFNA(MATCH(BQ18,Achievements[[#All],[Column117]],0)+10,"")</f>
        <v/>
      </c>
      <c r="CR18" s="134" t="str">
        <f>_xlfn.IFNA(MATCH(BR18,Achievements[[#All],[Column117]],0)+10,"")</f>
        <v/>
      </c>
      <c r="CS18" s="134" t="str">
        <f>_xlfn.IFNA(MATCH(BS18,Achievements[[#All],[Column118]],0)+10,"")</f>
        <v/>
      </c>
      <c r="CT18" s="134" t="str">
        <f>_xlfn.IFNA(MATCH(BT18,Achievements[[#All],[Column118]],0)+10,"")</f>
        <v/>
      </c>
      <c r="CU18" s="134" t="str">
        <f>_xlfn.IFNA(MATCH(BU18,Achievements[[#All],[Column119]],0)+10,"")</f>
        <v/>
      </c>
      <c r="CV18" s="134" t="str">
        <f>_xlfn.IFNA(MATCH(BV18,Achievements[[#All],[Column119]],0)+10,"")</f>
        <v/>
      </c>
      <c r="CW18" s="134" t="str">
        <f>_xlfn.IFNA(MATCH(BW18,Achievements[[#All],[Column120]],0)+10,"")</f>
        <v/>
      </c>
      <c r="CX18" s="134" t="str">
        <f>_xlfn.IFNA(MATCH(BX18,Achievements[[#All],[Column120]],0)+10,"")</f>
        <v/>
      </c>
      <c r="CY18" s="134" t="str">
        <f>_xlfn.IFNA(MATCH(BY18,Achievements[[#All],[Column121]],0)+10,"")</f>
        <v/>
      </c>
      <c r="CZ18" s="118" t="e">
        <f t="shared" ca="1" si="1"/>
        <v>#NAME?</v>
      </c>
    </row>
    <row r="19" spans="1:104" x14ac:dyDescent="0.25">
      <c r="A19" t="e" cm="1">
        <f t="array" aca="1" ref="A19" ca="1">SplitValues("; ",#REF!)</f>
        <v>#NAME?</v>
      </c>
      <c r="AA19" t="e">
        <f ca="1">_xlfn.IFNA(MATCH(A19,Achievements[[#All],[Column1]],0)+11,"")</f>
        <v>#NAME?</v>
      </c>
      <c r="AB19" s="134" t="str">
        <f>_xlfn.IFNA(MATCH(B19,Achievements[[#All],[Column1]],0)+10,"")</f>
        <v/>
      </c>
      <c r="AC19" s="134" t="str">
        <f>_xlfn.IFNA(MATCH(C19,Achievements[[#All],[Column1]],0)+10,"")</f>
        <v/>
      </c>
      <c r="AD19" s="134" t="str">
        <f>_xlfn.IFNA(MATCH(D19,Achievements[[#All],[Column110]],0)+10,"")</f>
        <v/>
      </c>
      <c r="AE19" s="134" t="str">
        <f>_xlfn.IFNA(MATCH(E19,Achievements[[#All],[Column110]],0)+10,"")</f>
        <v/>
      </c>
      <c r="AF19" s="134" t="str">
        <f>_xlfn.IFNA(MATCH(F19,Achievements[[#All],[Column111]],0)+10,"")</f>
        <v/>
      </c>
      <c r="AG19" s="134" t="str">
        <f>_xlfn.IFNA(MATCH(G19,Achievements[[#All],[Column111]],0)+10,"")</f>
        <v/>
      </c>
      <c r="AH19" s="134" t="str">
        <f>_xlfn.IFNA(MATCH(H19,Achievements[[#All],[Column112]],0)+10,"")</f>
        <v/>
      </c>
      <c r="AI19" s="134" t="str">
        <f>_xlfn.IFNA(MATCH(I19,Achievements[[#All],[Column112]],0)+10,"")</f>
        <v/>
      </c>
      <c r="AJ19" s="134" t="str">
        <f>_xlfn.IFNA(MATCH(J19,Achievements[[#All],[Column113]],0)+10,"")</f>
        <v/>
      </c>
      <c r="AK19" s="134" t="str">
        <f>_xlfn.IFNA(MATCH(K19,Achievements[[#All],[Column113]],0)+10,"")</f>
        <v/>
      </c>
      <c r="AL19" s="134" t="str">
        <f>_xlfn.IFNA(MATCH(L19,Achievements[[#All],[Column114]],0)+10,"")</f>
        <v/>
      </c>
      <c r="AM19" s="134" t="str">
        <f>_xlfn.IFNA(MATCH(M19,Achievements[[#All],[Column114]],0)+10,"")</f>
        <v/>
      </c>
      <c r="AN19" s="134" t="str">
        <f>_xlfn.IFNA(MATCH(N19,Achievements[[#All],[Column115]],0)+10,"")</f>
        <v/>
      </c>
      <c r="AO19" s="134" t="str">
        <f>_xlfn.IFNA(MATCH(O19,Achievements[[#All],[Column115]],0)+10,"")</f>
        <v/>
      </c>
      <c r="AP19" s="134" t="str">
        <f>_xlfn.IFNA(MATCH(P19,Achievements[[#All],[Column116]],0)+10,"")</f>
        <v/>
      </c>
      <c r="AQ19" s="134" t="str">
        <f>_xlfn.IFNA(MATCH(Q19,Achievements[[#All],[Column116]],0)+10,"")</f>
        <v/>
      </c>
      <c r="AR19" s="134" t="str">
        <f>_xlfn.IFNA(MATCH(R19,Achievements[[#All],[Column117]],0)+10,"")</f>
        <v/>
      </c>
      <c r="AS19" s="134" t="str">
        <f>_xlfn.IFNA(MATCH(S19,Achievements[[#All],[Column117]],0)+10,"")</f>
        <v/>
      </c>
      <c r="AT19" s="134" t="str">
        <f>_xlfn.IFNA(MATCH(T19,Achievements[[#All],[Column118]],0)+10,"")</f>
        <v/>
      </c>
      <c r="AU19" s="134" t="str">
        <f>_xlfn.IFNA(MATCH(U19,Achievements[[#All],[Column118]],0)+10,"")</f>
        <v/>
      </c>
      <c r="AV19" s="134" t="str">
        <f>_xlfn.IFNA(MATCH(V19,Achievements[[#All],[Column119]],0)+10,"")</f>
        <v/>
      </c>
      <c r="AW19" s="134" t="str">
        <f>_xlfn.IFNA(MATCH(W19,Achievements[[#All],[Column119]],0)+10,"")</f>
        <v/>
      </c>
      <c r="AX19" s="134" t="str">
        <f>_xlfn.IFNA(MATCH(X19,Achievements[[#All],[Column120]],0)+10,"")</f>
        <v/>
      </c>
      <c r="AY19" s="134" t="str">
        <f>_xlfn.IFNA(MATCH(Y19,Achievements[[#All],[Column120]],0)+10,"")</f>
        <v/>
      </c>
      <c r="AZ19" s="116" t="e">
        <f t="shared" ca="1" si="0"/>
        <v>#NAME?</v>
      </c>
      <c r="BA19" s="134" t="e" cm="1">
        <f t="array" aca="1" ref="BA19" ca="1">SplitValues("; ",Persons[[#This Row],[Column1]])</f>
        <v>#NAME?</v>
      </c>
      <c r="CA19" s="134" t="e">
        <f ca="1">_xlfn.IFNA(MATCH(BA19,Achievements[[#All],[Column1]],0)+10,"")</f>
        <v>#NAME?</v>
      </c>
      <c r="CB19" s="134" t="str">
        <f>_xlfn.IFNA(MATCH(BB19,Achievements[[#All],[Column1]],0)+10,"")</f>
        <v/>
      </c>
      <c r="CC19" s="134" t="str">
        <f>_xlfn.IFNA(MATCH(BC19,Achievements[[#All],[Column110]],0)+10,"")</f>
        <v/>
      </c>
      <c r="CD19" s="134" t="str">
        <f>_xlfn.IFNA(MATCH(BD19,Achievements[[#All],[Column110]],0)+10,"")</f>
        <v/>
      </c>
      <c r="CE19" s="134" t="str">
        <f>_xlfn.IFNA(MATCH(BE19,Achievements[[#All],[Column111]],0)+10,"")</f>
        <v/>
      </c>
      <c r="CF19" s="134" t="str">
        <f>_xlfn.IFNA(MATCH(BF19,Achievements[[#All],[Column111]],0)+10,"")</f>
        <v/>
      </c>
      <c r="CG19" s="134" t="str">
        <f>_xlfn.IFNA(MATCH(BG19,Achievements[[#All],[Column112]],0)+10,"")</f>
        <v/>
      </c>
      <c r="CH19" s="134" t="str">
        <f>_xlfn.IFNA(MATCH(BH19,Achievements[[#All],[Column112]],0)+10,"")</f>
        <v/>
      </c>
      <c r="CI19" s="134" t="str">
        <f>_xlfn.IFNA(MATCH(BI19,Achievements[[#All],[Column113]],0)+10,"")</f>
        <v/>
      </c>
      <c r="CJ19" s="134" t="str">
        <f>_xlfn.IFNA(MATCH(BJ19,Achievements[[#All],[Column113]],0)+10,"")</f>
        <v/>
      </c>
      <c r="CK19" s="134" t="str">
        <f>_xlfn.IFNA(MATCH(BK19,Achievements[[#All],[Column114]],0)+10,"")</f>
        <v/>
      </c>
      <c r="CL19" s="134" t="str">
        <f>_xlfn.IFNA(MATCH(BL19,Achievements[[#All],[Column114]],0)+10,"")</f>
        <v/>
      </c>
      <c r="CM19" s="134" t="str">
        <f>_xlfn.IFNA(MATCH(BM19,Achievements[[#All],[Column115]],0)+10,"")</f>
        <v/>
      </c>
      <c r="CN19" s="134" t="str">
        <f>_xlfn.IFNA(MATCH(BN19,Achievements[[#All],[Column115]],0)+10,"")</f>
        <v/>
      </c>
      <c r="CO19" s="134" t="str">
        <f>_xlfn.IFNA(MATCH(BO19,Achievements[[#All],[Column116]],0)+10,"")</f>
        <v/>
      </c>
      <c r="CP19" s="134" t="str">
        <f>_xlfn.IFNA(MATCH(BP19,Achievements[[#All],[Column116]],0)+10,"")</f>
        <v/>
      </c>
      <c r="CQ19" s="134" t="str">
        <f>_xlfn.IFNA(MATCH(BQ19,Achievements[[#All],[Column117]],0)+10,"")</f>
        <v/>
      </c>
      <c r="CR19" s="134" t="str">
        <f>_xlfn.IFNA(MATCH(BR19,Achievements[[#All],[Column117]],0)+10,"")</f>
        <v/>
      </c>
      <c r="CS19" s="134" t="str">
        <f>_xlfn.IFNA(MATCH(BS19,Achievements[[#All],[Column118]],0)+10,"")</f>
        <v/>
      </c>
      <c r="CT19" s="134" t="str">
        <f>_xlfn.IFNA(MATCH(BT19,Achievements[[#All],[Column118]],0)+10,"")</f>
        <v/>
      </c>
      <c r="CU19" s="134" t="str">
        <f>_xlfn.IFNA(MATCH(BU19,Achievements[[#All],[Column119]],0)+10,"")</f>
        <v/>
      </c>
      <c r="CV19" s="134" t="str">
        <f>_xlfn.IFNA(MATCH(BV19,Achievements[[#All],[Column119]],0)+10,"")</f>
        <v/>
      </c>
      <c r="CW19" s="134" t="str">
        <f>_xlfn.IFNA(MATCH(BW19,Achievements[[#All],[Column120]],0)+10,"")</f>
        <v/>
      </c>
      <c r="CX19" s="134" t="str">
        <f>_xlfn.IFNA(MATCH(BX19,Achievements[[#All],[Column120]],0)+10,"")</f>
        <v/>
      </c>
      <c r="CY19" s="134" t="str">
        <f>_xlfn.IFNA(MATCH(BY19,Achievements[[#All],[Column121]],0)+10,"")</f>
        <v/>
      </c>
      <c r="CZ19" s="118" t="e">
        <f t="shared" ca="1" si="1"/>
        <v>#NAME?</v>
      </c>
    </row>
    <row r="20" spans="1:104" x14ac:dyDescent="0.25">
      <c r="A20" t="e" cm="1">
        <f t="array" aca="1" ref="A20" ca="1">SplitValues("; ",#REF!)</f>
        <v>#NAME?</v>
      </c>
      <c r="AA20" t="e">
        <f ca="1">_xlfn.IFNA(MATCH(A20,Achievements[[#All],[Column1]],0)+11,"")</f>
        <v>#NAME?</v>
      </c>
      <c r="AB20" s="134" t="str">
        <f>_xlfn.IFNA(MATCH(B20,Achievements[[#All],[Column1]],0)+10,"")</f>
        <v/>
      </c>
      <c r="AC20" s="134" t="str">
        <f>_xlfn.IFNA(MATCH(C20,Achievements[[#All],[Column1]],0)+10,"")</f>
        <v/>
      </c>
      <c r="AD20" s="134" t="str">
        <f>_xlfn.IFNA(MATCH(D20,Achievements[[#All],[Column110]],0)+10,"")</f>
        <v/>
      </c>
      <c r="AE20" s="134" t="str">
        <f>_xlfn.IFNA(MATCH(E20,Achievements[[#All],[Column110]],0)+10,"")</f>
        <v/>
      </c>
      <c r="AF20" s="134" t="str">
        <f>_xlfn.IFNA(MATCH(F20,Achievements[[#All],[Column111]],0)+10,"")</f>
        <v/>
      </c>
      <c r="AG20" s="134" t="str">
        <f>_xlfn.IFNA(MATCH(G20,Achievements[[#All],[Column111]],0)+10,"")</f>
        <v/>
      </c>
      <c r="AH20" s="134" t="str">
        <f>_xlfn.IFNA(MATCH(H20,Achievements[[#All],[Column112]],0)+10,"")</f>
        <v/>
      </c>
      <c r="AI20" s="134" t="str">
        <f>_xlfn.IFNA(MATCH(I20,Achievements[[#All],[Column112]],0)+10,"")</f>
        <v/>
      </c>
      <c r="AJ20" s="134" t="str">
        <f>_xlfn.IFNA(MATCH(J20,Achievements[[#All],[Column113]],0)+10,"")</f>
        <v/>
      </c>
      <c r="AK20" s="134" t="str">
        <f>_xlfn.IFNA(MATCH(K20,Achievements[[#All],[Column113]],0)+10,"")</f>
        <v/>
      </c>
      <c r="AL20" s="134" t="str">
        <f>_xlfn.IFNA(MATCH(L20,Achievements[[#All],[Column114]],0)+10,"")</f>
        <v/>
      </c>
      <c r="AM20" s="134" t="str">
        <f>_xlfn.IFNA(MATCH(M20,Achievements[[#All],[Column114]],0)+10,"")</f>
        <v/>
      </c>
      <c r="AN20" s="134" t="str">
        <f>_xlfn.IFNA(MATCH(N20,Achievements[[#All],[Column115]],0)+10,"")</f>
        <v/>
      </c>
      <c r="AO20" s="134" t="str">
        <f>_xlfn.IFNA(MATCH(O20,Achievements[[#All],[Column115]],0)+10,"")</f>
        <v/>
      </c>
      <c r="AP20" s="134" t="str">
        <f>_xlfn.IFNA(MATCH(P20,Achievements[[#All],[Column116]],0)+10,"")</f>
        <v/>
      </c>
      <c r="AQ20" s="134" t="str">
        <f>_xlfn.IFNA(MATCH(Q20,Achievements[[#All],[Column116]],0)+10,"")</f>
        <v/>
      </c>
      <c r="AR20" s="134" t="str">
        <f>_xlfn.IFNA(MATCH(R20,Achievements[[#All],[Column117]],0)+10,"")</f>
        <v/>
      </c>
      <c r="AS20" s="134" t="str">
        <f>_xlfn.IFNA(MATCH(S20,Achievements[[#All],[Column117]],0)+10,"")</f>
        <v/>
      </c>
      <c r="AT20" s="134" t="str">
        <f>_xlfn.IFNA(MATCH(T20,Achievements[[#All],[Column118]],0)+10,"")</f>
        <v/>
      </c>
      <c r="AU20" s="134" t="str">
        <f>_xlfn.IFNA(MATCH(U20,Achievements[[#All],[Column118]],0)+10,"")</f>
        <v/>
      </c>
      <c r="AV20" s="134" t="str">
        <f>_xlfn.IFNA(MATCH(V20,Achievements[[#All],[Column119]],0)+10,"")</f>
        <v/>
      </c>
      <c r="AW20" s="134" t="str">
        <f>_xlfn.IFNA(MATCH(W20,Achievements[[#All],[Column119]],0)+10,"")</f>
        <v/>
      </c>
      <c r="AX20" s="134" t="str">
        <f>_xlfn.IFNA(MATCH(X20,Achievements[[#All],[Column120]],0)+10,"")</f>
        <v/>
      </c>
      <c r="AY20" s="134" t="str">
        <f>_xlfn.IFNA(MATCH(Y20,Achievements[[#All],[Column120]],0)+10,"")</f>
        <v/>
      </c>
      <c r="AZ20" s="116" t="e">
        <f t="shared" ca="1" si="0"/>
        <v>#NAME?</v>
      </c>
      <c r="BA20" s="134" t="e" cm="1">
        <f t="array" aca="1" ref="BA20" ca="1">SplitValues("; ",Persons[[#This Row],[Column1]])</f>
        <v>#NAME?</v>
      </c>
      <c r="CA20" s="134" t="e">
        <f ca="1">_xlfn.IFNA(MATCH(BA20,Achievements[[#All],[Column1]],0)+10,"")</f>
        <v>#NAME?</v>
      </c>
      <c r="CB20" s="134" t="str">
        <f>_xlfn.IFNA(MATCH(BB20,Achievements[[#All],[Column1]],0)+10,"")</f>
        <v/>
      </c>
      <c r="CC20" s="134" t="str">
        <f>_xlfn.IFNA(MATCH(BC20,Achievements[[#All],[Column110]],0)+10,"")</f>
        <v/>
      </c>
      <c r="CD20" s="134" t="str">
        <f>_xlfn.IFNA(MATCH(BD20,Achievements[[#All],[Column110]],0)+10,"")</f>
        <v/>
      </c>
      <c r="CE20" s="134" t="str">
        <f>_xlfn.IFNA(MATCH(BE20,Achievements[[#All],[Column111]],0)+10,"")</f>
        <v/>
      </c>
      <c r="CF20" s="134" t="str">
        <f>_xlfn.IFNA(MATCH(BF20,Achievements[[#All],[Column111]],0)+10,"")</f>
        <v/>
      </c>
      <c r="CG20" s="134" t="str">
        <f>_xlfn.IFNA(MATCH(BG20,Achievements[[#All],[Column112]],0)+10,"")</f>
        <v/>
      </c>
      <c r="CH20" s="134" t="str">
        <f>_xlfn.IFNA(MATCH(BH20,Achievements[[#All],[Column112]],0)+10,"")</f>
        <v/>
      </c>
      <c r="CI20" s="134" t="str">
        <f>_xlfn.IFNA(MATCH(BI20,Achievements[[#All],[Column113]],0)+10,"")</f>
        <v/>
      </c>
      <c r="CJ20" s="134" t="str">
        <f>_xlfn.IFNA(MATCH(BJ20,Achievements[[#All],[Column113]],0)+10,"")</f>
        <v/>
      </c>
      <c r="CK20" s="134" t="str">
        <f>_xlfn.IFNA(MATCH(BK20,Achievements[[#All],[Column114]],0)+10,"")</f>
        <v/>
      </c>
      <c r="CL20" s="134" t="str">
        <f>_xlfn.IFNA(MATCH(BL20,Achievements[[#All],[Column114]],0)+10,"")</f>
        <v/>
      </c>
      <c r="CM20" s="134" t="str">
        <f>_xlfn.IFNA(MATCH(BM20,Achievements[[#All],[Column115]],0)+10,"")</f>
        <v/>
      </c>
      <c r="CN20" s="134" t="str">
        <f>_xlfn.IFNA(MATCH(BN20,Achievements[[#All],[Column115]],0)+10,"")</f>
        <v/>
      </c>
      <c r="CO20" s="134" t="str">
        <f>_xlfn.IFNA(MATCH(BO20,Achievements[[#All],[Column116]],0)+10,"")</f>
        <v/>
      </c>
      <c r="CP20" s="134" t="str">
        <f>_xlfn.IFNA(MATCH(BP20,Achievements[[#All],[Column116]],0)+10,"")</f>
        <v/>
      </c>
      <c r="CQ20" s="134" t="str">
        <f>_xlfn.IFNA(MATCH(BQ20,Achievements[[#All],[Column117]],0)+10,"")</f>
        <v/>
      </c>
      <c r="CR20" s="134" t="str">
        <f>_xlfn.IFNA(MATCH(BR20,Achievements[[#All],[Column117]],0)+10,"")</f>
        <v/>
      </c>
      <c r="CS20" s="134" t="str">
        <f>_xlfn.IFNA(MATCH(BS20,Achievements[[#All],[Column118]],0)+10,"")</f>
        <v/>
      </c>
      <c r="CT20" s="134" t="str">
        <f>_xlfn.IFNA(MATCH(BT20,Achievements[[#All],[Column118]],0)+10,"")</f>
        <v/>
      </c>
      <c r="CU20" s="134" t="str">
        <f>_xlfn.IFNA(MATCH(BU20,Achievements[[#All],[Column119]],0)+10,"")</f>
        <v/>
      </c>
      <c r="CV20" s="134" t="str">
        <f>_xlfn.IFNA(MATCH(BV20,Achievements[[#All],[Column119]],0)+10,"")</f>
        <v/>
      </c>
      <c r="CW20" s="134" t="str">
        <f>_xlfn.IFNA(MATCH(BW20,Achievements[[#All],[Column120]],0)+10,"")</f>
        <v/>
      </c>
      <c r="CX20" s="134" t="str">
        <f>_xlfn.IFNA(MATCH(BX20,Achievements[[#All],[Column120]],0)+10,"")</f>
        <v/>
      </c>
      <c r="CY20" s="134" t="str">
        <f>_xlfn.IFNA(MATCH(BY20,Achievements[[#All],[Column121]],0)+10,"")</f>
        <v/>
      </c>
      <c r="CZ20" s="118" t="e">
        <f t="shared" ca="1" si="1"/>
        <v>#NAME?</v>
      </c>
    </row>
    <row r="21" spans="1:104" x14ac:dyDescent="0.25">
      <c r="A21" t="e" cm="1">
        <f t="array" aca="1" ref="A21" ca="1">SplitValues("; ",#REF!)</f>
        <v>#NAME?</v>
      </c>
      <c r="AA21" t="e">
        <f ca="1">_xlfn.IFNA(MATCH(A21,Achievements[[#All],[Column1]],0)+11,"")</f>
        <v>#NAME?</v>
      </c>
      <c r="AB21" s="134" t="str">
        <f>_xlfn.IFNA(MATCH(B21,Achievements[[#All],[Column1]],0)+10,"")</f>
        <v/>
      </c>
      <c r="AC21" s="134" t="str">
        <f>_xlfn.IFNA(MATCH(C21,Achievements[[#All],[Column1]],0)+10,"")</f>
        <v/>
      </c>
      <c r="AD21" s="134" t="str">
        <f>_xlfn.IFNA(MATCH(D21,Achievements[[#All],[Column110]],0)+10,"")</f>
        <v/>
      </c>
      <c r="AE21" s="134" t="str">
        <f>_xlfn.IFNA(MATCH(E21,Achievements[[#All],[Column110]],0)+10,"")</f>
        <v/>
      </c>
      <c r="AF21" s="134" t="str">
        <f>_xlfn.IFNA(MATCH(F21,Achievements[[#All],[Column111]],0)+10,"")</f>
        <v/>
      </c>
      <c r="AG21" s="134" t="str">
        <f>_xlfn.IFNA(MATCH(G21,Achievements[[#All],[Column111]],0)+10,"")</f>
        <v/>
      </c>
      <c r="AH21" s="134" t="str">
        <f>_xlfn.IFNA(MATCH(H21,Achievements[[#All],[Column112]],0)+10,"")</f>
        <v/>
      </c>
      <c r="AI21" s="134" t="str">
        <f>_xlfn.IFNA(MATCH(I21,Achievements[[#All],[Column112]],0)+10,"")</f>
        <v/>
      </c>
      <c r="AJ21" s="134" t="str">
        <f>_xlfn.IFNA(MATCH(J21,Achievements[[#All],[Column113]],0)+10,"")</f>
        <v/>
      </c>
      <c r="AK21" s="134" t="str">
        <f>_xlfn.IFNA(MATCH(K21,Achievements[[#All],[Column113]],0)+10,"")</f>
        <v/>
      </c>
      <c r="AL21" s="134" t="str">
        <f>_xlfn.IFNA(MATCH(L21,Achievements[[#All],[Column114]],0)+10,"")</f>
        <v/>
      </c>
      <c r="AM21" s="134" t="str">
        <f>_xlfn.IFNA(MATCH(M21,Achievements[[#All],[Column114]],0)+10,"")</f>
        <v/>
      </c>
      <c r="AN21" s="134" t="str">
        <f>_xlfn.IFNA(MATCH(N21,Achievements[[#All],[Column115]],0)+10,"")</f>
        <v/>
      </c>
      <c r="AO21" s="134" t="str">
        <f>_xlfn.IFNA(MATCH(O21,Achievements[[#All],[Column115]],0)+10,"")</f>
        <v/>
      </c>
      <c r="AP21" s="134" t="str">
        <f>_xlfn.IFNA(MATCH(P21,Achievements[[#All],[Column116]],0)+10,"")</f>
        <v/>
      </c>
      <c r="AQ21" s="134" t="str">
        <f>_xlfn.IFNA(MATCH(Q21,Achievements[[#All],[Column116]],0)+10,"")</f>
        <v/>
      </c>
      <c r="AR21" s="134" t="str">
        <f>_xlfn.IFNA(MATCH(R21,Achievements[[#All],[Column117]],0)+10,"")</f>
        <v/>
      </c>
      <c r="AS21" s="134" t="str">
        <f>_xlfn.IFNA(MATCH(S21,Achievements[[#All],[Column117]],0)+10,"")</f>
        <v/>
      </c>
      <c r="AT21" s="134" t="str">
        <f>_xlfn.IFNA(MATCH(T21,Achievements[[#All],[Column118]],0)+10,"")</f>
        <v/>
      </c>
      <c r="AU21" s="134" t="str">
        <f>_xlfn.IFNA(MATCH(U21,Achievements[[#All],[Column118]],0)+10,"")</f>
        <v/>
      </c>
      <c r="AV21" s="134" t="str">
        <f>_xlfn.IFNA(MATCH(V21,Achievements[[#All],[Column119]],0)+10,"")</f>
        <v/>
      </c>
      <c r="AW21" s="134" t="str">
        <f>_xlfn.IFNA(MATCH(W21,Achievements[[#All],[Column119]],0)+10,"")</f>
        <v/>
      </c>
      <c r="AX21" s="134" t="str">
        <f>_xlfn.IFNA(MATCH(X21,Achievements[[#All],[Column120]],0)+10,"")</f>
        <v/>
      </c>
      <c r="AY21" s="134" t="str">
        <f>_xlfn.IFNA(MATCH(Y21,Achievements[[#All],[Column120]],0)+10,"")</f>
        <v/>
      </c>
      <c r="AZ21" s="116" t="e">
        <f t="shared" ca="1" si="0"/>
        <v>#NAME?</v>
      </c>
      <c r="BA21" s="134" t="e" cm="1">
        <f t="array" aca="1" ref="BA21" ca="1">SplitValues("; ",Persons[[#This Row],[Column1]])</f>
        <v>#NAME?</v>
      </c>
      <c r="CA21" s="134" t="e">
        <f ca="1">_xlfn.IFNA(MATCH(BA21,Achievements[[#All],[Column1]],0)+10,"")</f>
        <v>#NAME?</v>
      </c>
      <c r="CB21" s="134" t="str">
        <f>_xlfn.IFNA(MATCH(BB21,Achievements[[#All],[Column1]],0)+10,"")</f>
        <v/>
      </c>
      <c r="CC21" s="134" t="str">
        <f>_xlfn.IFNA(MATCH(BC21,Achievements[[#All],[Column110]],0)+10,"")</f>
        <v/>
      </c>
      <c r="CD21" s="134" t="str">
        <f>_xlfn.IFNA(MATCH(BD21,Achievements[[#All],[Column110]],0)+10,"")</f>
        <v/>
      </c>
      <c r="CE21" s="134" t="str">
        <f>_xlfn.IFNA(MATCH(BE21,Achievements[[#All],[Column111]],0)+10,"")</f>
        <v/>
      </c>
      <c r="CF21" s="134" t="str">
        <f>_xlfn.IFNA(MATCH(BF21,Achievements[[#All],[Column111]],0)+10,"")</f>
        <v/>
      </c>
      <c r="CG21" s="134" t="str">
        <f>_xlfn.IFNA(MATCH(BG21,Achievements[[#All],[Column112]],0)+10,"")</f>
        <v/>
      </c>
      <c r="CH21" s="134" t="str">
        <f>_xlfn.IFNA(MATCH(BH21,Achievements[[#All],[Column112]],0)+10,"")</f>
        <v/>
      </c>
      <c r="CI21" s="134" t="str">
        <f>_xlfn.IFNA(MATCH(BI21,Achievements[[#All],[Column113]],0)+10,"")</f>
        <v/>
      </c>
      <c r="CJ21" s="134" t="str">
        <f>_xlfn.IFNA(MATCH(BJ21,Achievements[[#All],[Column113]],0)+10,"")</f>
        <v/>
      </c>
      <c r="CK21" s="134" t="str">
        <f>_xlfn.IFNA(MATCH(BK21,Achievements[[#All],[Column114]],0)+10,"")</f>
        <v/>
      </c>
      <c r="CL21" s="134" t="str">
        <f>_xlfn.IFNA(MATCH(BL21,Achievements[[#All],[Column114]],0)+10,"")</f>
        <v/>
      </c>
      <c r="CM21" s="134" t="str">
        <f>_xlfn.IFNA(MATCH(BM21,Achievements[[#All],[Column115]],0)+10,"")</f>
        <v/>
      </c>
      <c r="CN21" s="134" t="str">
        <f>_xlfn.IFNA(MATCH(BN21,Achievements[[#All],[Column115]],0)+10,"")</f>
        <v/>
      </c>
      <c r="CO21" s="134" t="str">
        <f>_xlfn.IFNA(MATCH(BO21,Achievements[[#All],[Column116]],0)+10,"")</f>
        <v/>
      </c>
      <c r="CP21" s="134" t="str">
        <f>_xlfn.IFNA(MATCH(BP21,Achievements[[#All],[Column116]],0)+10,"")</f>
        <v/>
      </c>
      <c r="CQ21" s="134" t="str">
        <f>_xlfn.IFNA(MATCH(BQ21,Achievements[[#All],[Column117]],0)+10,"")</f>
        <v/>
      </c>
      <c r="CR21" s="134" t="str">
        <f>_xlfn.IFNA(MATCH(BR21,Achievements[[#All],[Column117]],0)+10,"")</f>
        <v/>
      </c>
      <c r="CS21" s="134" t="str">
        <f>_xlfn.IFNA(MATCH(BS21,Achievements[[#All],[Column118]],0)+10,"")</f>
        <v/>
      </c>
      <c r="CT21" s="134" t="str">
        <f>_xlfn.IFNA(MATCH(BT21,Achievements[[#All],[Column118]],0)+10,"")</f>
        <v/>
      </c>
      <c r="CU21" s="134" t="str">
        <f>_xlfn.IFNA(MATCH(BU21,Achievements[[#All],[Column119]],0)+10,"")</f>
        <v/>
      </c>
      <c r="CV21" s="134" t="str">
        <f>_xlfn.IFNA(MATCH(BV21,Achievements[[#All],[Column119]],0)+10,"")</f>
        <v/>
      </c>
      <c r="CW21" s="134" t="str">
        <f>_xlfn.IFNA(MATCH(BW21,Achievements[[#All],[Column120]],0)+10,"")</f>
        <v/>
      </c>
      <c r="CX21" s="134" t="str">
        <f>_xlfn.IFNA(MATCH(BX21,Achievements[[#All],[Column120]],0)+10,"")</f>
        <v/>
      </c>
      <c r="CY21" s="134" t="str">
        <f>_xlfn.IFNA(MATCH(BY21,Achievements[[#All],[Column121]],0)+10,"")</f>
        <v/>
      </c>
      <c r="CZ21" s="118" t="e">
        <f t="shared" ca="1" si="1"/>
        <v>#NAME?</v>
      </c>
    </row>
    <row r="22" spans="1:104" x14ac:dyDescent="0.25">
      <c r="A22" t="e" cm="1">
        <f t="array" aca="1" ref="A22" ca="1">SplitValues("; ",#REF!)</f>
        <v>#NAME?</v>
      </c>
      <c r="AA22" t="e">
        <f ca="1">_xlfn.IFNA(MATCH(A22,Achievements[[#All],[Column1]],0)+11,"")</f>
        <v>#NAME?</v>
      </c>
      <c r="AB22" s="134" t="str">
        <f>_xlfn.IFNA(MATCH(B22,Achievements[[#All],[Column1]],0)+10,"")</f>
        <v/>
      </c>
      <c r="AC22" s="134" t="str">
        <f>_xlfn.IFNA(MATCH(C22,Achievements[[#All],[Column1]],0)+10,"")</f>
        <v/>
      </c>
      <c r="AD22" s="134" t="str">
        <f>_xlfn.IFNA(MATCH(D22,Achievements[[#All],[Column110]],0)+10,"")</f>
        <v/>
      </c>
      <c r="AE22" s="134" t="str">
        <f>_xlfn.IFNA(MATCH(E22,Achievements[[#All],[Column110]],0)+10,"")</f>
        <v/>
      </c>
      <c r="AF22" s="134" t="str">
        <f>_xlfn.IFNA(MATCH(F22,Achievements[[#All],[Column111]],0)+10,"")</f>
        <v/>
      </c>
      <c r="AG22" s="134" t="str">
        <f>_xlfn.IFNA(MATCH(G22,Achievements[[#All],[Column111]],0)+10,"")</f>
        <v/>
      </c>
      <c r="AH22" s="134" t="str">
        <f>_xlfn.IFNA(MATCH(H22,Achievements[[#All],[Column112]],0)+10,"")</f>
        <v/>
      </c>
      <c r="AI22" s="134" t="str">
        <f>_xlfn.IFNA(MATCH(I22,Achievements[[#All],[Column112]],0)+10,"")</f>
        <v/>
      </c>
      <c r="AJ22" s="134" t="str">
        <f>_xlfn.IFNA(MATCH(J22,Achievements[[#All],[Column113]],0)+10,"")</f>
        <v/>
      </c>
      <c r="AK22" s="134" t="str">
        <f>_xlfn.IFNA(MATCH(K22,Achievements[[#All],[Column113]],0)+10,"")</f>
        <v/>
      </c>
      <c r="AL22" s="134" t="str">
        <f>_xlfn.IFNA(MATCH(L22,Achievements[[#All],[Column114]],0)+10,"")</f>
        <v/>
      </c>
      <c r="AM22" s="134" t="str">
        <f>_xlfn.IFNA(MATCH(M22,Achievements[[#All],[Column114]],0)+10,"")</f>
        <v/>
      </c>
      <c r="AN22" s="134" t="str">
        <f>_xlfn.IFNA(MATCH(N22,Achievements[[#All],[Column115]],0)+10,"")</f>
        <v/>
      </c>
      <c r="AO22" s="134" t="str">
        <f>_xlfn.IFNA(MATCH(O22,Achievements[[#All],[Column115]],0)+10,"")</f>
        <v/>
      </c>
      <c r="AP22" s="134" t="str">
        <f>_xlfn.IFNA(MATCH(P22,Achievements[[#All],[Column116]],0)+10,"")</f>
        <v/>
      </c>
      <c r="AQ22" s="134" t="str">
        <f>_xlfn.IFNA(MATCH(Q22,Achievements[[#All],[Column116]],0)+10,"")</f>
        <v/>
      </c>
      <c r="AR22" s="134" t="str">
        <f>_xlfn.IFNA(MATCH(R22,Achievements[[#All],[Column117]],0)+10,"")</f>
        <v/>
      </c>
      <c r="AS22" s="134" t="str">
        <f>_xlfn.IFNA(MATCH(S22,Achievements[[#All],[Column117]],0)+10,"")</f>
        <v/>
      </c>
      <c r="AT22" s="134" t="str">
        <f>_xlfn.IFNA(MATCH(T22,Achievements[[#All],[Column118]],0)+10,"")</f>
        <v/>
      </c>
      <c r="AU22" s="134" t="str">
        <f>_xlfn.IFNA(MATCH(U22,Achievements[[#All],[Column118]],0)+10,"")</f>
        <v/>
      </c>
      <c r="AV22" s="134" t="str">
        <f>_xlfn.IFNA(MATCH(V22,Achievements[[#All],[Column119]],0)+10,"")</f>
        <v/>
      </c>
      <c r="AW22" s="134" t="str">
        <f>_xlfn.IFNA(MATCH(W22,Achievements[[#All],[Column119]],0)+10,"")</f>
        <v/>
      </c>
      <c r="AX22" s="134" t="str">
        <f>_xlfn.IFNA(MATCH(X22,Achievements[[#All],[Column120]],0)+10,"")</f>
        <v/>
      </c>
      <c r="AY22" s="134" t="str">
        <f>_xlfn.IFNA(MATCH(Y22,Achievements[[#All],[Column120]],0)+10,"")</f>
        <v/>
      </c>
      <c r="AZ22" s="116" t="e">
        <f t="shared" ca="1" si="0"/>
        <v>#NAME?</v>
      </c>
      <c r="BA22" s="134" t="e" cm="1">
        <f t="array" aca="1" ref="BA22" ca="1">SplitValues("; ",Persons[[#This Row],[Column1]])</f>
        <v>#NAME?</v>
      </c>
      <c r="CA22" s="134" t="e">
        <f ca="1">_xlfn.IFNA(MATCH(BA22,Achievements[[#All],[Column1]],0)+10,"")</f>
        <v>#NAME?</v>
      </c>
      <c r="CB22" s="134" t="str">
        <f>_xlfn.IFNA(MATCH(BB22,Achievements[[#All],[Column1]],0)+10,"")</f>
        <v/>
      </c>
      <c r="CC22" s="134" t="str">
        <f>_xlfn.IFNA(MATCH(BC22,Achievements[[#All],[Column110]],0)+10,"")</f>
        <v/>
      </c>
      <c r="CD22" s="134" t="str">
        <f>_xlfn.IFNA(MATCH(BD22,Achievements[[#All],[Column110]],0)+10,"")</f>
        <v/>
      </c>
      <c r="CE22" s="134" t="str">
        <f>_xlfn.IFNA(MATCH(BE22,Achievements[[#All],[Column111]],0)+10,"")</f>
        <v/>
      </c>
      <c r="CF22" s="134" t="str">
        <f>_xlfn.IFNA(MATCH(BF22,Achievements[[#All],[Column111]],0)+10,"")</f>
        <v/>
      </c>
      <c r="CG22" s="134" t="str">
        <f>_xlfn.IFNA(MATCH(BG22,Achievements[[#All],[Column112]],0)+10,"")</f>
        <v/>
      </c>
      <c r="CH22" s="134" t="str">
        <f>_xlfn.IFNA(MATCH(BH22,Achievements[[#All],[Column112]],0)+10,"")</f>
        <v/>
      </c>
      <c r="CI22" s="134" t="str">
        <f>_xlfn.IFNA(MATCH(BI22,Achievements[[#All],[Column113]],0)+10,"")</f>
        <v/>
      </c>
      <c r="CJ22" s="134" t="str">
        <f>_xlfn.IFNA(MATCH(BJ22,Achievements[[#All],[Column113]],0)+10,"")</f>
        <v/>
      </c>
      <c r="CK22" s="134" t="str">
        <f>_xlfn.IFNA(MATCH(BK22,Achievements[[#All],[Column114]],0)+10,"")</f>
        <v/>
      </c>
      <c r="CL22" s="134" t="str">
        <f>_xlfn.IFNA(MATCH(BL22,Achievements[[#All],[Column114]],0)+10,"")</f>
        <v/>
      </c>
      <c r="CM22" s="134" t="str">
        <f>_xlfn.IFNA(MATCH(BM22,Achievements[[#All],[Column115]],0)+10,"")</f>
        <v/>
      </c>
      <c r="CN22" s="134" t="str">
        <f>_xlfn.IFNA(MATCH(BN22,Achievements[[#All],[Column115]],0)+10,"")</f>
        <v/>
      </c>
      <c r="CO22" s="134" t="str">
        <f>_xlfn.IFNA(MATCH(BO22,Achievements[[#All],[Column116]],0)+10,"")</f>
        <v/>
      </c>
      <c r="CP22" s="134" t="str">
        <f>_xlfn.IFNA(MATCH(BP22,Achievements[[#All],[Column116]],0)+10,"")</f>
        <v/>
      </c>
      <c r="CQ22" s="134" t="str">
        <f>_xlfn.IFNA(MATCH(BQ22,Achievements[[#All],[Column117]],0)+10,"")</f>
        <v/>
      </c>
      <c r="CR22" s="134" t="str">
        <f>_xlfn.IFNA(MATCH(BR22,Achievements[[#All],[Column117]],0)+10,"")</f>
        <v/>
      </c>
      <c r="CS22" s="134" t="str">
        <f>_xlfn.IFNA(MATCH(BS22,Achievements[[#All],[Column118]],0)+10,"")</f>
        <v/>
      </c>
      <c r="CT22" s="134" t="str">
        <f>_xlfn.IFNA(MATCH(BT22,Achievements[[#All],[Column118]],0)+10,"")</f>
        <v/>
      </c>
      <c r="CU22" s="134" t="str">
        <f>_xlfn.IFNA(MATCH(BU22,Achievements[[#All],[Column119]],0)+10,"")</f>
        <v/>
      </c>
      <c r="CV22" s="134" t="str">
        <f>_xlfn.IFNA(MATCH(BV22,Achievements[[#All],[Column119]],0)+10,"")</f>
        <v/>
      </c>
      <c r="CW22" s="134" t="str">
        <f>_xlfn.IFNA(MATCH(BW22,Achievements[[#All],[Column120]],0)+10,"")</f>
        <v/>
      </c>
      <c r="CX22" s="134" t="str">
        <f>_xlfn.IFNA(MATCH(BX22,Achievements[[#All],[Column120]],0)+10,"")</f>
        <v/>
      </c>
      <c r="CY22" s="134" t="str">
        <f>_xlfn.IFNA(MATCH(BY22,Achievements[[#All],[Column121]],0)+10,"")</f>
        <v/>
      </c>
      <c r="CZ22" s="118" t="e">
        <f t="shared" ca="1" si="1"/>
        <v>#NAME?</v>
      </c>
    </row>
    <row r="23" spans="1:104" x14ac:dyDescent="0.25">
      <c r="A23" t="e" cm="1">
        <f t="array" aca="1" ref="A23" ca="1">SplitValues("; ",#REF!)</f>
        <v>#NAME?</v>
      </c>
      <c r="AA23" t="e">
        <f ca="1">_xlfn.IFNA(MATCH(A23,Achievements[[#All],[Column1]],0)+11,"")</f>
        <v>#NAME?</v>
      </c>
      <c r="AB23" s="134" t="str">
        <f>_xlfn.IFNA(MATCH(B23,Achievements[[#All],[Column1]],0)+10,"")</f>
        <v/>
      </c>
      <c r="AC23" s="134" t="str">
        <f>_xlfn.IFNA(MATCH(C23,Achievements[[#All],[Column1]],0)+10,"")</f>
        <v/>
      </c>
      <c r="AD23" s="134" t="str">
        <f>_xlfn.IFNA(MATCH(D23,Achievements[[#All],[Column110]],0)+10,"")</f>
        <v/>
      </c>
      <c r="AE23" s="134" t="str">
        <f>_xlfn.IFNA(MATCH(E23,Achievements[[#All],[Column110]],0)+10,"")</f>
        <v/>
      </c>
      <c r="AF23" s="134" t="str">
        <f>_xlfn.IFNA(MATCH(F23,Achievements[[#All],[Column111]],0)+10,"")</f>
        <v/>
      </c>
      <c r="AG23" s="134" t="str">
        <f>_xlfn.IFNA(MATCH(G23,Achievements[[#All],[Column111]],0)+10,"")</f>
        <v/>
      </c>
      <c r="AH23" s="134" t="str">
        <f>_xlfn.IFNA(MATCH(H23,Achievements[[#All],[Column112]],0)+10,"")</f>
        <v/>
      </c>
      <c r="AI23" s="134" t="str">
        <f>_xlfn.IFNA(MATCH(I23,Achievements[[#All],[Column112]],0)+10,"")</f>
        <v/>
      </c>
      <c r="AJ23" s="134" t="str">
        <f>_xlfn.IFNA(MATCH(J23,Achievements[[#All],[Column113]],0)+10,"")</f>
        <v/>
      </c>
      <c r="AK23" s="134" t="str">
        <f>_xlfn.IFNA(MATCH(K23,Achievements[[#All],[Column113]],0)+10,"")</f>
        <v/>
      </c>
      <c r="AL23" s="134" t="str">
        <f>_xlfn.IFNA(MATCH(L23,Achievements[[#All],[Column114]],0)+10,"")</f>
        <v/>
      </c>
      <c r="AM23" s="134" t="str">
        <f>_xlfn.IFNA(MATCH(M23,Achievements[[#All],[Column114]],0)+10,"")</f>
        <v/>
      </c>
      <c r="AN23" s="134" t="str">
        <f>_xlfn.IFNA(MATCH(N23,Achievements[[#All],[Column115]],0)+10,"")</f>
        <v/>
      </c>
      <c r="AO23" s="134" t="str">
        <f>_xlfn.IFNA(MATCH(O23,Achievements[[#All],[Column115]],0)+10,"")</f>
        <v/>
      </c>
      <c r="AP23" s="134" t="str">
        <f>_xlfn.IFNA(MATCH(P23,Achievements[[#All],[Column116]],0)+10,"")</f>
        <v/>
      </c>
      <c r="AQ23" s="134" t="str">
        <f>_xlfn.IFNA(MATCH(Q23,Achievements[[#All],[Column116]],0)+10,"")</f>
        <v/>
      </c>
      <c r="AR23" s="134" t="str">
        <f>_xlfn.IFNA(MATCH(R23,Achievements[[#All],[Column117]],0)+10,"")</f>
        <v/>
      </c>
      <c r="AS23" s="134" t="str">
        <f>_xlfn.IFNA(MATCH(S23,Achievements[[#All],[Column117]],0)+10,"")</f>
        <v/>
      </c>
      <c r="AT23" s="134" t="str">
        <f>_xlfn.IFNA(MATCH(T23,Achievements[[#All],[Column118]],0)+10,"")</f>
        <v/>
      </c>
      <c r="AU23" s="134" t="str">
        <f>_xlfn.IFNA(MATCH(U23,Achievements[[#All],[Column118]],0)+10,"")</f>
        <v/>
      </c>
      <c r="AV23" s="134" t="str">
        <f>_xlfn.IFNA(MATCH(V23,Achievements[[#All],[Column119]],0)+10,"")</f>
        <v/>
      </c>
      <c r="AW23" s="134" t="str">
        <f>_xlfn.IFNA(MATCH(W23,Achievements[[#All],[Column119]],0)+10,"")</f>
        <v/>
      </c>
      <c r="AX23" s="134" t="str">
        <f>_xlfn.IFNA(MATCH(X23,Achievements[[#All],[Column120]],0)+10,"")</f>
        <v/>
      </c>
      <c r="AY23" s="134" t="str">
        <f>_xlfn.IFNA(MATCH(Y23,Achievements[[#All],[Column120]],0)+10,"")</f>
        <v/>
      </c>
      <c r="AZ23" s="116" t="e">
        <f t="shared" ca="1" si="0"/>
        <v>#NAME?</v>
      </c>
      <c r="BA23" s="134" t="e" cm="1">
        <f t="array" aca="1" ref="BA23" ca="1">SplitValues("; ",Persons[[#This Row],[Column1]])</f>
        <v>#NAME?</v>
      </c>
      <c r="CA23" s="134" t="e">
        <f ca="1">_xlfn.IFNA(MATCH(BA23,Achievements[[#All],[Column1]],0)+10,"")</f>
        <v>#NAME?</v>
      </c>
      <c r="CB23" s="134" t="str">
        <f>_xlfn.IFNA(MATCH(BB23,Achievements[[#All],[Column1]],0)+10,"")</f>
        <v/>
      </c>
      <c r="CC23" s="134" t="str">
        <f>_xlfn.IFNA(MATCH(BC23,Achievements[[#All],[Column110]],0)+10,"")</f>
        <v/>
      </c>
      <c r="CD23" s="134" t="str">
        <f>_xlfn.IFNA(MATCH(BD23,Achievements[[#All],[Column110]],0)+10,"")</f>
        <v/>
      </c>
      <c r="CE23" s="134" t="str">
        <f>_xlfn.IFNA(MATCH(BE23,Achievements[[#All],[Column111]],0)+10,"")</f>
        <v/>
      </c>
      <c r="CF23" s="134" t="str">
        <f>_xlfn.IFNA(MATCH(BF23,Achievements[[#All],[Column111]],0)+10,"")</f>
        <v/>
      </c>
      <c r="CG23" s="134" t="str">
        <f>_xlfn.IFNA(MATCH(BG23,Achievements[[#All],[Column112]],0)+10,"")</f>
        <v/>
      </c>
      <c r="CH23" s="134" t="str">
        <f>_xlfn.IFNA(MATCH(BH23,Achievements[[#All],[Column112]],0)+10,"")</f>
        <v/>
      </c>
      <c r="CI23" s="134" t="str">
        <f>_xlfn.IFNA(MATCH(BI23,Achievements[[#All],[Column113]],0)+10,"")</f>
        <v/>
      </c>
      <c r="CJ23" s="134" t="str">
        <f>_xlfn.IFNA(MATCH(BJ23,Achievements[[#All],[Column113]],0)+10,"")</f>
        <v/>
      </c>
      <c r="CK23" s="134" t="str">
        <f>_xlfn.IFNA(MATCH(BK23,Achievements[[#All],[Column114]],0)+10,"")</f>
        <v/>
      </c>
      <c r="CL23" s="134" t="str">
        <f>_xlfn.IFNA(MATCH(BL23,Achievements[[#All],[Column114]],0)+10,"")</f>
        <v/>
      </c>
      <c r="CM23" s="134" t="str">
        <f>_xlfn.IFNA(MATCH(BM23,Achievements[[#All],[Column115]],0)+10,"")</f>
        <v/>
      </c>
      <c r="CN23" s="134" t="str">
        <f>_xlfn.IFNA(MATCH(BN23,Achievements[[#All],[Column115]],0)+10,"")</f>
        <v/>
      </c>
      <c r="CO23" s="134" t="str">
        <f>_xlfn.IFNA(MATCH(BO23,Achievements[[#All],[Column116]],0)+10,"")</f>
        <v/>
      </c>
      <c r="CP23" s="134" t="str">
        <f>_xlfn.IFNA(MATCH(BP23,Achievements[[#All],[Column116]],0)+10,"")</f>
        <v/>
      </c>
      <c r="CQ23" s="134" t="str">
        <f>_xlfn.IFNA(MATCH(BQ23,Achievements[[#All],[Column117]],0)+10,"")</f>
        <v/>
      </c>
      <c r="CR23" s="134" t="str">
        <f>_xlfn.IFNA(MATCH(BR23,Achievements[[#All],[Column117]],0)+10,"")</f>
        <v/>
      </c>
      <c r="CS23" s="134" t="str">
        <f>_xlfn.IFNA(MATCH(BS23,Achievements[[#All],[Column118]],0)+10,"")</f>
        <v/>
      </c>
      <c r="CT23" s="134" t="str">
        <f>_xlfn.IFNA(MATCH(BT23,Achievements[[#All],[Column118]],0)+10,"")</f>
        <v/>
      </c>
      <c r="CU23" s="134" t="str">
        <f>_xlfn.IFNA(MATCH(BU23,Achievements[[#All],[Column119]],0)+10,"")</f>
        <v/>
      </c>
      <c r="CV23" s="134" t="str">
        <f>_xlfn.IFNA(MATCH(BV23,Achievements[[#All],[Column119]],0)+10,"")</f>
        <v/>
      </c>
      <c r="CW23" s="134" t="str">
        <f>_xlfn.IFNA(MATCH(BW23,Achievements[[#All],[Column120]],0)+10,"")</f>
        <v/>
      </c>
      <c r="CX23" s="134" t="str">
        <f>_xlfn.IFNA(MATCH(BX23,Achievements[[#All],[Column120]],0)+10,"")</f>
        <v/>
      </c>
      <c r="CY23" s="134" t="str">
        <f>_xlfn.IFNA(MATCH(BY23,Achievements[[#All],[Column121]],0)+10,"")</f>
        <v/>
      </c>
      <c r="CZ23" s="118" t="e">
        <f t="shared" ca="1" si="1"/>
        <v>#NAME?</v>
      </c>
    </row>
    <row r="24" spans="1:104" x14ac:dyDescent="0.25">
      <c r="A24" t="e" cm="1">
        <f t="array" aca="1" ref="A24" ca="1">SplitValues("; ",#REF!)</f>
        <v>#NAME?</v>
      </c>
      <c r="AA24" t="e">
        <f ca="1">_xlfn.IFNA(MATCH(A24,Achievements[[#All],[Column1]],0)+11,"")</f>
        <v>#NAME?</v>
      </c>
      <c r="AB24" s="134" t="str">
        <f>_xlfn.IFNA(MATCH(B24,Achievements[[#All],[Column1]],0)+10,"")</f>
        <v/>
      </c>
      <c r="AC24" s="134" t="str">
        <f>_xlfn.IFNA(MATCH(C24,Achievements[[#All],[Column1]],0)+10,"")</f>
        <v/>
      </c>
      <c r="AD24" s="134" t="str">
        <f>_xlfn.IFNA(MATCH(D24,Achievements[[#All],[Column110]],0)+10,"")</f>
        <v/>
      </c>
      <c r="AE24" s="134" t="str">
        <f>_xlfn.IFNA(MATCH(E24,Achievements[[#All],[Column110]],0)+10,"")</f>
        <v/>
      </c>
      <c r="AF24" s="134" t="str">
        <f>_xlfn.IFNA(MATCH(F24,Achievements[[#All],[Column111]],0)+10,"")</f>
        <v/>
      </c>
      <c r="AG24" s="134" t="str">
        <f>_xlfn.IFNA(MATCH(G24,Achievements[[#All],[Column111]],0)+10,"")</f>
        <v/>
      </c>
      <c r="AH24" s="134" t="str">
        <f>_xlfn.IFNA(MATCH(H24,Achievements[[#All],[Column112]],0)+10,"")</f>
        <v/>
      </c>
      <c r="AI24" s="134" t="str">
        <f>_xlfn.IFNA(MATCH(I24,Achievements[[#All],[Column112]],0)+10,"")</f>
        <v/>
      </c>
      <c r="AJ24" s="134" t="str">
        <f>_xlfn.IFNA(MATCH(J24,Achievements[[#All],[Column113]],0)+10,"")</f>
        <v/>
      </c>
      <c r="AK24" s="134" t="str">
        <f>_xlfn.IFNA(MATCH(K24,Achievements[[#All],[Column113]],0)+10,"")</f>
        <v/>
      </c>
      <c r="AL24" s="134" t="str">
        <f>_xlfn.IFNA(MATCH(L24,Achievements[[#All],[Column114]],0)+10,"")</f>
        <v/>
      </c>
      <c r="AM24" s="134" t="str">
        <f>_xlfn.IFNA(MATCH(M24,Achievements[[#All],[Column114]],0)+10,"")</f>
        <v/>
      </c>
      <c r="AN24" s="134" t="str">
        <f>_xlfn.IFNA(MATCH(N24,Achievements[[#All],[Column115]],0)+10,"")</f>
        <v/>
      </c>
      <c r="AO24" s="134" t="str">
        <f>_xlfn.IFNA(MATCH(O24,Achievements[[#All],[Column115]],0)+10,"")</f>
        <v/>
      </c>
      <c r="AP24" s="134" t="str">
        <f>_xlfn.IFNA(MATCH(P24,Achievements[[#All],[Column116]],0)+10,"")</f>
        <v/>
      </c>
      <c r="AQ24" s="134" t="str">
        <f>_xlfn.IFNA(MATCH(Q24,Achievements[[#All],[Column116]],0)+10,"")</f>
        <v/>
      </c>
      <c r="AR24" s="134" t="str">
        <f>_xlfn.IFNA(MATCH(R24,Achievements[[#All],[Column117]],0)+10,"")</f>
        <v/>
      </c>
      <c r="AS24" s="134" t="str">
        <f>_xlfn.IFNA(MATCH(S24,Achievements[[#All],[Column117]],0)+10,"")</f>
        <v/>
      </c>
      <c r="AT24" s="134" t="str">
        <f>_xlfn.IFNA(MATCH(T24,Achievements[[#All],[Column118]],0)+10,"")</f>
        <v/>
      </c>
      <c r="AU24" s="134" t="str">
        <f>_xlfn.IFNA(MATCH(U24,Achievements[[#All],[Column118]],0)+10,"")</f>
        <v/>
      </c>
      <c r="AV24" s="134" t="str">
        <f>_xlfn.IFNA(MATCH(V24,Achievements[[#All],[Column119]],0)+10,"")</f>
        <v/>
      </c>
      <c r="AW24" s="134" t="str">
        <f>_xlfn.IFNA(MATCH(W24,Achievements[[#All],[Column119]],0)+10,"")</f>
        <v/>
      </c>
      <c r="AX24" s="134" t="str">
        <f>_xlfn.IFNA(MATCH(X24,Achievements[[#All],[Column120]],0)+10,"")</f>
        <v/>
      </c>
      <c r="AY24" s="134" t="str">
        <f>_xlfn.IFNA(MATCH(Y24,Achievements[[#All],[Column120]],0)+10,"")</f>
        <v/>
      </c>
      <c r="AZ24" s="116" t="e">
        <f t="shared" ca="1" si="0"/>
        <v>#NAME?</v>
      </c>
      <c r="BA24" s="134" t="e" cm="1">
        <f t="array" aca="1" ref="BA24" ca="1">SplitValues("; ",Persons[[#This Row],[Column1]])</f>
        <v>#NAME?</v>
      </c>
      <c r="CA24" s="134" t="e">
        <f ca="1">_xlfn.IFNA(MATCH(BA24,Achievements[[#All],[Column1]],0)+10,"")</f>
        <v>#NAME?</v>
      </c>
      <c r="CB24" s="134" t="str">
        <f>_xlfn.IFNA(MATCH(BB24,Achievements[[#All],[Column1]],0)+10,"")</f>
        <v/>
      </c>
      <c r="CC24" s="134" t="str">
        <f>_xlfn.IFNA(MATCH(BC24,Achievements[[#All],[Column110]],0)+10,"")</f>
        <v/>
      </c>
      <c r="CD24" s="134" t="str">
        <f>_xlfn.IFNA(MATCH(BD24,Achievements[[#All],[Column110]],0)+10,"")</f>
        <v/>
      </c>
      <c r="CE24" s="134" t="str">
        <f>_xlfn.IFNA(MATCH(BE24,Achievements[[#All],[Column111]],0)+10,"")</f>
        <v/>
      </c>
      <c r="CF24" s="134" t="str">
        <f>_xlfn.IFNA(MATCH(BF24,Achievements[[#All],[Column111]],0)+10,"")</f>
        <v/>
      </c>
      <c r="CG24" s="134" t="str">
        <f>_xlfn.IFNA(MATCH(BG24,Achievements[[#All],[Column112]],0)+10,"")</f>
        <v/>
      </c>
      <c r="CH24" s="134" t="str">
        <f>_xlfn.IFNA(MATCH(BH24,Achievements[[#All],[Column112]],0)+10,"")</f>
        <v/>
      </c>
      <c r="CI24" s="134" t="str">
        <f>_xlfn.IFNA(MATCH(BI24,Achievements[[#All],[Column113]],0)+10,"")</f>
        <v/>
      </c>
      <c r="CJ24" s="134" t="str">
        <f>_xlfn.IFNA(MATCH(BJ24,Achievements[[#All],[Column113]],0)+10,"")</f>
        <v/>
      </c>
      <c r="CK24" s="134" t="str">
        <f>_xlfn.IFNA(MATCH(BK24,Achievements[[#All],[Column114]],0)+10,"")</f>
        <v/>
      </c>
      <c r="CL24" s="134" t="str">
        <f>_xlfn.IFNA(MATCH(BL24,Achievements[[#All],[Column114]],0)+10,"")</f>
        <v/>
      </c>
      <c r="CM24" s="134" t="str">
        <f>_xlfn.IFNA(MATCH(BM24,Achievements[[#All],[Column115]],0)+10,"")</f>
        <v/>
      </c>
      <c r="CN24" s="134" t="str">
        <f>_xlfn.IFNA(MATCH(BN24,Achievements[[#All],[Column115]],0)+10,"")</f>
        <v/>
      </c>
      <c r="CO24" s="134" t="str">
        <f>_xlfn.IFNA(MATCH(BO24,Achievements[[#All],[Column116]],0)+10,"")</f>
        <v/>
      </c>
      <c r="CP24" s="134" t="str">
        <f>_xlfn.IFNA(MATCH(BP24,Achievements[[#All],[Column116]],0)+10,"")</f>
        <v/>
      </c>
      <c r="CQ24" s="134" t="str">
        <f>_xlfn.IFNA(MATCH(BQ24,Achievements[[#All],[Column117]],0)+10,"")</f>
        <v/>
      </c>
      <c r="CR24" s="134" t="str">
        <f>_xlfn.IFNA(MATCH(BR24,Achievements[[#All],[Column117]],0)+10,"")</f>
        <v/>
      </c>
      <c r="CS24" s="134" t="str">
        <f>_xlfn.IFNA(MATCH(BS24,Achievements[[#All],[Column118]],0)+10,"")</f>
        <v/>
      </c>
      <c r="CT24" s="134" t="str">
        <f>_xlfn.IFNA(MATCH(BT24,Achievements[[#All],[Column118]],0)+10,"")</f>
        <v/>
      </c>
      <c r="CU24" s="134" t="str">
        <f>_xlfn.IFNA(MATCH(BU24,Achievements[[#All],[Column119]],0)+10,"")</f>
        <v/>
      </c>
      <c r="CV24" s="134" t="str">
        <f>_xlfn.IFNA(MATCH(BV24,Achievements[[#All],[Column119]],0)+10,"")</f>
        <v/>
      </c>
      <c r="CW24" s="134" t="str">
        <f>_xlfn.IFNA(MATCH(BW24,Achievements[[#All],[Column120]],0)+10,"")</f>
        <v/>
      </c>
      <c r="CX24" s="134" t="str">
        <f>_xlfn.IFNA(MATCH(BX24,Achievements[[#All],[Column120]],0)+10,"")</f>
        <v/>
      </c>
      <c r="CY24" s="134" t="str">
        <f>_xlfn.IFNA(MATCH(BY24,Achievements[[#All],[Column121]],0)+10,"")</f>
        <v/>
      </c>
      <c r="CZ24" s="118" t="e">
        <f t="shared" ca="1" si="1"/>
        <v>#NAME?</v>
      </c>
    </row>
    <row r="25" spans="1:104" x14ac:dyDescent="0.25">
      <c r="A25" t="e" cm="1">
        <f t="array" aca="1" ref="A25" ca="1">SplitValues("; ",#REF!)</f>
        <v>#NAME?</v>
      </c>
      <c r="AA25" t="e">
        <f ca="1">_xlfn.IFNA(MATCH(A25,Achievements[[#All],[Column1]],0)+11,"")</f>
        <v>#NAME?</v>
      </c>
      <c r="AB25" s="134" t="str">
        <f>_xlfn.IFNA(MATCH(B25,Achievements[[#All],[Column1]],0)+10,"")</f>
        <v/>
      </c>
      <c r="AC25" s="134" t="str">
        <f>_xlfn.IFNA(MATCH(C25,Achievements[[#All],[Column1]],0)+10,"")</f>
        <v/>
      </c>
      <c r="AD25" s="134" t="str">
        <f>_xlfn.IFNA(MATCH(D25,Achievements[[#All],[Column110]],0)+10,"")</f>
        <v/>
      </c>
      <c r="AE25" s="134" t="str">
        <f>_xlfn.IFNA(MATCH(E25,Achievements[[#All],[Column110]],0)+10,"")</f>
        <v/>
      </c>
      <c r="AF25" s="134" t="str">
        <f>_xlfn.IFNA(MATCH(F25,Achievements[[#All],[Column111]],0)+10,"")</f>
        <v/>
      </c>
      <c r="AG25" s="134" t="str">
        <f>_xlfn.IFNA(MATCH(G25,Achievements[[#All],[Column111]],0)+10,"")</f>
        <v/>
      </c>
      <c r="AH25" s="134" t="str">
        <f>_xlfn.IFNA(MATCH(H25,Achievements[[#All],[Column112]],0)+10,"")</f>
        <v/>
      </c>
      <c r="AI25" s="134" t="str">
        <f>_xlfn.IFNA(MATCH(I25,Achievements[[#All],[Column112]],0)+10,"")</f>
        <v/>
      </c>
      <c r="AJ25" s="134" t="str">
        <f>_xlfn.IFNA(MATCH(J25,Achievements[[#All],[Column113]],0)+10,"")</f>
        <v/>
      </c>
      <c r="AK25" s="134" t="str">
        <f>_xlfn.IFNA(MATCH(K25,Achievements[[#All],[Column113]],0)+10,"")</f>
        <v/>
      </c>
      <c r="AL25" s="134" t="str">
        <f>_xlfn.IFNA(MATCH(L25,Achievements[[#All],[Column114]],0)+10,"")</f>
        <v/>
      </c>
      <c r="AM25" s="134" t="str">
        <f>_xlfn.IFNA(MATCH(M25,Achievements[[#All],[Column114]],0)+10,"")</f>
        <v/>
      </c>
      <c r="AN25" s="134" t="str">
        <f>_xlfn.IFNA(MATCH(N25,Achievements[[#All],[Column115]],0)+10,"")</f>
        <v/>
      </c>
      <c r="AO25" s="134" t="str">
        <f>_xlfn.IFNA(MATCH(O25,Achievements[[#All],[Column115]],0)+10,"")</f>
        <v/>
      </c>
      <c r="AP25" s="134" t="str">
        <f>_xlfn.IFNA(MATCH(P25,Achievements[[#All],[Column116]],0)+10,"")</f>
        <v/>
      </c>
      <c r="AQ25" s="134" t="str">
        <f>_xlfn.IFNA(MATCH(Q25,Achievements[[#All],[Column116]],0)+10,"")</f>
        <v/>
      </c>
      <c r="AR25" s="134" t="str">
        <f>_xlfn.IFNA(MATCH(R25,Achievements[[#All],[Column117]],0)+10,"")</f>
        <v/>
      </c>
      <c r="AS25" s="134" t="str">
        <f>_xlfn.IFNA(MATCH(S25,Achievements[[#All],[Column117]],0)+10,"")</f>
        <v/>
      </c>
      <c r="AT25" s="134" t="str">
        <f>_xlfn.IFNA(MATCH(T25,Achievements[[#All],[Column118]],0)+10,"")</f>
        <v/>
      </c>
      <c r="AU25" s="134" t="str">
        <f>_xlfn.IFNA(MATCH(U25,Achievements[[#All],[Column118]],0)+10,"")</f>
        <v/>
      </c>
      <c r="AV25" s="134" t="str">
        <f>_xlfn.IFNA(MATCH(V25,Achievements[[#All],[Column119]],0)+10,"")</f>
        <v/>
      </c>
      <c r="AW25" s="134" t="str">
        <f>_xlfn.IFNA(MATCH(W25,Achievements[[#All],[Column119]],0)+10,"")</f>
        <v/>
      </c>
      <c r="AX25" s="134" t="str">
        <f>_xlfn.IFNA(MATCH(X25,Achievements[[#All],[Column120]],0)+10,"")</f>
        <v/>
      </c>
      <c r="AY25" s="134" t="str">
        <f>_xlfn.IFNA(MATCH(Y25,Achievements[[#All],[Column120]],0)+10,"")</f>
        <v/>
      </c>
      <c r="AZ25" s="116" t="e">
        <f t="shared" ca="1" si="0"/>
        <v>#NAME?</v>
      </c>
      <c r="BA25" s="134" t="e" cm="1">
        <f t="array" aca="1" ref="BA25" ca="1">SplitValues("; ",Persons[[#This Row],[Column1]])</f>
        <v>#NAME?</v>
      </c>
      <c r="CA25" s="134" t="e">
        <f ca="1">_xlfn.IFNA(MATCH(BA25,Achievements[[#All],[Column1]],0)+10,"")</f>
        <v>#NAME?</v>
      </c>
      <c r="CB25" s="134" t="str">
        <f>_xlfn.IFNA(MATCH(BB25,Achievements[[#All],[Column1]],0)+10,"")</f>
        <v/>
      </c>
      <c r="CC25" s="134" t="str">
        <f>_xlfn.IFNA(MATCH(BC25,Achievements[[#All],[Column110]],0)+10,"")</f>
        <v/>
      </c>
      <c r="CD25" s="134" t="str">
        <f>_xlfn.IFNA(MATCH(BD25,Achievements[[#All],[Column110]],0)+10,"")</f>
        <v/>
      </c>
      <c r="CE25" s="134" t="str">
        <f>_xlfn.IFNA(MATCH(BE25,Achievements[[#All],[Column111]],0)+10,"")</f>
        <v/>
      </c>
      <c r="CF25" s="134" t="str">
        <f>_xlfn.IFNA(MATCH(BF25,Achievements[[#All],[Column111]],0)+10,"")</f>
        <v/>
      </c>
      <c r="CG25" s="134" t="str">
        <f>_xlfn.IFNA(MATCH(BG25,Achievements[[#All],[Column112]],0)+10,"")</f>
        <v/>
      </c>
      <c r="CH25" s="134" t="str">
        <f>_xlfn.IFNA(MATCH(BH25,Achievements[[#All],[Column112]],0)+10,"")</f>
        <v/>
      </c>
      <c r="CI25" s="134" t="str">
        <f>_xlfn.IFNA(MATCH(BI25,Achievements[[#All],[Column113]],0)+10,"")</f>
        <v/>
      </c>
      <c r="CJ25" s="134" t="str">
        <f>_xlfn.IFNA(MATCH(BJ25,Achievements[[#All],[Column113]],0)+10,"")</f>
        <v/>
      </c>
      <c r="CK25" s="134" t="str">
        <f>_xlfn.IFNA(MATCH(BK25,Achievements[[#All],[Column114]],0)+10,"")</f>
        <v/>
      </c>
      <c r="CL25" s="134" t="str">
        <f>_xlfn.IFNA(MATCH(BL25,Achievements[[#All],[Column114]],0)+10,"")</f>
        <v/>
      </c>
      <c r="CM25" s="134" t="str">
        <f>_xlfn.IFNA(MATCH(BM25,Achievements[[#All],[Column115]],0)+10,"")</f>
        <v/>
      </c>
      <c r="CN25" s="134" t="str">
        <f>_xlfn.IFNA(MATCH(BN25,Achievements[[#All],[Column115]],0)+10,"")</f>
        <v/>
      </c>
      <c r="CO25" s="134" t="str">
        <f>_xlfn.IFNA(MATCH(BO25,Achievements[[#All],[Column116]],0)+10,"")</f>
        <v/>
      </c>
      <c r="CP25" s="134" t="str">
        <f>_xlfn.IFNA(MATCH(BP25,Achievements[[#All],[Column116]],0)+10,"")</f>
        <v/>
      </c>
      <c r="CQ25" s="134" t="str">
        <f>_xlfn.IFNA(MATCH(BQ25,Achievements[[#All],[Column117]],0)+10,"")</f>
        <v/>
      </c>
      <c r="CR25" s="134" t="str">
        <f>_xlfn.IFNA(MATCH(BR25,Achievements[[#All],[Column117]],0)+10,"")</f>
        <v/>
      </c>
      <c r="CS25" s="134" t="str">
        <f>_xlfn.IFNA(MATCH(BS25,Achievements[[#All],[Column118]],0)+10,"")</f>
        <v/>
      </c>
      <c r="CT25" s="134" t="str">
        <f>_xlfn.IFNA(MATCH(BT25,Achievements[[#All],[Column118]],0)+10,"")</f>
        <v/>
      </c>
      <c r="CU25" s="134" t="str">
        <f>_xlfn.IFNA(MATCH(BU25,Achievements[[#All],[Column119]],0)+10,"")</f>
        <v/>
      </c>
      <c r="CV25" s="134" t="str">
        <f>_xlfn.IFNA(MATCH(BV25,Achievements[[#All],[Column119]],0)+10,"")</f>
        <v/>
      </c>
      <c r="CW25" s="134" t="str">
        <f>_xlfn.IFNA(MATCH(BW25,Achievements[[#All],[Column120]],0)+10,"")</f>
        <v/>
      </c>
      <c r="CX25" s="134" t="str">
        <f>_xlfn.IFNA(MATCH(BX25,Achievements[[#All],[Column120]],0)+10,"")</f>
        <v/>
      </c>
      <c r="CY25" s="134" t="str">
        <f>_xlfn.IFNA(MATCH(BY25,Achievements[[#All],[Column121]],0)+10,"")</f>
        <v/>
      </c>
      <c r="CZ25" s="118" t="e">
        <f t="shared" ca="1" si="1"/>
        <v>#NAME?</v>
      </c>
    </row>
    <row r="26" spans="1:104" x14ac:dyDescent="0.25">
      <c r="A26" t="e" cm="1">
        <f t="array" aca="1" ref="A26" ca="1">SplitValues("; ",#REF!)</f>
        <v>#NAME?</v>
      </c>
      <c r="AA26" t="e">
        <f ca="1">_xlfn.IFNA(MATCH(A26,Achievements[[#All],[Column1]],0)+11,"")</f>
        <v>#NAME?</v>
      </c>
      <c r="AB26" s="134" t="str">
        <f>_xlfn.IFNA(MATCH(B26,Achievements[[#All],[Column1]],0)+10,"")</f>
        <v/>
      </c>
      <c r="AC26" s="134" t="str">
        <f>_xlfn.IFNA(MATCH(C26,Achievements[[#All],[Column1]],0)+10,"")</f>
        <v/>
      </c>
      <c r="AD26" s="134" t="str">
        <f>_xlfn.IFNA(MATCH(D26,Achievements[[#All],[Column110]],0)+10,"")</f>
        <v/>
      </c>
      <c r="AE26" s="134" t="str">
        <f>_xlfn.IFNA(MATCH(E26,Achievements[[#All],[Column110]],0)+10,"")</f>
        <v/>
      </c>
      <c r="AF26" s="134" t="str">
        <f>_xlfn.IFNA(MATCH(F26,Achievements[[#All],[Column111]],0)+10,"")</f>
        <v/>
      </c>
      <c r="AG26" s="134" t="str">
        <f>_xlfn.IFNA(MATCH(G26,Achievements[[#All],[Column111]],0)+10,"")</f>
        <v/>
      </c>
      <c r="AH26" s="134" t="str">
        <f>_xlfn.IFNA(MATCH(H26,Achievements[[#All],[Column112]],0)+10,"")</f>
        <v/>
      </c>
      <c r="AI26" s="134" t="str">
        <f>_xlfn.IFNA(MATCH(I26,Achievements[[#All],[Column112]],0)+10,"")</f>
        <v/>
      </c>
      <c r="AJ26" s="134" t="str">
        <f>_xlfn.IFNA(MATCH(J26,Achievements[[#All],[Column113]],0)+10,"")</f>
        <v/>
      </c>
      <c r="AK26" s="134" t="str">
        <f>_xlfn.IFNA(MATCH(K26,Achievements[[#All],[Column113]],0)+10,"")</f>
        <v/>
      </c>
      <c r="AL26" s="134" t="str">
        <f>_xlfn.IFNA(MATCH(L26,Achievements[[#All],[Column114]],0)+10,"")</f>
        <v/>
      </c>
      <c r="AM26" s="134" t="str">
        <f>_xlfn.IFNA(MATCH(M26,Achievements[[#All],[Column114]],0)+10,"")</f>
        <v/>
      </c>
      <c r="AN26" s="134" t="str">
        <f>_xlfn.IFNA(MATCH(N26,Achievements[[#All],[Column115]],0)+10,"")</f>
        <v/>
      </c>
      <c r="AO26" s="134" t="str">
        <f>_xlfn.IFNA(MATCH(O26,Achievements[[#All],[Column115]],0)+10,"")</f>
        <v/>
      </c>
      <c r="AP26" s="134" t="str">
        <f>_xlfn.IFNA(MATCH(P26,Achievements[[#All],[Column116]],0)+10,"")</f>
        <v/>
      </c>
      <c r="AQ26" s="134" t="str">
        <f>_xlfn.IFNA(MATCH(Q26,Achievements[[#All],[Column116]],0)+10,"")</f>
        <v/>
      </c>
      <c r="AR26" s="134" t="str">
        <f>_xlfn.IFNA(MATCH(R26,Achievements[[#All],[Column117]],0)+10,"")</f>
        <v/>
      </c>
      <c r="AS26" s="134" t="str">
        <f>_xlfn.IFNA(MATCH(S26,Achievements[[#All],[Column117]],0)+10,"")</f>
        <v/>
      </c>
      <c r="AT26" s="134" t="str">
        <f>_xlfn.IFNA(MATCH(T26,Achievements[[#All],[Column118]],0)+10,"")</f>
        <v/>
      </c>
      <c r="AU26" s="134" t="str">
        <f>_xlfn.IFNA(MATCH(U26,Achievements[[#All],[Column118]],0)+10,"")</f>
        <v/>
      </c>
      <c r="AV26" s="134" t="str">
        <f>_xlfn.IFNA(MATCH(V26,Achievements[[#All],[Column119]],0)+10,"")</f>
        <v/>
      </c>
      <c r="AW26" s="134" t="str">
        <f>_xlfn.IFNA(MATCH(W26,Achievements[[#All],[Column119]],0)+10,"")</f>
        <v/>
      </c>
      <c r="AX26" s="134" t="str">
        <f>_xlfn.IFNA(MATCH(X26,Achievements[[#All],[Column120]],0)+10,"")</f>
        <v/>
      </c>
      <c r="AY26" s="134" t="str">
        <f>_xlfn.IFNA(MATCH(Y26,Achievements[[#All],[Column120]],0)+10,"")</f>
        <v/>
      </c>
      <c r="AZ26" s="116" t="e">
        <f t="shared" ca="1" si="0"/>
        <v>#NAME?</v>
      </c>
      <c r="BA26" s="134" t="e" cm="1">
        <f t="array" aca="1" ref="BA26" ca="1">SplitValues("; ",Persons[[#This Row],[Column1]])</f>
        <v>#NAME?</v>
      </c>
      <c r="CA26" s="134" t="e">
        <f ca="1">_xlfn.IFNA(MATCH(BA26,Achievements[[#All],[Column1]],0)+10,"")</f>
        <v>#NAME?</v>
      </c>
      <c r="CB26" s="134" t="str">
        <f>_xlfn.IFNA(MATCH(BB26,Achievements[[#All],[Column1]],0)+10,"")</f>
        <v/>
      </c>
      <c r="CC26" s="134" t="str">
        <f>_xlfn.IFNA(MATCH(BC26,Achievements[[#All],[Column110]],0)+10,"")</f>
        <v/>
      </c>
      <c r="CD26" s="134" t="str">
        <f>_xlfn.IFNA(MATCH(BD26,Achievements[[#All],[Column110]],0)+10,"")</f>
        <v/>
      </c>
      <c r="CE26" s="134" t="str">
        <f>_xlfn.IFNA(MATCH(BE26,Achievements[[#All],[Column111]],0)+10,"")</f>
        <v/>
      </c>
      <c r="CF26" s="134" t="str">
        <f>_xlfn.IFNA(MATCH(BF26,Achievements[[#All],[Column111]],0)+10,"")</f>
        <v/>
      </c>
      <c r="CG26" s="134" t="str">
        <f>_xlfn.IFNA(MATCH(BG26,Achievements[[#All],[Column112]],0)+10,"")</f>
        <v/>
      </c>
      <c r="CH26" s="134" t="str">
        <f>_xlfn.IFNA(MATCH(BH26,Achievements[[#All],[Column112]],0)+10,"")</f>
        <v/>
      </c>
      <c r="CI26" s="134" t="str">
        <f>_xlfn.IFNA(MATCH(BI26,Achievements[[#All],[Column113]],0)+10,"")</f>
        <v/>
      </c>
      <c r="CJ26" s="134" t="str">
        <f>_xlfn.IFNA(MATCH(BJ26,Achievements[[#All],[Column113]],0)+10,"")</f>
        <v/>
      </c>
      <c r="CK26" s="134" t="str">
        <f>_xlfn.IFNA(MATCH(BK26,Achievements[[#All],[Column114]],0)+10,"")</f>
        <v/>
      </c>
      <c r="CL26" s="134" t="str">
        <f>_xlfn.IFNA(MATCH(BL26,Achievements[[#All],[Column114]],0)+10,"")</f>
        <v/>
      </c>
      <c r="CM26" s="134" t="str">
        <f>_xlfn.IFNA(MATCH(BM26,Achievements[[#All],[Column115]],0)+10,"")</f>
        <v/>
      </c>
      <c r="CN26" s="134" t="str">
        <f>_xlfn.IFNA(MATCH(BN26,Achievements[[#All],[Column115]],0)+10,"")</f>
        <v/>
      </c>
      <c r="CO26" s="134" t="str">
        <f>_xlfn.IFNA(MATCH(BO26,Achievements[[#All],[Column116]],0)+10,"")</f>
        <v/>
      </c>
      <c r="CP26" s="134" t="str">
        <f>_xlfn.IFNA(MATCH(BP26,Achievements[[#All],[Column116]],0)+10,"")</f>
        <v/>
      </c>
      <c r="CQ26" s="134" t="str">
        <f>_xlfn.IFNA(MATCH(BQ26,Achievements[[#All],[Column117]],0)+10,"")</f>
        <v/>
      </c>
      <c r="CR26" s="134" t="str">
        <f>_xlfn.IFNA(MATCH(BR26,Achievements[[#All],[Column117]],0)+10,"")</f>
        <v/>
      </c>
      <c r="CS26" s="134" t="str">
        <f>_xlfn.IFNA(MATCH(BS26,Achievements[[#All],[Column118]],0)+10,"")</f>
        <v/>
      </c>
      <c r="CT26" s="134" t="str">
        <f>_xlfn.IFNA(MATCH(BT26,Achievements[[#All],[Column118]],0)+10,"")</f>
        <v/>
      </c>
      <c r="CU26" s="134" t="str">
        <f>_xlfn.IFNA(MATCH(BU26,Achievements[[#All],[Column119]],0)+10,"")</f>
        <v/>
      </c>
      <c r="CV26" s="134" t="str">
        <f>_xlfn.IFNA(MATCH(BV26,Achievements[[#All],[Column119]],0)+10,"")</f>
        <v/>
      </c>
      <c r="CW26" s="134" t="str">
        <f>_xlfn.IFNA(MATCH(BW26,Achievements[[#All],[Column120]],0)+10,"")</f>
        <v/>
      </c>
      <c r="CX26" s="134" t="str">
        <f>_xlfn.IFNA(MATCH(BX26,Achievements[[#All],[Column120]],0)+10,"")</f>
        <v/>
      </c>
      <c r="CY26" s="134" t="str">
        <f>_xlfn.IFNA(MATCH(BY26,Achievements[[#All],[Column121]],0)+10,"")</f>
        <v/>
      </c>
      <c r="CZ26" s="118" t="e">
        <f t="shared" ca="1" si="1"/>
        <v>#NAME?</v>
      </c>
    </row>
    <row r="27" spans="1:104" x14ac:dyDescent="0.25">
      <c r="A27" t="e" cm="1">
        <f t="array" aca="1" ref="A27" ca="1">SplitValues("; ",#REF!)</f>
        <v>#NAME?</v>
      </c>
      <c r="AA27" t="e">
        <f ca="1">_xlfn.IFNA(MATCH(A27,Achievements[[#All],[Column1]],0)+11,"")</f>
        <v>#NAME?</v>
      </c>
      <c r="AB27" s="134" t="str">
        <f>_xlfn.IFNA(MATCH(B27,Achievements[[#All],[Column1]],0)+10,"")</f>
        <v/>
      </c>
      <c r="AC27" s="134" t="str">
        <f>_xlfn.IFNA(MATCH(C27,Achievements[[#All],[Column1]],0)+10,"")</f>
        <v/>
      </c>
      <c r="AD27" s="134" t="str">
        <f>_xlfn.IFNA(MATCH(D27,Achievements[[#All],[Column110]],0)+10,"")</f>
        <v/>
      </c>
      <c r="AE27" s="134" t="str">
        <f>_xlfn.IFNA(MATCH(E27,Achievements[[#All],[Column110]],0)+10,"")</f>
        <v/>
      </c>
      <c r="AF27" s="134" t="str">
        <f>_xlfn.IFNA(MATCH(F27,Achievements[[#All],[Column111]],0)+10,"")</f>
        <v/>
      </c>
      <c r="AG27" s="134" t="str">
        <f>_xlfn.IFNA(MATCH(G27,Achievements[[#All],[Column111]],0)+10,"")</f>
        <v/>
      </c>
      <c r="AH27" s="134" t="str">
        <f>_xlfn.IFNA(MATCH(H27,Achievements[[#All],[Column112]],0)+10,"")</f>
        <v/>
      </c>
      <c r="AI27" s="134" t="str">
        <f>_xlfn.IFNA(MATCH(I27,Achievements[[#All],[Column112]],0)+10,"")</f>
        <v/>
      </c>
      <c r="AJ27" s="134" t="str">
        <f>_xlfn.IFNA(MATCH(J27,Achievements[[#All],[Column113]],0)+10,"")</f>
        <v/>
      </c>
      <c r="AK27" s="134" t="str">
        <f>_xlfn.IFNA(MATCH(K27,Achievements[[#All],[Column113]],0)+10,"")</f>
        <v/>
      </c>
      <c r="AL27" s="134" t="str">
        <f>_xlfn.IFNA(MATCH(L27,Achievements[[#All],[Column114]],0)+10,"")</f>
        <v/>
      </c>
      <c r="AM27" s="134" t="str">
        <f>_xlfn.IFNA(MATCH(M27,Achievements[[#All],[Column114]],0)+10,"")</f>
        <v/>
      </c>
      <c r="AN27" s="134" t="str">
        <f>_xlfn.IFNA(MATCH(N27,Achievements[[#All],[Column115]],0)+10,"")</f>
        <v/>
      </c>
      <c r="AO27" s="134" t="str">
        <f>_xlfn.IFNA(MATCH(O27,Achievements[[#All],[Column115]],0)+10,"")</f>
        <v/>
      </c>
      <c r="AP27" s="134" t="str">
        <f>_xlfn.IFNA(MATCH(P27,Achievements[[#All],[Column116]],0)+10,"")</f>
        <v/>
      </c>
      <c r="AQ27" s="134" t="str">
        <f>_xlfn.IFNA(MATCH(Q27,Achievements[[#All],[Column116]],0)+10,"")</f>
        <v/>
      </c>
      <c r="AR27" s="134" t="str">
        <f>_xlfn.IFNA(MATCH(R27,Achievements[[#All],[Column117]],0)+10,"")</f>
        <v/>
      </c>
      <c r="AS27" s="134" t="str">
        <f>_xlfn.IFNA(MATCH(S27,Achievements[[#All],[Column117]],0)+10,"")</f>
        <v/>
      </c>
      <c r="AT27" s="134" t="str">
        <f>_xlfn.IFNA(MATCH(T27,Achievements[[#All],[Column118]],0)+10,"")</f>
        <v/>
      </c>
      <c r="AU27" s="134" t="str">
        <f>_xlfn.IFNA(MATCH(U27,Achievements[[#All],[Column118]],0)+10,"")</f>
        <v/>
      </c>
      <c r="AV27" s="134" t="str">
        <f>_xlfn.IFNA(MATCH(V27,Achievements[[#All],[Column119]],0)+10,"")</f>
        <v/>
      </c>
      <c r="AW27" s="134" t="str">
        <f>_xlfn.IFNA(MATCH(W27,Achievements[[#All],[Column119]],0)+10,"")</f>
        <v/>
      </c>
      <c r="AX27" s="134" t="str">
        <f>_xlfn.IFNA(MATCH(X27,Achievements[[#All],[Column120]],0)+10,"")</f>
        <v/>
      </c>
      <c r="AY27" s="134" t="str">
        <f>_xlfn.IFNA(MATCH(Y27,Achievements[[#All],[Column120]],0)+10,"")</f>
        <v/>
      </c>
      <c r="AZ27" s="116" t="e">
        <f t="shared" ca="1" si="0"/>
        <v>#NAME?</v>
      </c>
      <c r="BA27" s="134" t="e" cm="1">
        <f t="array" aca="1" ref="BA27" ca="1">SplitValues("; ",Persons[[#This Row],[Column1]])</f>
        <v>#NAME?</v>
      </c>
      <c r="CA27" s="134" t="e">
        <f ca="1">_xlfn.IFNA(MATCH(BA27,Achievements[[#All],[Column1]],0)+10,"")</f>
        <v>#NAME?</v>
      </c>
      <c r="CB27" s="134" t="str">
        <f>_xlfn.IFNA(MATCH(BB27,Achievements[[#All],[Column1]],0)+10,"")</f>
        <v/>
      </c>
      <c r="CC27" s="134" t="str">
        <f>_xlfn.IFNA(MATCH(BC27,Achievements[[#All],[Column110]],0)+10,"")</f>
        <v/>
      </c>
      <c r="CD27" s="134" t="str">
        <f>_xlfn.IFNA(MATCH(BD27,Achievements[[#All],[Column110]],0)+10,"")</f>
        <v/>
      </c>
      <c r="CE27" s="134" t="str">
        <f>_xlfn.IFNA(MATCH(BE27,Achievements[[#All],[Column111]],0)+10,"")</f>
        <v/>
      </c>
      <c r="CF27" s="134" t="str">
        <f>_xlfn.IFNA(MATCH(BF27,Achievements[[#All],[Column111]],0)+10,"")</f>
        <v/>
      </c>
      <c r="CG27" s="134" t="str">
        <f>_xlfn.IFNA(MATCH(BG27,Achievements[[#All],[Column112]],0)+10,"")</f>
        <v/>
      </c>
      <c r="CH27" s="134" t="str">
        <f>_xlfn.IFNA(MATCH(BH27,Achievements[[#All],[Column112]],0)+10,"")</f>
        <v/>
      </c>
      <c r="CI27" s="134" t="str">
        <f>_xlfn.IFNA(MATCH(BI27,Achievements[[#All],[Column113]],0)+10,"")</f>
        <v/>
      </c>
      <c r="CJ27" s="134" t="str">
        <f>_xlfn.IFNA(MATCH(BJ27,Achievements[[#All],[Column113]],0)+10,"")</f>
        <v/>
      </c>
      <c r="CK27" s="134" t="str">
        <f>_xlfn.IFNA(MATCH(BK27,Achievements[[#All],[Column114]],0)+10,"")</f>
        <v/>
      </c>
      <c r="CL27" s="134" t="str">
        <f>_xlfn.IFNA(MATCH(BL27,Achievements[[#All],[Column114]],0)+10,"")</f>
        <v/>
      </c>
      <c r="CM27" s="134" t="str">
        <f>_xlfn.IFNA(MATCH(BM27,Achievements[[#All],[Column115]],0)+10,"")</f>
        <v/>
      </c>
      <c r="CN27" s="134" t="str">
        <f>_xlfn.IFNA(MATCH(BN27,Achievements[[#All],[Column115]],0)+10,"")</f>
        <v/>
      </c>
      <c r="CO27" s="134" t="str">
        <f>_xlfn.IFNA(MATCH(BO27,Achievements[[#All],[Column116]],0)+10,"")</f>
        <v/>
      </c>
      <c r="CP27" s="134" t="str">
        <f>_xlfn.IFNA(MATCH(BP27,Achievements[[#All],[Column116]],0)+10,"")</f>
        <v/>
      </c>
      <c r="CQ27" s="134" t="str">
        <f>_xlfn.IFNA(MATCH(BQ27,Achievements[[#All],[Column117]],0)+10,"")</f>
        <v/>
      </c>
      <c r="CR27" s="134" t="str">
        <f>_xlfn.IFNA(MATCH(BR27,Achievements[[#All],[Column117]],0)+10,"")</f>
        <v/>
      </c>
      <c r="CS27" s="134" t="str">
        <f>_xlfn.IFNA(MATCH(BS27,Achievements[[#All],[Column118]],0)+10,"")</f>
        <v/>
      </c>
      <c r="CT27" s="134" t="str">
        <f>_xlfn.IFNA(MATCH(BT27,Achievements[[#All],[Column118]],0)+10,"")</f>
        <v/>
      </c>
      <c r="CU27" s="134" t="str">
        <f>_xlfn.IFNA(MATCH(BU27,Achievements[[#All],[Column119]],0)+10,"")</f>
        <v/>
      </c>
      <c r="CV27" s="134" t="str">
        <f>_xlfn.IFNA(MATCH(BV27,Achievements[[#All],[Column119]],0)+10,"")</f>
        <v/>
      </c>
      <c r="CW27" s="134" t="str">
        <f>_xlfn.IFNA(MATCH(BW27,Achievements[[#All],[Column120]],0)+10,"")</f>
        <v/>
      </c>
      <c r="CX27" s="134" t="str">
        <f>_xlfn.IFNA(MATCH(BX27,Achievements[[#All],[Column120]],0)+10,"")</f>
        <v/>
      </c>
      <c r="CY27" s="134" t="str">
        <f>_xlfn.IFNA(MATCH(BY27,Achievements[[#All],[Column121]],0)+10,"")</f>
        <v/>
      </c>
      <c r="CZ27" s="118" t="e">
        <f t="shared" ca="1" si="1"/>
        <v>#NAME?</v>
      </c>
    </row>
    <row r="28" spans="1:104" x14ac:dyDescent="0.25">
      <c r="A28" t="e" cm="1">
        <f t="array" aca="1" ref="A28" ca="1">SplitValues("; ",#REF!)</f>
        <v>#NAME?</v>
      </c>
      <c r="AA28" t="e">
        <f ca="1">_xlfn.IFNA(MATCH(A28,Achievements[[#All],[Column1]],0)+11,"")</f>
        <v>#NAME?</v>
      </c>
      <c r="AB28" s="134" t="str">
        <f>_xlfn.IFNA(MATCH(B28,Achievements[[#All],[Column1]],0)+10,"")</f>
        <v/>
      </c>
      <c r="AC28" s="134" t="str">
        <f>_xlfn.IFNA(MATCH(C28,Achievements[[#All],[Column1]],0)+10,"")</f>
        <v/>
      </c>
      <c r="AD28" s="134" t="str">
        <f>_xlfn.IFNA(MATCH(D28,Achievements[[#All],[Column110]],0)+10,"")</f>
        <v/>
      </c>
      <c r="AE28" s="134" t="str">
        <f>_xlfn.IFNA(MATCH(E28,Achievements[[#All],[Column110]],0)+10,"")</f>
        <v/>
      </c>
      <c r="AF28" s="134" t="str">
        <f>_xlfn.IFNA(MATCH(F28,Achievements[[#All],[Column111]],0)+10,"")</f>
        <v/>
      </c>
      <c r="AG28" s="134" t="str">
        <f>_xlfn.IFNA(MATCH(G28,Achievements[[#All],[Column111]],0)+10,"")</f>
        <v/>
      </c>
      <c r="AH28" s="134" t="str">
        <f>_xlfn.IFNA(MATCH(H28,Achievements[[#All],[Column112]],0)+10,"")</f>
        <v/>
      </c>
      <c r="AI28" s="134" t="str">
        <f>_xlfn.IFNA(MATCH(I28,Achievements[[#All],[Column112]],0)+10,"")</f>
        <v/>
      </c>
      <c r="AJ28" s="134" t="str">
        <f>_xlfn.IFNA(MATCH(J28,Achievements[[#All],[Column113]],0)+10,"")</f>
        <v/>
      </c>
      <c r="AK28" s="134" t="str">
        <f>_xlfn.IFNA(MATCH(K28,Achievements[[#All],[Column113]],0)+10,"")</f>
        <v/>
      </c>
      <c r="AL28" s="134" t="str">
        <f>_xlfn.IFNA(MATCH(L28,Achievements[[#All],[Column114]],0)+10,"")</f>
        <v/>
      </c>
      <c r="AM28" s="134" t="str">
        <f>_xlfn.IFNA(MATCH(M28,Achievements[[#All],[Column114]],0)+10,"")</f>
        <v/>
      </c>
      <c r="AN28" s="134" t="str">
        <f>_xlfn.IFNA(MATCH(N28,Achievements[[#All],[Column115]],0)+10,"")</f>
        <v/>
      </c>
      <c r="AO28" s="134" t="str">
        <f>_xlfn.IFNA(MATCH(O28,Achievements[[#All],[Column115]],0)+10,"")</f>
        <v/>
      </c>
      <c r="AP28" s="134" t="str">
        <f>_xlfn.IFNA(MATCH(P28,Achievements[[#All],[Column116]],0)+10,"")</f>
        <v/>
      </c>
      <c r="AQ28" s="134" t="str">
        <f>_xlfn.IFNA(MATCH(Q28,Achievements[[#All],[Column116]],0)+10,"")</f>
        <v/>
      </c>
      <c r="AR28" s="134" t="str">
        <f>_xlfn.IFNA(MATCH(R28,Achievements[[#All],[Column117]],0)+10,"")</f>
        <v/>
      </c>
      <c r="AS28" s="134" t="str">
        <f>_xlfn.IFNA(MATCH(S28,Achievements[[#All],[Column117]],0)+10,"")</f>
        <v/>
      </c>
      <c r="AT28" s="134" t="str">
        <f>_xlfn.IFNA(MATCH(T28,Achievements[[#All],[Column118]],0)+10,"")</f>
        <v/>
      </c>
      <c r="AU28" s="134" t="str">
        <f>_xlfn.IFNA(MATCH(U28,Achievements[[#All],[Column118]],0)+10,"")</f>
        <v/>
      </c>
      <c r="AV28" s="134" t="str">
        <f>_xlfn.IFNA(MATCH(V28,Achievements[[#All],[Column119]],0)+10,"")</f>
        <v/>
      </c>
      <c r="AW28" s="134" t="str">
        <f>_xlfn.IFNA(MATCH(W28,Achievements[[#All],[Column119]],0)+10,"")</f>
        <v/>
      </c>
      <c r="AX28" s="134" t="str">
        <f>_xlfn.IFNA(MATCH(X28,Achievements[[#All],[Column120]],0)+10,"")</f>
        <v/>
      </c>
      <c r="AY28" s="134" t="str">
        <f>_xlfn.IFNA(MATCH(Y28,Achievements[[#All],[Column120]],0)+10,"")</f>
        <v/>
      </c>
      <c r="AZ28" s="116" t="e">
        <f t="shared" ca="1" si="0"/>
        <v>#NAME?</v>
      </c>
      <c r="BA28" s="134" t="e" cm="1">
        <f t="array" aca="1" ref="BA28" ca="1">SplitValues("; ",Persons[[#This Row],[Column1]])</f>
        <v>#NAME?</v>
      </c>
      <c r="CA28" s="134" t="e">
        <f ca="1">_xlfn.IFNA(MATCH(BA28,Achievements[[#All],[Column1]],0)+10,"")</f>
        <v>#NAME?</v>
      </c>
      <c r="CB28" s="134" t="str">
        <f>_xlfn.IFNA(MATCH(BB28,Achievements[[#All],[Column1]],0)+10,"")</f>
        <v/>
      </c>
      <c r="CC28" s="134" t="str">
        <f>_xlfn.IFNA(MATCH(BC28,Achievements[[#All],[Column110]],0)+10,"")</f>
        <v/>
      </c>
      <c r="CD28" s="134" t="str">
        <f>_xlfn.IFNA(MATCH(BD28,Achievements[[#All],[Column110]],0)+10,"")</f>
        <v/>
      </c>
      <c r="CE28" s="134" t="str">
        <f>_xlfn.IFNA(MATCH(BE28,Achievements[[#All],[Column111]],0)+10,"")</f>
        <v/>
      </c>
      <c r="CF28" s="134" t="str">
        <f>_xlfn.IFNA(MATCH(BF28,Achievements[[#All],[Column111]],0)+10,"")</f>
        <v/>
      </c>
      <c r="CG28" s="134" t="str">
        <f>_xlfn.IFNA(MATCH(BG28,Achievements[[#All],[Column112]],0)+10,"")</f>
        <v/>
      </c>
      <c r="CH28" s="134" t="str">
        <f>_xlfn.IFNA(MATCH(BH28,Achievements[[#All],[Column112]],0)+10,"")</f>
        <v/>
      </c>
      <c r="CI28" s="134" t="str">
        <f>_xlfn.IFNA(MATCH(BI28,Achievements[[#All],[Column113]],0)+10,"")</f>
        <v/>
      </c>
      <c r="CJ28" s="134" t="str">
        <f>_xlfn.IFNA(MATCH(BJ28,Achievements[[#All],[Column113]],0)+10,"")</f>
        <v/>
      </c>
      <c r="CK28" s="134" t="str">
        <f>_xlfn.IFNA(MATCH(BK28,Achievements[[#All],[Column114]],0)+10,"")</f>
        <v/>
      </c>
      <c r="CL28" s="134" t="str">
        <f>_xlfn.IFNA(MATCH(BL28,Achievements[[#All],[Column114]],0)+10,"")</f>
        <v/>
      </c>
      <c r="CM28" s="134" t="str">
        <f>_xlfn.IFNA(MATCH(BM28,Achievements[[#All],[Column115]],0)+10,"")</f>
        <v/>
      </c>
      <c r="CN28" s="134" t="str">
        <f>_xlfn.IFNA(MATCH(BN28,Achievements[[#All],[Column115]],0)+10,"")</f>
        <v/>
      </c>
      <c r="CO28" s="134" t="str">
        <f>_xlfn.IFNA(MATCH(BO28,Achievements[[#All],[Column116]],0)+10,"")</f>
        <v/>
      </c>
      <c r="CP28" s="134" t="str">
        <f>_xlfn.IFNA(MATCH(BP28,Achievements[[#All],[Column116]],0)+10,"")</f>
        <v/>
      </c>
      <c r="CQ28" s="134" t="str">
        <f>_xlfn.IFNA(MATCH(BQ28,Achievements[[#All],[Column117]],0)+10,"")</f>
        <v/>
      </c>
      <c r="CR28" s="134" t="str">
        <f>_xlfn.IFNA(MATCH(BR28,Achievements[[#All],[Column117]],0)+10,"")</f>
        <v/>
      </c>
      <c r="CS28" s="134" t="str">
        <f>_xlfn.IFNA(MATCH(BS28,Achievements[[#All],[Column118]],0)+10,"")</f>
        <v/>
      </c>
      <c r="CT28" s="134" t="str">
        <f>_xlfn.IFNA(MATCH(BT28,Achievements[[#All],[Column118]],0)+10,"")</f>
        <v/>
      </c>
      <c r="CU28" s="134" t="str">
        <f>_xlfn.IFNA(MATCH(BU28,Achievements[[#All],[Column119]],0)+10,"")</f>
        <v/>
      </c>
      <c r="CV28" s="134" t="str">
        <f>_xlfn.IFNA(MATCH(BV28,Achievements[[#All],[Column119]],0)+10,"")</f>
        <v/>
      </c>
      <c r="CW28" s="134" t="str">
        <f>_xlfn.IFNA(MATCH(BW28,Achievements[[#All],[Column120]],0)+10,"")</f>
        <v/>
      </c>
      <c r="CX28" s="134" t="str">
        <f>_xlfn.IFNA(MATCH(BX28,Achievements[[#All],[Column120]],0)+10,"")</f>
        <v/>
      </c>
      <c r="CY28" s="134" t="str">
        <f>_xlfn.IFNA(MATCH(BY28,Achievements[[#All],[Column121]],0)+10,"")</f>
        <v/>
      </c>
      <c r="CZ28" s="118" t="e">
        <f t="shared" ca="1" si="1"/>
        <v>#NAME?</v>
      </c>
    </row>
    <row r="29" spans="1:104" x14ac:dyDescent="0.25">
      <c r="A29" t="e" cm="1">
        <f t="array" aca="1" ref="A29" ca="1">SplitValues("; ",#REF!)</f>
        <v>#NAME?</v>
      </c>
      <c r="AA29" t="e">
        <f ca="1">_xlfn.IFNA(MATCH(A29,Achievements[[#All],[Column1]],0)+11,"")</f>
        <v>#NAME?</v>
      </c>
      <c r="AB29" s="134" t="str">
        <f>_xlfn.IFNA(MATCH(B29,Achievements[[#All],[Column1]],0)+10,"")</f>
        <v/>
      </c>
      <c r="AC29" s="134" t="str">
        <f>_xlfn.IFNA(MATCH(C29,Achievements[[#All],[Column1]],0)+10,"")</f>
        <v/>
      </c>
      <c r="AD29" s="134" t="str">
        <f>_xlfn.IFNA(MATCH(D29,Achievements[[#All],[Column110]],0)+10,"")</f>
        <v/>
      </c>
      <c r="AE29" s="134" t="str">
        <f>_xlfn.IFNA(MATCH(E29,Achievements[[#All],[Column110]],0)+10,"")</f>
        <v/>
      </c>
      <c r="AF29" s="134" t="str">
        <f>_xlfn.IFNA(MATCH(F29,Achievements[[#All],[Column111]],0)+10,"")</f>
        <v/>
      </c>
      <c r="AG29" s="134" t="str">
        <f>_xlfn.IFNA(MATCH(G29,Achievements[[#All],[Column111]],0)+10,"")</f>
        <v/>
      </c>
      <c r="AH29" s="134" t="str">
        <f>_xlfn.IFNA(MATCH(H29,Achievements[[#All],[Column112]],0)+10,"")</f>
        <v/>
      </c>
      <c r="AI29" s="134" t="str">
        <f>_xlfn.IFNA(MATCH(I29,Achievements[[#All],[Column112]],0)+10,"")</f>
        <v/>
      </c>
      <c r="AJ29" s="134" t="str">
        <f>_xlfn.IFNA(MATCH(J29,Achievements[[#All],[Column113]],0)+10,"")</f>
        <v/>
      </c>
      <c r="AK29" s="134" t="str">
        <f>_xlfn.IFNA(MATCH(K29,Achievements[[#All],[Column113]],0)+10,"")</f>
        <v/>
      </c>
      <c r="AL29" s="134" t="str">
        <f>_xlfn.IFNA(MATCH(L29,Achievements[[#All],[Column114]],0)+10,"")</f>
        <v/>
      </c>
      <c r="AM29" s="134" t="str">
        <f>_xlfn.IFNA(MATCH(M29,Achievements[[#All],[Column114]],0)+10,"")</f>
        <v/>
      </c>
      <c r="AN29" s="134" t="str">
        <f>_xlfn.IFNA(MATCH(N29,Achievements[[#All],[Column115]],0)+10,"")</f>
        <v/>
      </c>
      <c r="AO29" s="134" t="str">
        <f>_xlfn.IFNA(MATCH(O29,Achievements[[#All],[Column115]],0)+10,"")</f>
        <v/>
      </c>
      <c r="AP29" s="134" t="str">
        <f>_xlfn.IFNA(MATCH(P29,Achievements[[#All],[Column116]],0)+10,"")</f>
        <v/>
      </c>
      <c r="AQ29" s="134" t="str">
        <f>_xlfn.IFNA(MATCH(Q29,Achievements[[#All],[Column116]],0)+10,"")</f>
        <v/>
      </c>
      <c r="AR29" s="134" t="str">
        <f>_xlfn.IFNA(MATCH(R29,Achievements[[#All],[Column117]],0)+10,"")</f>
        <v/>
      </c>
      <c r="AS29" s="134" t="str">
        <f>_xlfn.IFNA(MATCH(S29,Achievements[[#All],[Column117]],0)+10,"")</f>
        <v/>
      </c>
      <c r="AT29" s="134" t="str">
        <f>_xlfn.IFNA(MATCH(T29,Achievements[[#All],[Column118]],0)+10,"")</f>
        <v/>
      </c>
      <c r="AU29" s="134" t="str">
        <f>_xlfn.IFNA(MATCH(U29,Achievements[[#All],[Column118]],0)+10,"")</f>
        <v/>
      </c>
      <c r="AV29" s="134" t="str">
        <f>_xlfn.IFNA(MATCH(V29,Achievements[[#All],[Column119]],0)+10,"")</f>
        <v/>
      </c>
      <c r="AW29" s="134" t="str">
        <f>_xlfn.IFNA(MATCH(W29,Achievements[[#All],[Column119]],0)+10,"")</f>
        <v/>
      </c>
      <c r="AX29" s="134" t="str">
        <f>_xlfn.IFNA(MATCH(X29,Achievements[[#All],[Column120]],0)+10,"")</f>
        <v/>
      </c>
      <c r="AY29" s="134" t="str">
        <f>_xlfn.IFNA(MATCH(Y29,Achievements[[#All],[Column120]],0)+10,"")</f>
        <v/>
      </c>
      <c r="AZ29" s="116" t="e">
        <f t="shared" ca="1" si="0"/>
        <v>#NAME?</v>
      </c>
      <c r="BA29" s="134" t="e" cm="1">
        <f t="array" aca="1" ref="BA29" ca="1">SplitValues("; ",Persons[[#This Row],[Column1]])</f>
        <v>#NAME?</v>
      </c>
      <c r="CA29" s="134" t="e">
        <f ca="1">_xlfn.IFNA(MATCH(BA29,Achievements[[#All],[Column1]],0)+10,"")</f>
        <v>#NAME?</v>
      </c>
      <c r="CB29" s="134" t="str">
        <f>_xlfn.IFNA(MATCH(BB29,Achievements[[#All],[Column1]],0)+10,"")</f>
        <v/>
      </c>
      <c r="CC29" s="134" t="str">
        <f>_xlfn.IFNA(MATCH(BC29,Achievements[[#All],[Column110]],0)+10,"")</f>
        <v/>
      </c>
      <c r="CD29" s="134" t="str">
        <f>_xlfn.IFNA(MATCH(BD29,Achievements[[#All],[Column110]],0)+10,"")</f>
        <v/>
      </c>
      <c r="CE29" s="134" t="str">
        <f>_xlfn.IFNA(MATCH(BE29,Achievements[[#All],[Column111]],0)+10,"")</f>
        <v/>
      </c>
      <c r="CF29" s="134" t="str">
        <f>_xlfn.IFNA(MATCH(BF29,Achievements[[#All],[Column111]],0)+10,"")</f>
        <v/>
      </c>
      <c r="CG29" s="134" t="str">
        <f>_xlfn.IFNA(MATCH(BG29,Achievements[[#All],[Column112]],0)+10,"")</f>
        <v/>
      </c>
      <c r="CH29" s="134" t="str">
        <f>_xlfn.IFNA(MATCH(BH29,Achievements[[#All],[Column112]],0)+10,"")</f>
        <v/>
      </c>
      <c r="CI29" s="134" t="str">
        <f>_xlfn.IFNA(MATCH(BI29,Achievements[[#All],[Column113]],0)+10,"")</f>
        <v/>
      </c>
      <c r="CJ29" s="134" t="str">
        <f>_xlfn.IFNA(MATCH(BJ29,Achievements[[#All],[Column113]],0)+10,"")</f>
        <v/>
      </c>
      <c r="CK29" s="134" t="str">
        <f>_xlfn.IFNA(MATCH(BK29,Achievements[[#All],[Column114]],0)+10,"")</f>
        <v/>
      </c>
      <c r="CL29" s="134" t="str">
        <f>_xlfn.IFNA(MATCH(BL29,Achievements[[#All],[Column114]],0)+10,"")</f>
        <v/>
      </c>
      <c r="CM29" s="134" t="str">
        <f>_xlfn.IFNA(MATCH(BM29,Achievements[[#All],[Column115]],0)+10,"")</f>
        <v/>
      </c>
      <c r="CN29" s="134" t="str">
        <f>_xlfn.IFNA(MATCH(BN29,Achievements[[#All],[Column115]],0)+10,"")</f>
        <v/>
      </c>
      <c r="CO29" s="134" t="str">
        <f>_xlfn.IFNA(MATCH(BO29,Achievements[[#All],[Column116]],0)+10,"")</f>
        <v/>
      </c>
      <c r="CP29" s="134" t="str">
        <f>_xlfn.IFNA(MATCH(BP29,Achievements[[#All],[Column116]],0)+10,"")</f>
        <v/>
      </c>
      <c r="CQ29" s="134" t="str">
        <f>_xlfn.IFNA(MATCH(BQ29,Achievements[[#All],[Column117]],0)+10,"")</f>
        <v/>
      </c>
      <c r="CR29" s="134" t="str">
        <f>_xlfn.IFNA(MATCH(BR29,Achievements[[#All],[Column117]],0)+10,"")</f>
        <v/>
      </c>
      <c r="CS29" s="134" t="str">
        <f>_xlfn.IFNA(MATCH(BS29,Achievements[[#All],[Column118]],0)+10,"")</f>
        <v/>
      </c>
      <c r="CT29" s="134" t="str">
        <f>_xlfn.IFNA(MATCH(BT29,Achievements[[#All],[Column118]],0)+10,"")</f>
        <v/>
      </c>
      <c r="CU29" s="134" t="str">
        <f>_xlfn.IFNA(MATCH(BU29,Achievements[[#All],[Column119]],0)+10,"")</f>
        <v/>
      </c>
      <c r="CV29" s="134" t="str">
        <f>_xlfn.IFNA(MATCH(BV29,Achievements[[#All],[Column119]],0)+10,"")</f>
        <v/>
      </c>
      <c r="CW29" s="134" t="str">
        <f>_xlfn.IFNA(MATCH(BW29,Achievements[[#All],[Column120]],0)+10,"")</f>
        <v/>
      </c>
      <c r="CX29" s="134" t="str">
        <f>_xlfn.IFNA(MATCH(BX29,Achievements[[#All],[Column120]],0)+10,"")</f>
        <v/>
      </c>
      <c r="CY29" s="134" t="str">
        <f>_xlfn.IFNA(MATCH(BY29,Achievements[[#All],[Column121]],0)+10,"")</f>
        <v/>
      </c>
      <c r="CZ29" s="118" t="e">
        <f t="shared" ca="1" si="1"/>
        <v>#NAME?</v>
      </c>
    </row>
    <row r="30" spans="1:104" x14ac:dyDescent="0.25">
      <c r="A30" t="e" cm="1">
        <f t="array" aca="1" ref="A30" ca="1">SplitValues("; ",#REF!)</f>
        <v>#NAME?</v>
      </c>
      <c r="AA30" t="e">
        <f ca="1">_xlfn.IFNA(MATCH(A30,Achievements[[#All],[Column1]],0)+11,"")</f>
        <v>#NAME?</v>
      </c>
      <c r="AB30" s="134" t="str">
        <f>_xlfn.IFNA(MATCH(B30,Achievements[[#All],[Column1]],0)+10,"")</f>
        <v/>
      </c>
      <c r="AC30" s="134" t="str">
        <f>_xlfn.IFNA(MATCH(C30,Achievements[[#All],[Column1]],0)+10,"")</f>
        <v/>
      </c>
      <c r="AD30" s="134" t="str">
        <f>_xlfn.IFNA(MATCH(D30,Achievements[[#All],[Column110]],0)+10,"")</f>
        <v/>
      </c>
      <c r="AE30" s="134" t="str">
        <f>_xlfn.IFNA(MATCH(E30,Achievements[[#All],[Column110]],0)+10,"")</f>
        <v/>
      </c>
      <c r="AF30" s="134" t="str">
        <f>_xlfn.IFNA(MATCH(F30,Achievements[[#All],[Column111]],0)+10,"")</f>
        <v/>
      </c>
      <c r="AG30" s="134" t="str">
        <f>_xlfn.IFNA(MATCH(G30,Achievements[[#All],[Column111]],0)+10,"")</f>
        <v/>
      </c>
      <c r="AH30" s="134" t="str">
        <f>_xlfn.IFNA(MATCH(H30,Achievements[[#All],[Column112]],0)+10,"")</f>
        <v/>
      </c>
      <c r="AI30" s="134" t="str">
        <f>_xlfn.IFNA(MATCH(I30,Achievements[[#All],[Column112]],0)+10,"")</f>
        <v/>
      </c>
      <c r="AJ30" s="134" t="str">
        <f>_xlfn.IFNA(MATCH(J30,Achievements[[#All],[Column113]],0)+10,"")</f>
        <v/>
      </c>
      <c r="AK30" s="134" t="str">
        <f>_xlfn.IFNA(MATCH(K30,Achievements[[#All],[Column113]],0)+10,"")</f>
        <v/>
      </c>
      <c r="AL30" s="134" t="str">
        <f>_xlfn.IFNA(MATCH(L30,Achievements[[#All],[Column114]],0)+10,"")</f>
        <v/>
      </c>
      <c r="AM30" s="134" t="str">
        <f>_xlfn.IFNA(MATCH(M30,Achievements[[#All],[Column114]],0)+10,"")</f>
        <v/>
      </c>
      <c r="AN30" s="134" t="str">
        <f>_xlfn.IFNA(MATCH(N30,Achievements[[#All],[Column115]],0)+10,"")</f>
        <v/>
      </c>
      <c r="AO30" s="134" t="str">
        <f>_xlfn.IFNA(MATCH(O30,Achievements[[#All],[Column115]],0)+10,"")</f>
        <v/>
      </c>
      <c r="AP30" s="134" t="str">
        <f>_xlfn.IFNA(MATCH(P30,Achievements[[#All],[Column116]],0)+10,"")</f>
        <v/>
      </c>
      <c r="AQ30" s="134" t="str">
        <f>_xlfn.IFNA(MATCH(Q30,Achievements[[#All],[Column116]],0)+10,"")</f>
        <v/>
      </c>
      <c r="AR30" s="134" t="str">
        <f>_xlfn.IFNA(MATCH(R30,Achievements[[#All],[Column117]],0)+10,"")</f>
        <v/>
      </c>
      <c r="AS30" s="134" t="str">
        <f>_xlfn.IFNA(MATCH(S30,Achievements[[#All],[Column117]],0)+10,"")</f>
        <v/>
      </c>
      <c r="AT30" s="134" t="str">
        <f>_xlfn.IFNA(MATCH(T30,Achievements[[#All],[Column118]],0)+10,"")</f>
        <v/>
      </c>
      <c r="AU30" s="134" t="str">
        <f>_xlfn.IFNA(MATCH(U30,Achievements[[#All],[Column118]],0)+10,"")</f>
        <v/>
      </c>
      <c r="AV30" s="134" t="str">
        <f>_xlfn.IFNA(MATCH(V30,Achievements[[#All],[Column119]],0)+10,"")</f>
        <v/>
      </c>
      <c r="AW30" s="134" t="str">
        <f>_xlfn.IFNA(MATCH(W30,Achievements[[#All],[Column119]],0)+10,"")</f>
        <v/>
      </c>
      <c r="AX30" s="134" t="str">
        <f>_xlfn.IFNA(MATCH(X30,Achievements[[#All],[Column120]],0)+10,"")</f>
        <v/>
      </c>
      <c r="AY30" s="134" t="str">
        <f>_xlfn.IFNA(MATCH(Y30,Achievements[[#All],[Column120]],0)+10,"")</f>
        <v/>
      </c>
      <c r="AZ30" s="116" t="e">
        <f t="shared" ca="1" si="0"/>
        <v>#NAME?</v>
      </c>
      <c r="BA30" s="134" t="e" cm="1">
        <f t="array" aca="1" ref="BA30" ca="1">SplitValues("; ",Persons[[#This Row],[Column1]])</f>
        <v>#NAME?</v>
      </c>
      <c r="CA30" s="134" t="e">
        <f ca="1">_xlfn.IFNA(MATCH(BA30,Achievements[[#All],[Column1]],0)+10,"")</f>
        <v>#NAME?</v>
      </c>
      <c r="CB30" s="134" t="str">
        <f>_xlfn.IFNA(MATCH(BB30,Achievements[[#All],[Column1]],0)+10,"")</f>
        <v/>
      </c>
      <c r="CC30" s="134" t="str">
        <f>_xlfn.IFNA(MATCH(BC30,Achievements[[#All],[Column110]],0)+10,"")</f>
        <v/>
      </c>
      <c r="CD30" s="134" t="str">
        <f>_xlfn.IFNA(MATCH(BD30,Achievements[[#All],[Column110]],0)+10,"")</f>
        <v/>
      </c>
      <c r="CE30" s="134" t="str">
        <f>_xlfn.IFNA(MATCH(BE30,Achievements[[#All],[Column111]],0)+10,"")</f>
        <v/>
      </c>
      <c r="CF30" s="134" t="str">
        <f>_xlfn.IFNA(MATCH(BF30,Achievements[[#All],[Column111]],0)+10,"")</f>
        <v/>
      </c>
      <c r="CG30" s="134" t="str">
        <f>_xlfn.IFNA(MATCH(BG30,Achievements[[#All],[Column112]],0)+10,"")</f>
        <v/>
      </c>
      <c r="CH30" s="134" t="str">
        <f>_xlfn.IFNA(MATCH(BH30,Achievements[[#All],[Column112]],0)+10,"")</f>
        <v/>
      </c>
      <c r="CI30" s="134" t="str">
        <f>_xlfn.IFNA(MATCH(BI30,Achievements[[#All],[Column113]],0)+10,"")</f>
        <v/>
      </c>
      <c r="CJ30" s="134" t="str">
        <f>_xlfn.IFNA(MATCH(BJ30,Achievements[[#All],[Column113]],0)+10,"")</f>
        <v/>
      </c>
      <c r="CK30" s="134" t="str">
        <f>_xlfn.IFNA(MATCH(BK30,Achievements[[#All],[Column114]],0)+10,"")</f>
        <v/>
      </c>
      <c r="CL30" s="134" t="str">
        <f>_xlfn.IFNA(MATCH(BL30,Achievements[[#All],[Column114]],0)+10,"")</f>
        <v/>
      </c>
      <c r="CM30" s="134" t="str">
        <f>_xlfn.IFNA(MATCH(BM30,Achievements[[#All],[Column115]],0)+10,"")</f>
        <v/>
      </c>
      <c r="CN30" s="134" t="str">
        <f>_xlfn.IFNA(MATCH(BN30,Achievements[[#All],[Column115]],0)+10,"")</f>
        <v/>
      </c>
      <c r="CO30" s="134" t="str">
        <f>_xlfn.IFNA(MATCH(BO30,Achievements[[#All],[Column116]],0)+10,"")</f>
        <v/>
      </c>
      <c r="CP30" s="134" t="str">
        <f>_xlfn.IFNA(MATCH(BP30,Achievements[[#All],[Column116]],0)+10,"")</f>
        <v/>
      </c>
      <c r="CQ30" s="134" t="str">
        <f>_xlfn.IFNA(MATCH(BQ30,Achievements[[#All],[Column117]],0)+10,"")</f>
        <v/>
      </c>
      <c r="CR30" s="134" t="str">
        <f>_xlfn.IFNA(MATCH(BR30,Achievements[[#All],[Column117]],0)+10,"")</f>
        <v/>
      </c>
      <c r="CS30" s="134" t="str">
        <f>_xlfn.IFNA(MATCH(BS30,Achievements[[#All],[Column118]],0)+10,"")</f>
        <v/>
      </c>
      <c r="CT30" s="134" t="str">
        <f>_xlfn.IFNA(MATCH(BT30,Achievements[[#All],[Column118]],0)+10,"")</f>
        <v/>
      </c>
      <c r="CU30" s="134" t="str">
        <f>_xlfn.IFNA(MATCH(BU30,Achievements[[#All],[Column119]],0)+10,"")</f>
        <v/>
      </c>
      <c r="CV30" s="134" t="str">
        <f>_xlfn.IFNA(MATCH(BV30,Achievements[[#All],[Column119]],0)+10,"")</f>
        <v/>
      </c>
      <c r="CW30" s="134" t="str">
        <f>_xlfn.IFNA(MATCH(BW30,Achievements[[#All],[Column120]],0)+10,"")</f>
        <v/>
      </c>
      <c r="CX30" s="134" t="str">
        <f>_xlfn.IFNA(MATCH(BX30,Achievements[[#All],[Column120]],0)+10,"")</f>
        <v/>
      </c>
      <c r="CY30" s="134" t="str">
        <f>_xlfn.IFNA(MATCH(BY30,Achievements[[#All],[Column121]],0)+10,"")</f>
        <v/>
      </c>
      <c r="CZ30" s="118" t="e">
        <f t="shared" ca="1" si="1"/>
        <v>#NAME?</v>
      </c>
    </row>
    <row r="31" spans="1:104" x14ac:dyDescent="0.25">
      <c r="A31" t="e" cm="1">
        <f t="array" aca="1" ref="A31" ca="1">SplitValues("; ",#REF!)</f>
        <v>#NAME?</v>
      </c>
      <c r="AA31" t="e">
        <f ca="1">_xlfn.IFNA(MATCH(A31,Achievements[[#All],[Column1]],0)+11,"")</f>
        <v>#NAME?</v>
      </c>
      <c r="AB31" s="134" t="str">
        <f>_xlfn.IFNA(MATCH(B31,Achievements[[#All],[Column1]],0)+10,"")</f>
        <v/>
      </c>
      <c r="AC31" s="134" t="str">
        <f>_xlfn.IFNA(MATCH(C31,Achievements[[#All],[Column1]],0)+10,"")</f>
        <v/>
      </c>
      <c r="AD31" s="134" t="str">
        <f>_xlfn.IFNA(MATCH(D31,Achievements[[#All],[Column110]],0)+10,"")</f>
        <v/>
      </c>
      <c r="AE31" s="134" t="str">
        <f>_xlfn.IFNA(MATCH(E31,Achievements[[#All],[Column110]],0)+10,"")</f>
        <v/>
      </c>
      <c r="AF31" s="134" t="str">
        <f>_xlfn.IFNA(MATCH(F31,Achievements[[#All],[Column111]],0)+10,"")</f>
        <v/>
      </c>
      <c r="AG31" s="134" t="str">
        <f>_xlfn.IFNA(MATCH(G31,Achievements[[#All],[Column111]],0)+10,"")</f>
        <v/>
      </c>
      <c r="AH31" s="134" t="str">
        <f>_xlfn.IFNA(MATCH(H31,Achievements[[#All],[Column112]],0)+10,"")</f>
        <v/>
      </c>
      <c r="AI31" s="134" t="str">
        <f>_xlfn.IFNA(MATCH(I31,Achievements[[#All],[Column112]],0)+10,"")</f>
        <v/>
      </c>
      <c r="AJ31" s="134" t="str">
        <f>_xlfn.IFNA(MATCH(J31,Achievements[[#All],[Column113]],0)+10,"")</f>
        <v/>
      </c>
      <c r="AK31" s="134" t="str">
        <f>_xlfn.IFNA(MATCH(K31,Achievements[[#All],[Column113]],0)+10,"")</f>
        <v/>
      </c>
      <c r="AL31" s="134" t="str">
        <f>_xlfn.IFNA(MATCH(L31,Achievements[[#All],[Column114]],0)+10,"")</f>
        <v/>
      </c>
      <c r="AM31" s="134" t="str">
        <f>_xlfn.IFNA(MATCH(M31,Achievements[[#All],[Column114]],0)+10,"")</f>
        <v/>
      </c>
      <c r="AN31" s="134" t="str">
        <f>_xlfn.IFNA(MATCH(N31,Achievements[[#All],[Column115]],0)+10,"")</f>
        <v/>
      </c>
      <c r="AO31" s="134" t="str">
        <f>_xlfn.IFNA(MATCH(O31,Achievements[[#All],[Column115]],0)+10,"")</f>
        <v/>
      </c>
      <c r="AP31" s="134" t="str">
        <f>_xlfn.IFNA(MATCH(P31,Achievements[[#All],[Column116]],0)+10,"")</f>
        <v/>
      </c>
      <c r="AQ31" s="134" t="str">
        <f>_xlfn.IFNA(MATCH(Q31,Achievements[[#All],[Column116]],0)+10,"")</f>
        <v/>
      </c>
      <c r="AR31" s="134" t="str">
        <f>_xlfn.IFNA(MATCH(R31,Achievements[[#All],[Column117]],0)+10,"")</f>
        <v/>
      </c>
      <c r="AS31" s="134" t="str">
        <f>_xlfn.IFNA(MATCH(S31,Achievements[[#All],[Column117]],0)+10,"")</f>
        <v/>
      </c>
      <c r="AT31" s="134" t="str">
        <f>_xlfn.IFNA(MATCH(T31,Achievements[[#All],[Column118]],0)+10,"")</f>
        <v/>
      </c>
      <c r="AU31" s="134" t="str">
        <f>_xlfn.IFNA(MATCH(U31,Achievements[[#All],[Column118]],0)+10,"")</f>
        <v/>
      </c>
      <c r="AV31" s="134" t="str">
        <f>_xlfn.IFNA(MATCH(V31,Achievements[[#All],[Column119]],0)+10,"")</f>
        <v/>
      </c>
      <c r="AW31" s="134" t="str">
        <f>_xlfn.IFNA(MATCH(W31,Achievements[[#All],[Column119]],0)+10,"")</f>
        <v/>
      </c>
      <c r="AX31" s="134" t="str">
        <f>_xlfn.IFNA(MATCH(X31,Achievements[[#All],[Column120]],0)+10,"")</f>
        <v/>
      </c>
      <c r="AY31" s="134" t="str">
        <f>_xlfn.IFNA(MATCH(Y31,Achievements[[#All],[Column120]],0)+10,"")</f>
        <v/>
      </c>
      <c r="AZ31" s="116" t="e">
        <f t="shared" ca="1" si="0"/>
        <v>#NAME?</v>
      </c>
      <c r="BA31" s="134" t="e" cm="1">
        <f t="array" aca="1" ref="BA31" ca="1">SplitValues("; ",Persons[[#This Row],[Column1]])</f>
        <v>#NAME?</v>
      </c>
      <c r="CA31" s="134" t="e">
        <f ca="1">_xlfn.IFNA(MATCH(BA31,Achievements[[#All],[Column1]],0)+10,"")</f>
        <v>#NAME?</v>
      </c>
      <c r="CB31" s="134" t="str">
        <f>_xlfn.IFNA(MATCH(BB31,Achievements[[#All],[Column1]],0)+10,"")</f>
        <v/>
      </c>
      <c r="CC31" s="134" t="str">
        <f>_xlfn.IFNA(MATCH(BC31,Achievements[[#All],[Column110]],0)+10,"")</f>
        <v/>
      </c>
      <c r="CD31" s="134" t="str">
        <f>_xlfn.IFNA(MATCH(BD31,Achievements[[#All],[Column110]],0)+10,"")</f>
        <v/>
      </c>
      <c r="CE31" s="134" t="str">
        <f>_xlfn.IFNA(MATCH(BE31,Achievements[[#All],[Column111]],0)+10,"")</f>
        <v/>
      </c>
      <c r="CF31" s="134" t="str">
        <f>_xlfn.IFNA(MATCH(BF31,Achievements[[#All],[Column111]],0)+10,"")</f>
        <v/>
      </c>
      <c r="CG31" s="134" t="str">
        <f>_xlfn.IFNA(MATCH(BG31,Achievements[[#All],[Column112]],0)+10,"")</f>
        <v/>
      </c>
      <c r="CH31" s="134" t="str">
        <f>_xlfn.IFNA(MATCH(BH31,Achievements[[#All],[Column112]],0)+10,"")</f>
        <v/>
      </c>
      <c r="CI31" s="134" t="str">
        <f>_xlfn.IFNA(MATCH(BI31,Achievements[[#All],[Column113]],0)+10,"")</f>
        <v/>
      </c>
      <c r="CJ31" s="134" t="str">
        <f>_xlfn.IFNA(MATCH(BJ31,Achievements[[#All],[Column113]],0)+10,"")</f>
        <v/>
      </c>
      <c r="CK31" s="134" t="str">
        <f>_xlfn.IFNA(MATCH(BK31,Achievements[[#All],[Column114]],0)+10,"")</f>
        <v/>
      </c>
      <c r="CL31" s="134" t="str">
        <f>_xlfn.IFNA(MATCH(BL31,Achievements[[#All],[Column114]],0)+10,"")</f>
        <v/>
      </c>
      <c r="CM31" s="134" t="str">
        <f>_xlfn.IFNA(MATCH(BM31,Achievements[[#All],[Column115]],0)+10,"")</f>
        <v/>
      </c>
      <c r="CN31" s="134" t="str">
        <f>_xlfn.IFNA(MATCH(BN31,Achievements[[#All],[Column115]],0)+10,"")</f>
        <v/>
      </c>
      <c r="CO31" s="134" t="str">
        <f>_xlfn.IFNA(MATCH(BO31,Achievements[[#All],[Column116]],0)+10,"")</f>
        <v/>
      </c>
      <c r="CP31" s="134" t="str">
        <f>_xlfn.IFNA(MATCH(BP31,Achievements[[#All],[Column116]],0)+10,"")</f>
        <v/>
      </c>
      <c r="CQ31" s="134" t="str">
        <f>_xlfn.IFNA(MATCH(BQ31,Achievements[[#All],[Column117]],0)+10,"")</f>
        <v/>
      </c>
      <c r="CR31" s="134" t="str">
        <f>_xlfn.IFNA(MATCH(BR31,Achievements[[#All],[Column117]],0)+10,"")</f>
        <v/>
      </c>
      <c r="CS31" s="134" t="str">
        <f>_xlfn.IFNA(MATCH(BS31,Achievements[[#All],[Column118]],0)+10,"")</f>
        <v/>
      </c>
      <c r="CT31" s="134" t="str">
        <f>_xlfn.IFNA(MATCH(BT31,Achievements[[#All],[Column118]],0)+10,"")</f>
        <v/>
      </c>
      <c r="CU31" s="134" t="str">
        <f>_xlfn.IFNA(MATCH(BU31,Achievements[[#All],[Column119]],0)+10,"")</f>
        <v/>
      </c>
      <c r="CV31" s="134" t="str">
        <f>_xlfn.IFNA(MATCH(BV31,Achievements[[#All],[Column119]],0)+10,"")</f>
        <v/>
      </c>
      <c r="CW31" s="134" t="str">
        <f>_xlfn.IFNA(MATCH(BW31,Achievements[[#All],[Column120]],0)+10,"")</f>
        <v/>
      </c>
      <c r="CX31" s="134" t="str">
        <f>_xlfn.IFNA(MATCH(BX31,Achievements[[#All],[Column120]],0)+10,"")</f>
        <v/>
      </c>
      <c r="CY31" s="134" t="str">
        <f>_xlfn.IFNA(MATCH(BY31,Achievements[[#All],[Column121]],0)+10,"")</f>
        <v/>
      </c>
      <c r="CZ31" s="118" t="e">
        <f t="shared" ca="1" si="1"/>
        <v>#NAME?</v>
      </c>
    </row>
    <row r="32" spans="1:104" x14ac:dyDescent="0.25">
      <c r="A32" t="e" cm="1">
        <f t="array" aca="1" ref="A32" ca="1">SplitValues("; ",#REF!)</f>
        <v>#NAME?</v>
      </c>
      <c r="AA32" t="e">
        <f ca="1">_xlfn.IFNA(MATCH(A32,Achievements[[#All],[Column1]],0)+11,"")</f>
        <v>#NAME?</v>
      </c>
      <c r="AB32" s="134" t="str">
        <f>_xlfn.IFNA(MATCH(B32,Achievements[[#All],[Column1]],0)+10,"")</f>
        <v/>
      </c>
      <c r="AC32" s="134" t="str">
        <f>_xlfn.IFNA(MATCH(C32,Achievements[[#All],[Column1]],0)+10,"")</f>
        <v/>
      </c>
      <c r="AD32" s="134" t="str">
        <f>_xlfn.IFNA(MATCH(D32,Achievements[[#All],[Column110]],0)+10,"")</f>
        <v/>
      </c>
      <c r="AE32" s="134" t="str">
        <f>_xlfn.IFNA(MATCH(E32,Achievements[[#All],[Column110]],0)+10,"")</f>
        <v/>
      </c>
      <c r="AF32" s="134" t="str">
        <f>_xlfn.IFNA(MATCH(F32,Achievements[[#All],[Column111]],0)+10,"")</f>
        <v/>
      </c>
      <c r="AG32" s="134" t="str">
        <f>_xlfn.IFNA(MATCH(G32,Achievements[[#All],[Column111]],0)+10,"")</f>
        <v/>
      </c>
      <c r="AH32" s="134" t="str">
        <f>_xlfn.IFNA(MATCH(H32,Achievements[[#All],[Column112]],0)+10,"")</f>
        <v/>
      </c>
      <c r="AI32" s="134" t="str">
        <f>_xlfn.IFNA(MATCH(I32,Achievements[[#All],[Column112]],0)+10,"")</f>
        <v/>
      </c>
      <c r="AJ32" s="134" t="str">
        <f>_xlfn.IFNA(MATCH(J32,Achievements[[#All],[Column113]],0)+10,"")</f>
        <v/>
      </c>
      <c r="AK32" s="134" t="str">
        <f>_xlfn.IFNA(MATCH(K32,Achievements[[#All],[Column113]],0)+10,"")</f>
        <v/>
      </c>
      <c r="AL32" s="134" t="str">
        <f>_xlfn.IFNA(MATCH(L32,Achievements[[#All],[Column114]],0)+10,"")</f>
        <v/>
      </c>
      <c r="AM32" s="134" t="str">
        <f>_xlfn.IFNA(MATCH(M32,Achievements[[#All],[Column114]],0)+10,"")</f>
        <v/>
      </c>
      <c r="AN32" s="134" t="str">
        <f>_xlfn.IFNA(MATCH(N32,Achievements[[#All],[Column115]],0)+10,"")</f>
        <v/>
      </c>
      <c r="AO32" s="134" t="str">
        <f>_xlfn.IFNA(MATCH(O32,Achievements[[#All],[Column115]],0)+10,"")</f>
        <v/>
      </c>
      <c r="AP32" s="134" t="str">
        <f>_xlfn.IFNA(MATCH(P32,Achievements[[#All],[Column116]],0)+10,"")</f>
        <v/>
      </c>
      <c r="AQ32" s="134" t="str">
        <f>_xlfn.IFNA(MATCH(Q32,Achievements[[#All],[Column116]],0)+10,"")</f>
        <v/>
      </c>
      <c r="AR32" s="134" t="str">
        <f>_xlfn.IFNA(MATCH(R32,Achievements[[#All],[Column117]],0)+10,"")</f>
        <v/>
      </c>
      <c r="AS32" s="134" t="str">
        <f>_xlfn.IFNA(MATCH(S32,Achievements[[#All],[Column117]],0)+10,"")</f>
        <v/>
      </c>
      <c r="AT32" s="134" t="str">
        <f>_xlfn.IFNA(MATCH(T32,Achievements[[#All],[Column118]],0)+10,"")</f>
        <v/>
      </c>
      <c r="AU32" s="134" t="str">
        <f>_xlfn.IFNA(MATCH(U32,Achievements[[#All],[Column118]],0)+10,"")</f>
        <v/>
      </c>
      <c r="AV32" s="134" t="str">
        <f>_xlfn.IFNA(MATCH(V32,Achievements[[#All],[Column119]],0)+10,"")</f>
        <v/>
      </c>
      <c r="AW32" s="134" t="str">
        <f>_xlfn.IFNA(MATCH(W32,Achievements[[#All],[Column119]],0)+10,"")</f>
        <v/>
      </c>
      <c r="AX32" s="134" t="str">
        <f>_xlfn.IFNA(MATCH(X32,Achievements[[#All],[Column120]],0)+10,"")</f>
        <v/>
      </c>
      <c r="AY32" s="134" t="str">
        <f>_xlfn.IFNA(MATCH(Y32,Achievements[[#All],[Column120]],0)+10,"")</f>
        <v/>
      </c>
      <c r="AZ32" s="116" t="e">
        <f t="shared" ca="1" si="0"/>
        <v>#NAME?</v>
      </c>
      <c r="BA32" s="134" t="e" cm="1">
        <f t="array" aca="1" ref="BA32" ca="1">SplitValues("; ",Persons[[#This Row],[Column1]])</f>
        <v>#NAME?</v>
      </c>
      <c r="CA32" s="134" t="e">
        <f ca="1">_xlfn.IFNA(MATCH(BA32,Achievements[[#All],[Column1]],0)+10,"")</f>
        <v>#NAME?</v>
      </c>
      <c r="CB32" s="134" t="str">
        <f>_xlfn.IFNA(MATCH(BB32,Achievements[[#All],[Column1]],0)+10,"")</f>
        <v/>
      </c>
      <c r="CC32" s="134" t="str">
        <f>_xlfn.IFNA(MATCH(BC32,Achievements[[#All],[Column110]],0)+10,"")</f>
        <v/>
      </c>
      <c r="CD32" s="134" t="str">
        <f>_xlfn.IFNA(MATCH(BD32,Achievements[[#All],[Column110]],0)+10,"")</f>
        <v/>
      </c>
      <c r="CE32" s="134" t="str">
        <f>_xlfn.IFNA(MATCH(BE32,Achievements[[#All],[Column111]],0)+10,"")</f>
        <v/>
      </c>
      <c r="CF32" s="134" t="str">
        <f>_xlfn.IFNA(MATCH(BF32,Achievements[[#All],[Column111]],0)+10,"")</f>
        <v/>
      </c>
      <c r="CG32" s="134" t="str">
        <f>_xlfn.IFNA(MATCH(BG32,Achievements[[#All],[Column112]],0)+10,"")</f>
        <v/>
      </c>
      <c r="CH32" s="134" t="str">
        <f>_xlfn.IFNA(MATCH(BH32,Achievements[[#All],[Column112]],0)+10,"")</f>
        <v/>
      </c>
      <c r="CI32" s="134" t="str">
        <f>_xlfn.IFNA(MATCH(BI32,Achievements[[#All],[Column113]],0)+10,"")</f>
        <v/>
      </c>
      <c r="CJ32" s="134" t="str">
        <f>_xlfn.IFNA(MATCH(BJ32,Achievements[[#All],[Column113]],0)+10,"")</f>
        <v/>
      </c>
      <c r="CK32" s="134" t="str">
        <f>_xlfn.IFNA(MATCH(BK32,Achievements[[#All],[Column114]],0)+10,"")</f>
        <v/>
      </c>
      <c r="CL32" s="134" t="str">
        <f>_xlfn.IFNA(MATCH(BL32,Achievements[[#All],[Column114]],0)+10,"")</f>
        <v/>
      </c>
      <c r="CM32" s="134" t="str">
        <f>_xlfn.IFNA(MATCH(BM32,Achievements[[#All],[Column115]],0)+10,"")</f>
        <v/>
      </c>
      <c r="CN32" s="134" t="str">
        <f>_xlfn.IFNA(MATCH(BN32,Achievements[[#All],[Column115]],0)+10,"")</f>
        <v/>
      </c>
      <c r="CO32" s="134" t="str">
        <f>_xlfn.IFNA(MATCH(BO32,Achievements[[#All],[Column116]],0)+10,"")</f>
        <v/>
      </c>
      <c r="CP32" s="134" t="str">
        <f>_xlfn.IFNA(MATCH(BP32,Achievements[[#All],[Column116]],0)+10,"")</f>
        <v/>
      </c>
      <c r="CQ32" s="134" t="str">
        <f>_xlfn.IFNA(MATCH(BQ32,Achievements[[#All],[Column117]],0)+10,"")</f>
        <v/>
      </c>
      <c r="CR32" s="134" t="str">
        <f>_xlfn.IFNA(MATCH(BR32,Achievements[[#All],[Column117]],0)+10,"")</f>
        <v/>
      </c>
      <c r="CS32" s="134" t="str">
        <f>_xlfn.IFNA(MATCH(BS32,Achievements[[#All],[Column118]],0)+10,"")</f>
        <v/>
      </c>
      <c r="CT32" s="134" t="str">
        <f>_xlfn.IFNA(MATCH(BT32,Achievements[[#All],[Column118]],0)+10,"")</f>
        <v/>
      </c>
      <c r="CU32" s="134" t="str">
        <f>_xlfn.IFNA(MATCH(BU32,Achievements[[#All],[Column119]],0)+10,"")</f>
        <v/>
      </c>
      <c r="CV32" s="134" t="str">
        <f>_xlfn.IFNA(MATCH(BV32,Achievements[[#All],[Column119]],0)+10,"")</f>
        <v/>
      </c>
      <c r="CW32" s="134" t="str">
        <f>_xlfn.IFNA(MATCH(BW32,Achievements[[#All],[Column120]],0)+10,"")</f>
        <v/>
      </c>
      <c r="CX32" s="134" t="str">
        <f>_xlfn.IFNA(MATCH(BX32,Achievements[[#All],[Column120]],0)+10,"")</f>
        <v/>
      </c>
      <c r="CY32" s="134" t="str">
        <f>_xlfn.IFNA(MATCH(BY32,Achievements[[#All],[Column121]],0)+10,"")</f>
        <v/>
      </c>
      <c r="CZ32" s="118" t="e">
        <f t="shared" ca="1" si="1"/>
        <v>#NAME?</v>
      </c>
    </row>
    <row r="33" spans="1:104" x14ac:dyDescent="0.25">
      <c r="A33" t="e" cm="1">
        <f t="array" aca="1" ref="A33" ca="1">SplitValues("; ",#REF!)</f>
        <v>#NAME?</v>
      </c>
      <c r="AA33" t="e">
        <f ca="1">_xlfn.IFNA(MATCH(A33,Achievements[[#All],[Column1]],0)+11,"")</f>
        <v>#NAME?</v>
      </c>
      <c r="AB33" s="134" t="str">
        <f>_xlfn.IFNA(MATCH(B33,Achievements[[#All],[Column1]],0)+10,"")</f>
        <v/>
      </c>
      <c r="AC33" s="134" t="str">
        <f>_xlfn.IFNA(MATCH(C33,Achievements[[#All],[Column1]],0)+10,"")</f>
        <v/>
      </c>
      <c r="AD33" s="134" t="str">
        <f>_xlfn.IFNA(MATCH(D33,Achievements[[#All],[Column110]],0)+10,"")</f>
        <v/>
      </c>
      <c r="AE33" s="134" t="str">
        <f>_xlfn.IFNA(MATCH(E33,Achievements[[#All],[Column110]],0)+10,"")</f>
        <v/>
      </c>
      <c r="AF33" s="134" t="str">
        <f>_xlfn.IFNA(MATCH(F33,Achievements[[#All],[Column111]],0)+10,"")</f>
        <v/>
      </c>
      <c r="AG33" s="134" t="str">
        <f>_xlfn.IFNA(MATCH(G33,Achievements[[#All],[Column111]],0)+10,"")</f>
        <v/>
      </c>
      <c r="AH33" s="134" t="str">
        <f>_xlfn.IFNA(MATCH(H33,Achievements[[#All],[Column112]],0)+10,"")</f>
        <v/>
      </c>
      <c r="AI33" s="134" t="str">
        <f>_xlfn.IFNA(MATCH(I33,Achievements[[#All],[Column112]],0)+10,"")</f>
        <v/>
      </c>
      <c r="AJ33" s="134" t="str">
        <f>_xlfn.IFNA(MATCH(J33,Achievements[[#All],[Column113]],0)+10,"")</f>
        <v/>
      </c>
      <c r="AK33" s="134" t="str">
        <f>_xlfn.IFNA(MATCH(K33,Achievements[[#All],[Column113]],0)+10,"")</f>
        <v/>
      </c>
      <c r="AL33" s="134" t="str">
        <f>_xlfn.IFNA(MATCH(L33,Achievements[[#All],[Column114]],0)+10,"")</f>
        <v/>
      </c>
      <c r="AM33" s="134" t="str">
        <f>_xlfn.IFNA(MATCH(M33,Achievements[[#All],[Column114]],0)+10,"")</f>
        <v/>
      </c>
      <c r="AN33" s="134" t="str">
        <f>_xlfn.IFNA(MATCH(N33,Achievements[[#All],[Column115]],0)+10,"")</f>
        <v/>
      </c>
      <c r="AO33" s="134" t="str">
        <f>_xlfn.IFNA(MATCH(O33,Achievements[[#All],[Column115]],0)+10,"")</f>
        <v/>
      </c>
      <c r="AP33" s="134" t="str">
        <f>_xlfn.IFNA(MATCH(P33,Achievements[[#All],[Column116]],0)+10,"")</f>
        <v/>
      </c>
      <c r="AQ33" s="134" t="str">
        <f>_xlfn.IFNA(MATCH(Q33,Achievements[[#All],[Column116]],0)+10,"")</f>
        <v/>
      </c>
      <c r="AR33" s="134" t="str">
        <f>_xlfn.IFNA(MATCH(R33,Achievements[[#All],[Column117]],0)+10,"")</f>
        <v/>
      </c>
      <c r="AS33" s="134" t="str">
        <f>_xlfn.IFNA(MATCH(S33,Achievements[[#All],[Column117]],0)+10,"")</f>
        <v/>
      </c>
      <c r="AT33" s="134" t="str">
        <f>_xlfn.IFNA(MATCH(T33,Achievements[[#All],[Column118]],0)+10,"")</f>
        <v/>
      </c>
      <c r="AU33" s="134" t="str">
        <f>_xlfn.IFNA(MATCH(U33,Achievements[[#All],[Column118]],0)+10,"")</f>
        <v/>
      </c>
      <c r="AV33" s="134" t="str">
        <f>_xlfn.IFNA(MATCH(V33,Achievements[[#All],[Column119]],0)+10,"")</f>
        <v/>
      </c>
      <c r="AW33" s="134" t="str">
        <f>_xlfn.IFNA(MATCH(W33,Achievements[[#All],[Column119]],0)+10,"")</f>
        <v/>
      </c>
      <c r="AX33" s="134" t="str">
        <f>_xlfn.IFNA(MATCH(X33,Achievements[[#All],[Column120]],0)+10,"")</f>
        <v/>
      </c>
      <c r="AY33" s="134" t="str">
        <f>_xlfn.IFNA(MATCH(Y33,Achievements[[#All],[Column120]],0)+10,"")</f>
        <v/>
      </c>
      <c r="AZ33" s="116" t="e">
        <f t="shared" ca="1" si="0"/>
        <v>#NAME?</v>
      </c>
      <c r="BA33" s="134" t="e" cm="1">
        <f t="array" aca="1" ref="BA33" ca="1">SplitValues("; ",Persons[[#This Row],[Column1]])</f>
        <v>#NAME?</v>
      </c>
      <c r="CA33" s="134" t="e">
        <f ca="1">_xlfn.IFNA(MATCH(BA33,Achievements[[#All],[Column1]],0)+10,"")</f>
        <v>#NAME?</v>
      </c>
      <c r="CB33" s="134" t="str">
        <f>_xlfn.IFNA(MATCH(BB33,Achievements[[#All],[Column1]],0)+10,"")</f>
        <v/>
      </c>
      <c r="CC33" s="134" t="str">
        <f>_xlfn.IFNA(MATCH(BC33,Achievements[[#All],[Column110]],0)+10,"")</f>
        <v/>
      </c>
      <c r="CD33" s="134" t="str">
        <f>_xlfn.IFNA(MATCH(BD33,Achievements[[#All],[Column110]],0)+10,"")</f>
        <v/>
      </c>
      <c r="CE33" s="134" t="str">
        <f>_xlfn.IFNA(MATCH(BE33,Achievements[[#All],[Column111]],0)+10,"")</f>
        <v/>
      </c>
      <c r="CF33" s="134" t="str">
        <f>_xlfn.IFNA(MATCH(BF33,Achievements[[#All],[Column111]],0)+10,"")</f>
        <v/>
      </c>
      <c r="CG33" s="134" t="str">
        <f>_xlfn.IFNA(MATCH(BG33,Achievements[[#All],[Column112]],0)+10,"")</f>
        <v/>
      </c>
      <c r="CH33" s="134" t="str">
        <f>_xlfn.IFNA(MATCH(BH33,Achievements[[#All],[Column112]],0)+10,"")</f>
        <v/>
      </c>
      <c r="CI33" s="134" t="str">
        <f>_xlfn.IFNA(MATCH(BI33,Achievements[[#All],[Column113]],0)+10,"")</f>
        <v/>
      </c>
      <c r="CJ33" s="134" t="str">
        <f>_xlfn.IFNA(MATCH(BJ33,Achievements[[#All],[Column113]],0)+10,"")</f>
        <v/>
      </c>
      <c r="CK33" s="134" t="str">
        <f>_xlfn.IFNA(MATCH(BK33,Achievements[[#All],[Column114]],0)+10,"")</f>
        <v/>
      </c>
      <c r="CL33" s="134" t="str">
        <f>_xlfn.IFNA(MATCH(BL33,Achievements[[#All],[Column114]],0)+10,"")</f>
        <v/>
      </c>
      <c r="CM33" s="134" t="str">
        <f>_xlfn.IFNA(MATCH(BM33,Achievements[[#All],[Column115]],0)+10,"")</f>
        <v/>
      </c>
      <c r="CN33" s="134" t="str">
        <f>_xlfn.IFNA(MATCH(BN33,Achievements[[#All],[Column115]],0)+10,"")</f>
        <v/>
      </c>
      <c r="CO33" s="134" t="str">
        <f>_xlfn.IFNA(MATCH(BO33,Achievements[[#All],[Column116]],0)+10,"")</f>
        <v/>
      </c>
      <c r="CP33" s="134" t="str">
        <f>_xlfn.IFNA(MATCH(BP33,Achievements[[#All],[Column116]],0)+10,"")</f>
        <v/>
      </c>
      <c r="CQ33" s="134" t="str">
        <f>_xlfn.IFNA(MATCH(BQ33,Achievements[[#All],[Column117]],0)+10,"")</f>
        <v/>
      </c>
      <c r="CR33" s="134" t="str">
        <f>_xlfn.IFNA(MATCH(BR33,Achievements[[#All],[Column117]],0)+10,"")</f>
        <v/>
      </c>
      <c r="CS33" s="134" t="str">
        <f>_xlfn.IFNA(MATCH(BS33,Achievements[[#All],[Column118]],0)+10,"")</f>
        <v/>
      </c>
      <c r="CT33" s="134" t="str">
        <f>_xlfn.IFNA(MATCH(BT33,Achievements[[#All],[Column118]],0)+10,"")</f>
        <v/>
      </c>
      <c r="CU33" s="134" t="str">
        <f>_xlfn.IFNA(MATCH(BU33,Achievements[[#All],[Column119]],0)+10,"")</f>
        <v/>
      </c>
      <c r="CV33" s="134" t="str">
        <f>_xlfn.IFNA(MATCH(BV33,Achievements[[#All],[Column119]],0)+10,"")</f>
        <v/>
      </c>
      <c r="CW33" s="134" t="str">
        <f>_xlfn.IFNA(MATCH(BW33,Achievements[[#All],[Column120]],0)+10,"")</f>
        <v/>
      </c>
      <c r="CX33" s="134" t="str">
        <f>_xlfn.IFNA(MATCH(BX33,Achievements[[#All],[Column120]],0)+10,"")</f>
        <v/>
      </c>
      <c r="CY33" s="134" t="str">
        <f>_xlfn.IFNA(MATCH(BY33,Achievements[[#All],[Column121]],0)+10,"")</f>
        <v/>
      </c>
      <c r="CZ33" s="118" t="e">
        <f t="shared" ca="1" si="1"/>
        <v>#NAME?</v>
      </c>
    </row>
    <row r="34" spans="1:104" x14ac:dyDescent="0.25">
      <c r="A34" t="e" cm="1">
        <f t="array" aca="1" ref="A34" ca="1">SplitValues("; ",#REF!)</f>
        <v>#NAME?</v>
      </c>
      <c r="AA34" t="e">
        <f ca="1">_xlfn.IFNA(MATCH(A34,Achievements[[#All],[Column1]],0)+11,"")</f>
        <v>#NAME?</v>
      </c>
      <c r="AB34" s="134" t="str">
        <f>_xlfn.IFNA(MATCH(B34,Achievements[[#All],[Column1]],0)+10,"")</f>
        <v/>
      </c>
      <c r="AC34" s="134" t="str">
        <f>_xlfn.IFNA(MATCH(C34,Achievements[[#All],[Column1]],0)+10,"")</f>
        <v/>
      </c>
      <c r="AD34" s="134" t="str">
        <f>_xlfn.IFNA(MATCH(D34,Achievements[[#All],[Column110]],0)+10,"")</f>
        <v/>
      </c>
      <c r="AE34" s="134" t="str">
        <f>_xlfn.IFNA(MATCH(E34,Achievements[[#All],[Column110]],0)+10,"")</f>
        <v/>
      </c>
      <c r="AF34" s="134" t="str">
        <f>_xlfn.IFNA(MATCH(F34,Achievements[[#All],[Column111]],0)+10,"")</f>
        <v/>
      </c>
      <c r="AG34" s="134" t="str">
        <f>_xlfn.IFNA(MATCH(G34,Achievements[[#All],[Column111]],0)+10,"")</f>
        <v/>
      </c>
      <c r="AH34" s="134" t="str">
        <f>_xlfn.IFNA(MATCH(H34,Achievements[[#All],[Column112]],0)+10,"")</f>
        <v/>
      </c>
      <c r="AI34" s="134" t="str">
        <f>_xlfn.IFNA(MATCH(I34,Achievements[[#All],[Column112]],0)+10,"")</f>
        <v/>
      </c>
      <c r="AJ34" s="134" t="str">
        <f>_xlfn.IFNA(MATCH(J34,Achievements[[#All],[Column113]],0)+10,"")</f>
        <v/>
      </c>
      <c r="AK34" s="134" t="str">
        <f>_xlfn.IFNA(MATCH(K34,Achievements[[#All],[Column113]],0)+10,"")</f>
        <v/>
      </c>
      <c r="AL34" s="134" t="str">
        <f>_xlfn.IFNA(MATCH(L34,Achievements[[#All],[Column114]],0)+10,"")</f>
        <v/>
      </c>
      <c r="AM34" s="134" t="str">
        <f>_xlfn.IFNA(MATCH(M34,Achievements[[#All],[Column114]],0)+10,"")</f>
        <v/>
      </c>
      <c r="AN34" s="134" t="str">
        <f>_xlfn.IFNA(MATCH(N34,Achievements[[#All],[Column115]],0)+10,"")</f>
        <v/>
      </c>
      <c r="AO34" s="134" t="str">
        <f>_xlfn.IFNA(MATCH(O34,Achievements[[#All],[Column115]],0)+10,"")</f>
        <v/>
      </c>
      <c r="AP34" s="134" t="str">
        <f>_xlfn.IFNA(MATCH(P34,Achievements[[#All],[Column116]],0)+10,"")</f>
        <v/>
      </c>
      <c r="AQ34" s="134" t="str">
        <f>_xlfn.IFNA(MATCH(Q34,Achievements[[#All],[Column116]],0)+10,"")</f>
        <v/>
      </c>
      <c r="AR34" s="134" t="str">
        <f>_xlfn.IFNA(MATCH(R34,Achievements[[#All],[Column117]],0)+10,"")</f>
        <v/>
      </c>
      <c r="AS34" s="134" t="str">
        <f>_xlfn.IFNA(MATCH(S34,Achievements[[#All],[Column117]],0)+10,"")</f>
        <v/>
      </c>
      <c r="AT34" s="134" t="str">
        <f>_xlfn.IFNA(MATCH(T34,Achievements[[#All],[Column118]],0)+10,"")</f>
        <v/>
      </c>
      <c r="AU34" s="134" t="str">
        <f>_xlfn.IFNA(MATCH(U34,Achievements[[#All],[Column118]],0)+10,"")</f>
        <v/>
      </c>
      <c r="AV34" s="134" t="str">
        <f>_xlfn.IFNA(MATCH(V34,Achievements[[#All],[Column119]],0)+10,"")</f>
        <v/>
      </c>
      <c r="AW34" s="134" t="str">
        <f>_xlfn.IFNA(MATCH(W34,Achievements[[#All],[Column119]],0)+10,"")</f>
        <v/>
      </c>
      <c r="AX34" s="134" t="str">
        <f>_xlfn.IFNA(MATCH(X34,Achievements[[#All],[Column120]],0)+10,"")</f>
        <v/>
      </c>
      <c r="AY34" s="134" t="str">
        <f>_xlfn.IFNA(MATCH(Y34,Achievements[[#All],[Column120]],0)+10,"")</f>
        <v/>
      </c>
      <c r="AZ34" s="116" t="e">
        <f t="shared" ca="1" si="0"/>
        <v>#NAME?</v>
      </c>
      <c r="BA34" s="134" t="e" cm="1">
        <f t="array" aca="1" ref="BA34" ca="1">SplitValues("; ",Persons[[#This Row],[Column1]])</f>
        <v>#NAME?</v>
      </c>
      <c r="CA34" s="134" t="e">
        <f ca="1">_xlfn.IFNA(MATCH(BA34,Achievements[[#All],[Column1]],0)+10,"")</f>
        <v>#NAME?</v>
      </c>
      <c r="CB34" s="134" t="str">
        <f>_xlfn.IFNA(MATCH(BB34,Achievements[[#All],[Column1]],0)+10,"")</f>
        <v/>
      </c>
      <c r="CC34" s="134" t="str">
        <f>_xlfn.IFNA(MATCH(BC34,Achievements[[#All],[Column110]],0)+10,"")</f>
        <v/>
      </c>
      <c r="CD34" s="134" t="str">
        <f>_xlfn.IFNA(MATCH(BD34,Achievements[[#All],[Column110]],0)+10,"")</f>
        <v/>
      </c>
      <c r="CE34" s="134" t="str">
        <f>_xlfn.IFNA(MATCH(BE34,Achievements[[#All],[Column111]],0)+10,"")</f>
        <v/>
      </c>
      <c r="CF34" s="134" t="str">
        <f>_xlfn.IFNA(MATCH(BF34,Achievements[[#All],[Column111]],0)+10,"")</f>
        <v/>
      </c>
      <c r="CG34" s="134" t="str">
        <f>_xlfn.IFNA(MATCH(BG34,Achievements[[#All],[Column112]],0)+10,"")</f>
        <v/>
      </c>
      <c r="CH34" s="134" t="str">
        <f>_xlfn.IFNA(MATCH(BH34,Achievements[[#All],[Column112]],0)+10,"")</f>
        <v/>
      </c>
      <c r="CI34" s="134" t="str">
        <f>_xlfn.IFNA(MATCH(BI34,Achievements[[#All],[Column113]],0)+10,"")</f>
        <v/>
      </c>
      <c r="CJ34" s="134" t="str">
        <f>_xlfn.IFNA(MATCH(BJ34,Achievements[[#All],[Column113]],0)+10,"")</f>
        <v/>
      </c>
      <c r="CK34" s="134" t="str">
        <f>_xlfn.IFNA(MATCH(BK34,Achievements[[#All],[Column114]],0)+10,"")</f>
        <v/>
      </c>
      <c r="CL34" s="134" t="str">
        <f>_xlfn.IFNA(MATCH(BL34,Achievements[[#All],[Column114]],0)+10,"")</f>
        <v/>
      </c>
      <c r="CM34" s="134" t="str">
        <f>_xlfn.IFNA(MATCH(BM34,Achievements[[#All],[Column115]],0)+10,"")</f>
        <v/>
      </c>
      <c r="CN34" s="134" t="str">
        <f>_xlfn.IFNA(MATCH(BN34,Achievements[[#All],[Column115]],0)+10,"")</f>
        <v/>
      </c>
      <c r="CO34" s="134" t="str">
        <f>_xlfn.IFNA(MATCH(BO34,Achievements[[#All],[Column116]],0)+10,"")</f>
        <v/>
      </c>
      <c r="CP34" s="134" t="str">
        <f>_xlfn.IFNA(MATCH(BP34,Achievements[[#All],[Column116]],0)+10,"")</f>
        <v/>
      </c>
      <c r="CQ34" s="134" t="str">
        <f>_xlfn.IFNA(MATCH(BQ34,Achievements[[#All],[Column117]],0)+10,"")</f>
        <v/>
      </c>
      <c r="CR34" s="134" t="str">
        <f>_xlfn.IFNA(MATCH(BR34,Achievements[[#All],[Column117]],0)+10,"")</f>
        <v/>
      </c>
      <c r="CS34" s="134" t="str">
        <f>_xlfn.IFNA(MATCH(BS34,Achievements[[#All],[Column118]],0)+10,"")</f>
        <v/>
      </c>
      <c r="CT34" s="134" t="str">
        <f>_xlfn.IFNA(MATCH(BT34,Achievements[[#All],[Column118]],0)+10,"")</f>
        <v/>
      </c>
      <c r="CU34" s="134" t="str">
        <f>_xlfn.IFNA(MATCH(BU34,Achievements[[#All],[Column119]],0)+10,"")</f>
        <v/>
      </c>
      <c r="CV34" s="134" t="str">
        <f>_xlfn.IFNA(MATCH(BV34,Achievements[[#All],[Column119]],0)+10,"")</f>
        <v/>
      </c>
      <c r="CW34" s="134" t="str">
        <f>_xlfn.IFNA(MATCH(BW34,Achievements[[#All],[Column120]],0)+10,"")</f>
        <v/>
      </c>
      <c r="CX34" s="134" t="str">
        <f>_xlfn.IFNA(MATCH(BX34,Achievements[[#All],[Column120]],0)+10,"")</f>
        <v/>
      </c>
      <c r="CY34" s="134" t="str">
        <f>_xlfn.IFNA(MATCH(BY34,Achievements[[#All],[Column121]],0)+10,"")</f>
        <v/>
      </c>
      <c r="CZ34" s="118" t="e">
        <f t="shared" ca="1" si="1"/>
        <v>#NAME?</v>
      </c>
    </row>
    <row r="35" spans="1:104" x14ac:dyDescent="0.25">
      <c r="A35" t="e" cm="1">
        <f t="array" aca="1" ref="A35" ca="1">SplitValues("; ",#REF!)</f>
        <v>#NAME?</v>
      </c>
      <c r="AA35" t="e">
        <f ca="1">_xlfn.IFNA(MATCH(A35,Achievements[[#All],[Column1]],0)+11,"")</f>
        <v>#NAME?</v>
      </c>
      <c r="AB35" s="134" t="str">
        <f>_xlfn.IFNA(MATCH(B35,Achievements[[#All],[Column1]],0)+10,"")</f>
        <v/>
      </c>
      <c r="AC35" s="134" t="str">
        <f>_xlfn.IFNA(MATCH(C35,Achievements[[#All],[Column1]],0)+10,"")</f>
        <v/>
      </c>
      <c r="AD35" s="134" t="str">
        <f>_xlfn.IFNA(MATCH(D35,Achievements[[#All],[Column110]],0)+10,"")</f>
        <v/>
      </c>
      <c r="AE35" s="134" t="str">
        <f>_xlfn.IFNA(MATCH(E35,Achievements[[#All],[Column110]],0)+10,"")</f>
        <v/>
      </c>
      <c r="AF35" s="134" t="str">
        <f>_xlfn.IFNA(MATCH(F35,Achievements[[#All],[Column111]],0)+10,"")</f>
        <v/>
      </c>
      <c r="AG35" s="134" t="str">
        <f>_xlfn.IFNA(MATCH(G35,Achievements[[#All],[Column111]],0)+10,"")</f>
        <v/>
      </c>
      <c r="AH35" s="134" t="str">
        <f>_xlfn.IFNA(MATCH(H35,Achievements[[#All],[Column112]],0)+10,"")</f>
        <v/>
      </c>
      <c r="AI35" s="134" t="str">
        <f>_xlfn.IFNA(MATCH(I35,Achievements[[#All],[Column112]],0)+10,"")</f>
        <v/>
      </c>
      <c r="AJ35" s="134" t="str">
        <f>_xlfn.IFNA(MATCH(J35,Achievements[[#All],[Column113]],0)+10,"")</f>
        <v/>
      </c>
      <c r="AK35" s="134" t="str">
        <f>_xlfn.IFNA(MATCH(K35,Achievements[[#All],[Column113]],0)+10,"")</f>
        <v/>
      </c>
      <c r="AL35" s="134" t="str">
        <f>_xlfn.IFNA(MATCH(L35,Achievements[[#All],[Column114]],0)+10,"")</f>
        <v/>
      </c>
      <c r="AM35" s="134" t="str">
        <f>_xlfn.IFNA(MATCH(M35,Achievements[[#All],[Column114]],0)+10,"")</f>
        <v/>
      </c>
      <c r="AN35" s="134" t="str">
        <f>_xlfn.IFNA(MATCH(N35,Achievements[[#All],[Column115]],0)+10,"")</f>
        <v/>
      </c>
      <c r="AO35" s="134" t="str">
        <f>_xlfn.IFNA(MATCH(O35,Achievements[[#All],[Column115]],0)+10,"")</f>
        <v/>
      </c>
      <c r="AP35" s="134" t="str">
        <f>_xlfn.IFNA(MATCH(P35,Achievements[[#All],[Column116]],0)+10,"")</f>
        <v/>
      </c>
      <c r="AQ35" s="134" t="str">
        <f>_xlfn.IFNA(MATCH(Q35,Achievements[[#All],[Column116]],0)+10,"")</f>
        <v/>
      </c>
      <c r="AR35" s="134" t="str">
        <f>_xlfn.IFNA(MATCH(R35,Achievements[[#All],[Column117]],0)+10,"")</f>
        <v/>
      </c>
      <c r="AS35" s="134" t="str">
        <f>_xlfn.IFNA(MATCH(S35,Achievements[[#All],[Column117]],0)+10,"")</f>
        <v/>
      </c>
      <c r="AT35" s="134" t="str">
        <f>_xlfn.IFNA(MATCH(T35,Achievements[[#All],[Column118]],0)+10,"")</f>
        <v/>
      </c>
      <c r="AU35" s="134" t="str">
        <f>_xlfn.IFNA(MATCH(U35,Achievements[[#All],[Column118]],0)+10,"")</f>
        <v/>
      </c>
      <c r="AV35" s="134" t="str">
        <f>_xlfn.IFNA(MATCH(V35,Achievements[[#All],[Column119]],0)+10,"")</f>
        <v/>
      </c>
      <c r="AW35" s="134" t="str">
        <f>_xlfn.IFNA(MATCH(W35,Achievements[[#All],[Column119]],0)+10,"")</f>
        <v/>
      </c>
      <c r="AX35" s="134" t="str">
        <f>_xlfn.IFNA(MATCH(X35,Achievements[[#All],[Column120]],0)+10,"")</f>
        <v/>
      </c>
      <c r="AY35" s="134" t="str">
        <f>_xlfn.IFNA(MATCH(Y35,Achievements[[#All],[Column120]],0)+10,"")</f>
        <v/>
      </c>
      <c r="AZ35" s="116" t="e">
        <f t="shared" ca="1" si="0"/>
        <v>#NAME?</v>
      </c>
      <c r="BA35" s="134" t="e" cm="1">
        <f t="array" aca="1" ref="BA35" ca="1">SplitValues("; ",Persons[[#This Row],[Column1]])</f>
        <v>#NAME?</v>
      </c>
      <c r="CA35" s="134" t="e">
        <f ca="1">_xlfn.IFNA(MATCH(BA35,Achievements[[#All],[Column1]],0)+10,"")</f>
        <v>#NAME?</v>
      </c>
      <c r="CB35" s="134" t="str">
        <f>_xlfn.IFNA(MATCH(BB35,Achievements[[#All],[Column1]],0)+10,"")</f>
        <v/>
      </c>
      <c r="CC35" s="134" t="str">
        <f>_xlfn.IFNA(MATCH(BC35,Achievements[[#All],[Column110]],0)+10,"")</f>
        <v/>
      </c>
      <c r="CD35" s="134" t="str">
        <f>_xlfn.IFNA(MATCH(BD35,Achievements[[#All],[Column110]],0)+10,"")</f>
        <v/>
      </c>
      <c r="CE35" s="134" t="str">
        <f>_xlfn.IFNA(MATCH(BE35,Achievements[[#All],[Column111]],0)+10,"")</f>
        <v/>
      </c>
      <c r="CF35" s="134" t="str">
        <f>_xlfn.IFNA(MATCH(BF35,Achievements[[#All],[Column111]],0)+10,"")</f>
        <v/>
      </c>
      <c r="CG35" s="134" t="str">
        <f>_xlfn.IFNA(MATCH(BG35,Achievements[[#All],[Column112]],0)+10,"")</f>
        <v/>
      </c>
      <c r="CH35" s="134" t="str">
        <f>_xlfn.IFNA(MATCH(BH35,Achievements[[#All],[Column112]],0)+10,"")</f>
        <v/>
      </c>
      <c r="CI35" s="134" t="str">
        <f>_xlfn.IFNA(MATCH(BI35,Achievements[[#All],[Column113]],0)+10,"")</f>
        <v/>
      </c>
      <c r="CJ35" s="134" t="str">
        <f>_xlfn.IFNA(MATCH(BJ35,Achievements[[#All],[Column113]],0)+10,"")</f>
        <v/>
      </c>
      <c r="CK35" s="134" t="str">
        <f>_xlfn.IFNA(MATCH(BK35,Achievements[[#All],[Column114]],0)+10,"")</f>
        <v/>
      </c>
      <c r="CL35" s="134" t="str">
        <f>_xlfn.IFNA(MATCH(BL35,Achievements[[#All],[Column114]],0)+10,"")</f>
        <v/>
      </c>
      <c r="CM35" s="134" t="str">
        <f>_xlfn.IFNA(MATCH(BM35,Achievements[[#All],[Column115]],0)+10,"")</f>
        <v/>
      </c>
      <c r="CN35" s="134" t="str">
        <f>_xlfn.IFNA(MATCH(BN35,Achievements[[#All],[Column115]],0)+10,"")</f>
        <v/>
      </c>
      <c r="CO35" s="134" t="str">
        <f>_xlfn.IFNA(MATCH(BO35,Achievements[[#All],[Column116]],0)+10,"")</f>
        <v/>
      </c>
      <c r="CP35" s="134" t="str">
        <f>_xlfn.IFNA(MATCH(BP35,Achievements[[#All],[Column116]],0)+10,"")</f>
        <v/>
      </c>
      <c r="CQ35" s="134" t="str">
        <f>_xlfn.IFNA(MATCH(BQ35,Achievements[[#All],[Column117]],0)+10,"")</f>
        <v/>
      </c>
      <c r="CR35" s="134" t="str">
        <f>_xlfn.IFNA(MATCH(BR35,Achievements[[#All],[Column117]],0)+10,"")</f>
        <v/>
      </c>
      <c r="CS35" s="134" t="str">
        <f>_xlfn.IFNA(MATCH(BS35,Achievements[[#All],[Column118]],0)+10,"")</f>
        <v/>
      </c>
      <c r="CT35" s="134" t="str">
        <f>_xlfn.IFNA(MATCH(BT35,Achievements[[#All],[Column118]],0)+10,"")</f>
        <v/>
      </c>
      <c r="CU35" s="134" t="str">
        <f>_xlfn.IFNA(MATCH(BU35,Achievements[[#All],[Column119]],0)+10,"")</f>
        <v/>
      </c>
      <c r="CV35" s="134" t="str">
        <f>_xlfn.IFNA(MATCH(BV35,Achievements[[#All],[Column119]],0)+10,"")</f>
        <v/>
      </c>
      <c r="CW35" s="134" t="str">
        <f>_xlfn.IFNA(MATCH(BW35,Achievements[[#All],[Column120]],0)+10,"")</f>
        <v/>
      </c>
      <c r="CX35" s="134" t="str">
        <f>_xlfn.IFNA(MATCH(BX35,Achievements[[#All],[Column120]],0)+10,"")</f>
        <v/>
      </c>
      <c r="CY35" s="134" t="str">
        <f>_xlfn.IFNA(MATCH(BY35,Achievements[[#All],[Column121]],0)+10,"")</f>
        <v/>
      </c>
      <c r="CZ35" s="118" t="e">
        <f t="shared" ca="1" si="1"/>
        <v>#NAME?</v>
      </c>
    </row>
    <row r="36" spans="1:104" x14ac:dyDescent="0.25">
      <c r="A36" t="e" cm="1">
        <f t="array" aca="1" ref="A36" ca="1">SplitValues("; ",#REF!)</f>
        <v>#NAME?</v>
      </c>
      <c r="AA36" t="e">
        <f ca="1">_xlfn.IFNA(MATCH(A36,Achievements[[#All],[Column1]],0)+11,"")</f>
        <v>#NAME?</v>
      </c>
      <c r="AB36" s="134" t="str">
        <f>_xlfn.IFNA(MATCH(B36,Achievements[[#All],[Column1]],0)+10,"")</f>
        <v/>
      </c>
      <c r="AC36" s="134" t="str">
        <f>_xlfn.IFNA(MATCH(C36,Achievements[[#All],[Column1]],0)+10,"")</f>
        <v/>
      </c>
      <c r="AD36" s="134" t="str">
        <f>_xlfn.IFNA(MATCH(D36,Achievements[[#All],[Column110]],0)+10,"")</f>
        <v/>
      </c>
      <c r="AE36" s="134" t="str">
        <f>_xlfn.IFNA(MATCH(E36,Achievements[[#All],[Column110]],0)+10,"")</f>
        <v/>
      </c>
      <c r="AF36" s="134" t="str">
        <f>_xlfn.IFNA(MATCH(F36,Achievements[[#All],[Column111]],0)+10,"")</f>
        <v/>
      </c>
      <c r="AG36" s="134" t="str">
        <f>_xlfn.IFNA(MATCH(G36,Achievements[[#All],[Column111]],0)+10,"")</f>
        <v/>
      </c>
      <c r="AH36" s="134" t="str">
        <f>_xlfn.IFNA(MATCH(H36,Achievements[[#All],[Column112]],0)+10,"")</f>
        <v/>
      </c>
      <c r="AI36" s="134" t="str">
        <f>_xlfn.IFNA(MATCH(I36,Achievements[[#All],[Column112]],0)+10,"")</f>
        <v/>
      </c>
      <c r="AJ36" s="134" t="str">
        <f>_xlfn.IFNA(MATCH(J36,Achievements[[#All],[Column113]],0)+10,"")</f>
        <v/>
      </c>
      <c r="AK36" s="134" t="str">
        <f>_xlfn.IFNA(MATCH(K36,Achievements[[#All],[Column113]],0)+10,"")</f>
        <v/>
      </c>
      <c r="AL36" s="134" t="str">
        <f>_xlfn.IFNA(MATCH(L36,Achievements[[#All],[Column114]],0)+10,"")</f>
        <v/>
      </c>
      <c r="AM36" s="134" t="str">
        <f>_xlfn.IFNA(MATCH(M36,Achievements[[#All],[Column114]],0)+10,"")</f>
        <v/>
      </c>
      <c r="AN36" s="134" t="str">
        <f>_xlfn.IFNA(MATCH(N36,Achievements[[#All],[Column115]],0)+10,"")</f>
        <v/>
      </c>
      <c r="AO36" s="134" t="str">
        <f>_xlfn.IFNA(MATCH(O36,Achievements[[#All],[Column115]],0)+10,"")</f>
        <v/>
      </c>
      <c r="AP36" s="134" t="str">
        <f>_xlfn.IFNA(MATCH(P36,Achievements[[#All],[Column116]],0)+10,"")</f>
        <v/>
      </c>
      <c r="AQ36" s="134" t="str">
        <f>_xlfn.IFNA(MATCH(Q36,Achievements[[#All],[Column116]],0)+10,"")</f>
        <v/>
      </c>
      <c r="AR36" s="134" t="str">
        <f>_xlfn.IFNA(MATCH(R36,Achievements[[#All],[Column117]],0)+10,"")</f>
        <v/>
      </c>
      <c r="AS36" s="134" t="str">
        <f>_xlfn.IFNA(MATCH(S36,Achievements[[#All],[Column117]],0)+10,"")</f>
        <v/>
      </c>
      <c r="AT36" s="134" t="str">
        <f>_xlfn.IFNA(MATCH(T36,Achievements[[#All],[Column118]],0)+10,"")</f>
        <v/>
      </c>
      <c r="AU36" s="134" t="str">
        <f>_xlfn.IFNA(MATCH(U36,Achievements[[#All],[Column118]],0)+10,"")</f>
        <v/>
      </c>
      <c r="AV36" s="134" t="str">
        <f>_xlfn.IFNA(MATCH(V36,Achievements[[#All],[Column119]],0)+10,"")</f>
        <v/>
      </c>
      <c r="AW36" s="134" t="str">
        <f>_xlfn.IFNA(MATCH(W36,Achievements[[#All],[Column119]],0)+10,"")</f>
        <v/>
      </c>
      <c r="AX36" s="134" t="str">
        <f>_xlfn.IFNA(MATCH(X36,Achievements[[#All],[Column120]],0)+10,"")</f>
        <v/>
      </c>
      <c r="AY36" s="134" t="str">
        <f>_xlfn.IFNA(MATCH(Y36,Achievements[[#All],[Column120]],0)+10,"")</f>
        <v/>
      </c>
      <c r="AZ36" s="116" t="e">
        <f t="shared" ca="1" si="0"/>
        <v>#NAME?</v>
      </c>
      <c r="BA36" s="134" t="e" cm="1">
        <f t="array" aca="1" ref="BA36" ca="1">SplitValues("; ",Persons[[#This Row],[Column1]])</f>
        <v>#NAME?</v>
      </c>
      <c r="CA36" s="134" t="e">
        <f ca="1">_xlfn.IFNA(MATCH(BA36,Achievements[[#All],[Column1]],0)+10,"")</f>
        <v>#NAME?</v>
      </c>
      <c r="CB36" s="134" t="str">
        <f>_xlfn.IFNA(MATCH(BB36,Achievements[[#All],[Column1]],0)+10,"")</f>
        <v/>
      </c>
      <c r="CC36" s="134" t="str">
        <f>_xlfn.IFNA(MATCH(BC36,Achievements[[#All],[Column110]],0)+10,"")</f>
        <v/>
      </c>
      <c r="CD36" s="134" t="str">
        <f>_xlfn.IFNA(MATCH(BD36,Achievements[[#All],[Column110]],0)+10,"")</f>
        <v/>
      </c>
      <c r="CE36" s="134" t="str">
        <f>_xlfn.IFNA(MATCH(BE36,Achievements[[#All],[Column111]],0)+10,"")</f>
        <v/>
      </c>
      <c r="CF36" s="134" t="str">
        <f>_xlfn.IFNA(MATCH(BF36,Achievements[[#All],[Column111]],0)+10,"")</f>
        <v/>
      </c>
      <c r="CG36" s="134" t="str">
        <f>_xlfn.IFNA(MATCH(BG36,Achievements[[#All],[Column112]],0)+10,"")</f>
        <v/>
      </c>
      <c r="CH36" s="134" t="str">
        <f>_xlfn.IFNA(MATCH(BH36,Achievements[[#All],[Column112]],0)+10,"")</f>
        <v/>
      </c>
      <c r="CI36" s="134" t="str">
        <f>_xlfn.IFNA(MATCH(BI36,Achievements[[#All],[Column113]],0)+10,"")</f>
        <v/>
      </c>
      <c r="CJ36" s="134" t="str">
        <f>_xlfn.IFNA(MATCH(BJ36,Achievements[[#All],[Column113]],0)+10,"")</f>
        <v/>
      </c>
      <c r="CK36" s="134" t="str">
        <f>_xlfn.IFNA(MATCH(BK36,Achievements[[#All],[Column114]],0)+10,"")</f>
        <v/>
      </c>
      <c r="CL36" s="134" t="str">
        <f>_xlfn.IFNA(MATCH(BL36,Achievements[[#All],[Column114]],0)+10,"")</f>
        <v/>
      </c>
      <c r="CM36" s="134" t="str">
        <f>_xlfn.IFNA(MATCH(BM36,Achievements[[#All],[Column115]],0)+10,"")</f>
        <v/>
      </c>
      <c r="CN36" s="134" t="str">
        <f>_xlfn.IFNA(MATCH(BN36,Achievements[[#All],[Column115]],0)+10,"")</f>
        <v/>
      </c>
      <c r="CO36" s="134" t="str">
        <f>_xlfn.IFNA(MATCH(BO36,Achievements[[#All],[Column116]],0)+10,"")</f>
        <v/>
      </c>
      <c r="CP36" s="134" t="str">
        <f>_xlfn.IFNA(MATCH(BP36,Achievements[[#All],[Column116]],0)+10,"")</f>
        <v/>
      </c>
      <c r="CQ36" s="134" t="str">
        <f>_xlfn.IFNA(MATCH(BQ36,Achievements[[#All],[Column117]],0)+10,"")</f>
        <v/>
      </c>
      <c r="CR36" s="134" t="str">
        <f>_xlfn.IFNA(MATCH(BR36,Achievements[[#All],[Column117]],0)+10,"")</f>
        <v/>
      </c>
      <c r="CS36" s="134" t="str">
        <f>_xlfn.IFNA(MATCH(BS36,Achievements[[#All],[Column118]],0)+10,"")</f>
        <v/>
      </c>
      <c r="CT36" s="134" t="str">
        <f>_xlfn.IFNA(MATCH(BT36,Achievements[[#All],[Column118]],0)+10,"")</f>
        <v/>
      </c>
      <c r="CU36" s="134" t="str">
        <f>_xlfn.IFNA(MATCH(BU36,Achievements[[#All],[Column119]],0)+10,"")</f>
        <v/>
      </c>
      <c r="CV36" s="134" t="str">
        <f>_xlfn.IFNA(MATCH(BV36,Achievements[[#All],[Column119]],0)+10,"")</f>
        <v/>
      </c>
      <c r="CW36" s="134" t="str">
        <f>_xlfn.IFNA(MATCH(BW36,Achievements[[#All],[Column120]],0)+10,"")</f>
        <v/>
      </c>
      <c r="CX36" s="134" t="str">
        <f>_xlfn.IFNA(MATCH(BX36,Achievements[[#All],[Column120]],0)+10,"")</f>
        <v/>
      </c>
      <c r="CY36" s="134" t="str">
        <f>_xlfn.IFNA(MATCH(BY36,Achievements[[#All],[Column121]],0)+10,"")</f>
        <v/>
      </c>
      <c r="CZ36" s="118" t="e">
        <f t="shared" ca="1" si="1"/>
        <v>#NAME?</v>
      </c>
    </row>
    <row r="37" spans="1:104" x14ac:dyDescent="0.25">
      <c r="A37" t="e" cm="1">
        <f t="array" aca="1" ref="A37" ca="1">SplitValues("; ",#REF!)</f>
        <v>#NAME?</v>
      </c>
      <c r="AA37" t="e">
        <f ca="1">_xlfn.IFNA(MATCH(A37,Achievements[[#All],[Column1]],0)+11,"")</f>
        <v>#NAME?</v>
      </c>
      <c r="AB37" s="134" t="str">
        <f>_xlfn.IFNA(MATCH(B37,Achievements[[#All],[Column1]],0)+10,"")</f>
        <v/>
      </c>
      <c r="AC37" s="134" t="str">
        <f>_xlfn.IFNA(MATCH(C37,Achievements[[#All],[Column1]],0)+10,"")</f>
        <v/>
      </c>
      <c r="AD37" s="134" t="str">
        <f>_xlfn.IFNA(MATCH(D37,Achievements[[#All],[Column110]],0)+10,"")</f>
        <v/>
      </c>
      <c r="AE37" s="134" t="str">
        <f>_xlfn.IFNA(MATCH(E37,Achievements[[#All],[Column110]],0)+10,"")</f>
        <v/>
      </c>
      <c r="AF37" s="134" t="str">
        <f>_xlfn.IFNA(MATCH(F37,Achievements[[#All],[Column111]],0)+10,"")</f>
        <v/>
      </c>
      <c r="AG37" s="134" t="str">
        <f>_xlfn.IFNA(MATCH(G37,Achievements[[#All],[Column111]],0)+10,"")</f>
        <v/>
      </c>
      <c r="AH37" s="134" t="str">
        <f>_xlfn.IFNA(MATCH(H37,Achievements[[#All],[Column112]],0)+10,"")</f>
        <v/>
      </c>
      <c r="AI37" s="134" t="str">
        <f>_xlfn.IFNA(MATCH(I37,Achievements[[#All],[Column112]],0)+10,"")</f>
        <v/>
      </c>
      <c r="AJ37" s="134" t="str">
        <f>_xlfn.IFNA(MATCH(J37,Achievements[[#All],[Column113]],0)+10,"")</f>
        <v/>
      </c>
      <c r="AK37" s="134" t="str">
        <f>_xlfn.IFNA(MATCH(K37,Achievements[[#All],[Column113]],0)+10,"")</f>
        <v/>
      </c>
      <c r="AL37" s="134" t="str">
        <f>_xlfn.IFNA(MATCH(L37,Achievements[[#All],[Column114]],0)+10,"")</f>
        <v/>
      </c>
      <c r="AM37" s="134" t="str">
        <f>_xlfn.IFNA(MATCH(M37,Achievements[[#All],[Column114]],0)+10,"")</f>
        <v/>
      </c>
      <c r="AN37" s="134" t="str">
        <f>_xlfn.IFNA(MATCH(N37,Achievements[[#All],[Column115]],0)+10,"")</f>
        <v/>
      </c>
      <c r="AO37" s="134" t="str">
        <f>_xlfn.IFNA(MATCH(O37,Achievements[[#All],[Column115]],0)+10,"")</f>
        <v/>
      </c>
      <c r="AP37" s="134" t="str">
        <f>_xlfn.IFNA(MATCH(P37,Achievements[[#All],[Column116]],0)+10,"")</f>
        <v/>
      </c>
      <c r="AQ37" s="134" t="str">
        <f>_xlfn.IFNA(MATCH(Q37,Achievements[[#All],[Column116]],0)+10,"")</f>
        <v/>
      </c>
      <c r="AR37" s="134" t="str">
        <f>_xlfn.IFNA(MATCH(R37,Achievements[[#All],[Column117]],0)+10,"")</f>
        <v/>
      </c>
      <c r="AS37" s="134" t="str">
        <f>_xlfn.IFNA(MATCH(S37,Achievements[[#All],[Column117]],0)+10,"")</f>
        <v/>
      </c>
      <c r="AT37" s="134" t="str">
        <f>_xlfn.IFNA(MATCH(T37,Achievements[[#All],[Column118]],0)+10,"")</f>
        <v/>
      </c>
      <c r="AU37" s="134" t="str">
        <f>_xlfn.IFNA(MATCH(U37,Achievements[[#All],[Column118]],0)+10,"")</f>
        <v/>
      </c>
      <c r="AV37" s="134" t="str">
        <f>_xlfn.IFNA(MATCH(V37,Achievements[[#All],[Column119]],0)+10,"")</f>
        <v/>
      </c>
      <c r="AW37" s="134" t="str">
        <f>_xlfn.IFNA(MATCH(W37,Achievements[[#All],[Column119]],0)+10,"")</f>
        <v/>
      </c>
      <c r="AX37" s="134" t="str">
        <f>_xlfn.IFNA(MATCH(X37,Achievements[[#All],[Column120]],0)+10,"")</f>
        <v/>
      </c>
      <c r="AY37" s="134" t="str">
        <f>_xlfn.IFNA(MATCH(Y37,Achievements[[#All],[Column120]],0)+10,"")</f>
        <v/>
      </c>
      <c r="AZ37" s="116" t="e">
        <f t="shared" ca="1" si="0"/>
        <v>#NAME?</v>
      </c>
      <c r="BA37" s="134" t="e" cm="1">
        <f t="array" aca="1" ref="BA37" ca="1">SplitValues("; ",Persons[[#This Row],[Column1]])</f>
        <v>#NAME?</v>
      </c>
      <c r="CA37" s="134" t="e">
        <f ca="1">_xlfn.IFNA(MATCH(BA37,Achievements[[#All],[Column1]],0)+10,"")</f>
        <v>#NAME?</v>
      </c>
      <c r="CB37" s="134" t="str">
        <f>_xlfn.IFNA(MATCH(BB37,Achievements[[#All],[Column1]],0)+10,"")</f>
        <v/>
      </c>
      <c r="CC37" s="134" t="str">
        <f>_xlfn.IFNA(MATCH(BC37,Achievements[[#All],[Column110]],0)+10,"")</f>
        <v/>
      </c>
      <c r="CD37" s="134" t="str">
        <f>_xlfn.IFNA(MATCH(BD37,Achievements[[#All],[Column110]],0)+10,"")</f>
        <v/>
      </c>
      <c r="CE37" s="134" t="str">
        <f>_xlfn.IFNA(MATCH(BE37,Achievements[[#All],[Column111]],0)+10,"")</f>
        <v/>
      </c>
      <c r="CF37" s="134" t="str">
        <f>_xlfn.IFNA(MATCH(BF37,Achievements[[#All],[Column111]],0)+10,"")</f>
        <v/>
      </c>
      <c r="CG37" s="134" t="str">
        <f>_xlfn.IFNA(MATCH(BG37,Achievements[[#All],[Column112]],0)+10,"")</f>
        <v/>
      </c>
      <c r="CH37" s="134" t="str">
        <f>_xlfn.IFNA(MATCH(BH37,Achievements[[#All],[Column112]],0)+10,"")</f>
        <v/>
      </c>
      <c r="CI37" s="134" t="str">
        <f>_xlfn.IFNA(MATCH(BI37,Achievements[[#All],[Column113]],0)+10,"")</f>
        <v/>
      </c>
      <c r="CJ37" s="134" t="str">
        <f>_xlfn.IFNA(MATCH(BJ37,Achievements[[#All],[Column113]],0)+10,"")</f>
        <v/>
      </c>
      <c r="CK37" s="134" t="str">
        <f>_xlfn.IFNA(MATCH(BK37,Achievements[[#All],[Column114]],0)+10,"")</f>
        <v/>
      </c>
      <c r="CL37" s="134" t="str">
        <f>_xlfn.IFNA(MATCH(BL37,Achievements[[#All],[Column114]],0)+10,"")</f>
        <v/>
      </c>
      <c r="CM37" s="134" t="str">
        <f>_xlfn.IFNA(MATCH(BM37,Achievements[[#All],[Column115]],0)+10,"")</f>
        <v/>
      </c>
      <c r="CN37" s="134" t="str">
        <f>_xlfn.IFNA(MATCH(BN37,Achievements[[#All],[Column115]],0)+10,"")</f>
        <v/>
      </c>
      <c r="CO37" s="134" t="str">
        <f>_xlfn.IFNA(MATCH(BO37,Achievements[[#All],[Column116]],0)+10,"")</f>
        <v/>
      </c>
      <c r="CP37" s="134" t="str">
        <f>_xlfn.IFNA(MATCH(BP37,Achievements[[#All],[Column116]],0)+10,"")</f>
        <v/>
      </c>
      <c r="CQ37" s="134" t="str">
        <f>_xlfn.IFNA(MATCH(BQ37,Achievements[[#All],[Column117]],0)+10,"")</f>
        <v/>
      </c>
      <c r="CR37" s="134" t="str">
        <f>_xlfn.IFNA(MATCH(BR37,Achievements[[#All],[Column117]],0)+10,"")</f>
        <v/>
      </c>
      <c r="CS37" s="134" t="str">
        <f>_xlfn.IFNA(MATCH(BS37,Achievements[[#All],[Column118]],0)+10,"")</f>
        <v/>
      </c>
      <c r="CT37" s="134" t="str">
        <f>_xlfn.IFNA(MATCH(BT37,Achievements[[#All],[Column118]],0)+10,"")</f>
        <v/>
      </c>
      <c r="CU37" s="134" t="str">
        <f>_xlfn.IFNA(MATCH(BU37,Achievements[[#All],[Column119]],0)+10,"")</f>
        <v/>
      </c>
      <c r="CV37" s="134" t="str">
        <f>_xlfn.IFNA(MATCH(BV37,Achievements[[#All],[Column119]],0)+10,"")</f>
        <v/>
      </c>
      <c r="CW37" s="134" t="str">
        <f>_xlfn.IFNA(MATCH(BW37,Achievements[[#All],[Column120]],0)+10,"")</f>
        <v/>
      </c>
      <c r="CX37" s="134" t="str">
        <f>_xlfn.IFNA(MATCH(BX37,Achievements[[#All],[Column120]],0)+10,"")</f>
        <v/>
      </c>
      <c r="CY37" s="134" t="str">
        <f>_xlfn.IFNA(MATCH(BY37,Achievements[[#All],[Column121]],0)+10,"")</f>
        <v/>
      </c>
      <c r="CZ37" s="118" t="e">
        <f t="shared" ca="1" si="1"/>
        <v>#NAME?</v>
      </c>
    </row>
    <row r="38" spans="1:104" x14ac:dyDescent="0.25">
      <c r="A38" t="e" cm="1">
        <f t="array" aca="1" ref="A38" ca="1">SplitValues("; ",#REF!)</f>
        <v>#NAME?</v>
      </c>
      <c r="AA38" t="e">
        <f ca="1">_xlfn.IFNA(MATCH(A38,Achievements[[#All],[Column1]],0)+11,"")</f>
        <v>#NAME?</v>
      </c>
      <c r="AB38" s="134" t="str">
        <f>_xlfn.IFNA(MATCH(B38,Achievements[[#All],[Column1]],0)+10,"")</f>
        <v/>
      </c>
      <c r="AC38" s="134" t="str">
        <f>_xlfn.IFNA(MATCH(C38,Achievements[[#All],[Column1]],0)+10,"")</f>
        <v/>
      </c>
      <c r="AD38" s="134" t="str">
        <f>_xlfn.IFNA(MATCH(D38,Achievements[[#All],[Column110]],0)+10,"")</f>
        <v/>
      </c>
      <c r="AE38" s="134" t="str">
        <f>_xlfn.IFNA(MATCH(E38,Achievements[[#All],[Column110]],0)+10,"")</f>
        <v/>
      </c>
      <c r="AF38" s="134" t="str">
        <f>_xlfn.IFNA(MATCH(F38,Achievements[[#All],[Column111]],0)+10,"")</f>
        <v/>
      </c>
      <c r="AG38" s="134" t="str">
        <f>_xlfn.IFNA(MATCH(G38,Achievements[[#All],[Column111]],0)+10,"")</f>
        <v/>
      </c>
      <c r="AH38" s="134" t="str">
        <f>_xlfn.IFNA(MATCH(H38,Achievements[[#All],[Column112]],0)+10,"")</f>
        <v/>
      </c>
      <c r="AI38" s="134" t="str">
        <f>_xlfn.IFNA(MATCH(I38,Achievements[[#All],[Column112]],0)+10,"")</f>
        <v/>
      </c>
      <c r="AJ38" s="134" t="str">
        <f>_xlfn.IFNA(MATCH(J38,Achievements[[#All],[Column113]],0)+10,"")</f>
        <v/>
      </c>
      <c r="AK38" s="134" t="str">
        <f>_xlfn.IFNA(MATCH(K38,Achievements[[#All],[Column113]],0)+10,"")</f>
        <v/>
      </c>
      <c r="AL38" s="134" t="str">
        <f>_xlfn.IFNA(MATCH(L38,Achievements[[#All],[Column114]],0)+10,"")</f>
        <v/>
      </c>
      <c r="AM38" s="134" t="str">
        <f>_xlfn.IFNA(MATCH(M38,Achievements[[#All],[Column114]],0)+10,"")</f>
        <v/>
      </c>
      <c r="AN38" s="134" t="str">
        <f>_xlfn.IFNA(MATCH(N38,Achievements[[#All],[Column115]],0)+10,"")</f>
        <v/>
      </c>
      <c r="AO38" s="134" t="str">
        <f>_xlfn.IFNA(MATCH(O38,Achievements[[#All],[Column115]],0)+10,"")</f>
        <v/>
      </c>
      <c r="AP38" s="134" t="str">
        <f>_xlfn.IFNA(MATCH(P38,Achievements[[#All],[Column116]],0)+10,"")</f>
        <v/>
      </c>
      <c r="AQ38" s="134" t="str">
        <f>_xlfn.IFNA(MATCH(Q38,Achievements[[#All],[Column116]],0)+10,"")</f>
        <v/>
      </c>
      <c r="AR38" s="134" t="str">
        <f>_xlfn.IFNA(MATCH(R38,Achievements[[#All],[Column117]],0)+10,"")</f>
        <v/>
      </c>
      <c r="AS38" s="134" t="str">
        <f>_xlfn.IFNA(MATCH(S38,Achievements[[#All],[Column117]],0)+10,"")</f>
        <v/>
      </c>
      <c r="AT38" s="134" t="str">
        <f>_xlfn.IFNA(MATCH(T38,Achievements[[#All],[Column118]],0)+10,"")</f>
        <v/>
      </c>
      <c r="AU38" s="134" t="str">
        <f>_xlfn.IFNA(MATCH(U38,Achievements[[#All],[Column118]],0)+10,"")</f>
        <v/>
      </c>
      <c r="AV38" s="134" t="str">
        <f>_xlfn.IFNA(MATCH(V38,Achievements[[#All],[Column119]],0)+10,"")</f>
        <v/>
      </c>
      <c r="AW38" s="134" t="str">
        <f>_xlfn.IFNA(MATCH(W38,Achievements[[#All],[Column119]],0)+10,"")</f>
        <v/>
      </c>
      <c r="AX38" s="134" t="str">
        <f>_xlfn.IFNA(MATCH(X38,Achievements[[#All],[Column120]],0)+10,"")</f>
        <v/>
      </c>
      <c r="AY38" s="134" t="str">
        <f>_xlfn.IFNA(MATCH(Y38,Achievements[[#All],[Column120]],0)+10,"")</f>
        <v/>
      </c>
      <c r="AZ38" s="116" t="e">
        <f t="shared" ca="1" si="0"/>
        <v>#NAME?</v>
      </c>
      <c r="BA38" s="134" t="e" cm="1">
        <f t="array" aca="1" ref="BA38" ca="1">SplitValues("; ",Persons[[#This Row],[Column1]])</f>
        <v>#NAME?</v>
      </c>
      <c r="CA38" s="134" t="e">
        <f ca="1">_xlfn.IFNA(MATCH(BA38,Achievements[[#All],[Column1]],0)+10,"")</f>
        <v>#NAME?</v>
      </c>
      <c r="CB38" s="134" t="str">
        <f>_xlfn.IFNA(MATCH(BB38,Achievements[[#All],[Column1]],0)+10,"")</f>
        <v/>
      </c>
      <c r="CC38" s="134" t="str">
        <f>_xlfn.IFNA(MATCH(BC38,Achievements[[#All],[Column110]],0)+10,"")</f>
        <v/>
      </c>
      <c r="CD38" s="134" t="str">
        <f>_xlfn.IFNA(MATCH(BD38,Achievements[[#All],[Column110]],0)+10,"")</f>
        <v/>
      </c>
      <c r="CE38" s="134" t="str">
        <f>_xlfn.IFNA(MATCH(BE38,Achievements[[#All],[Column111]],0)+10,"")</f>
        <v/>
      </c>
      <c r="CF38" s="134" t="str">
        <f>_xlfn.IFNA(MATCH(BF38,Achievements[[#All],[Column111]],0)+10,"")</f>
        <v/>
      </c>
      <c r="CG38" s="134" t="str">
        <f>_xlfn.IFNA(MATCH(BG38,Achievements[[#All],[Column112]],0)+10,"")</f>
        <v/>
      </c>
      <c r="CH38" s="134" t="str">
        <f>_xlfn.IFNA(MATCH(BH38,Achievements[[#All],[Column112]],0)+10,"")</f>
        <v/>
      </c>
      <c r="CI38" s="134" t="str">
        <f>_xlfn.IFNA(MATCH(BI38,Achievements[[#All],[Column113]],0)+10,"")</f>
        <v/>
      </c>
      <c r="CJ38" s="134" t="str">
        <f>_xlfn.IFNA(MATCH(BJ38,Achievements[[#All],[Column113]],0)+10,"")</f>
        <v/>
      </c>
      <c r="CK38" s="134" t="str">
        <f>_xlfn.IFNA(MATCH(BK38,Achievements[[#All],[Column114]],0)+10,"")</f>
        <v/>
      </c>
      <c r="CL38" s="134" t="str">
        <f>_xlfn.IFNA(MATCH(BL38,Achievements[[#All],[Column114]],0)+10,"")</f>
        <v/>
      </c>
      <c r="CM38" s="134" t="str">
        <f>_xlfn.IFNA(MATCH(BM38,Achievements[[#All],[Column115]],0)+10,"")</f>
        <v/>
      </c>
      <c r="CN38" s="134" t="str">
        <f>_xlfn.IFNA(MATCH(BN38,Achievements[[#All],[Column115]],0)+10,"")</f>
        <v/>
      </c>
      <c r="CO38" s="134" t="str">
        <f>_xlfn.IFNA(MATCH(BO38,Achievements[[#All],[Column116]],0)+10,"")</f>
        <v/>
      </c>
      <c r="CP38" s="134" t="str">
        <f>_xlfn.IFNA(MATCH(BP38,Achievements[[#All],[Column116]],0)+10,"")</f>
        <v/>
      </c>
      <c r="CQ38" s="134" t="str">
        <f>_xlfn.IFNA(MATCH(BQ38,Achievements[[#All],[Column117]],0)+10,"")</f>
        <v/>
      </c>
      <c r="CR38" s="134" t="str">
        <f>_xlfn.IFNA(MATCH(BR38,Achievements[[#All],[Column117]],0)+10,"")</f>
        <v/>
      </c>
      <c r="CS38" s="134" t="str">
        <f>_xlfn.IFNA(MATCH(BS38,Achievements[[#All],[Column118]],0)+10,"")</f>
        <v/>
      </c>
      <c r="CT38" s="134" t="str">
        <f>_xlfn.IFNA(MATCH(BT38,Achievements[[#All],[Column118]],0)+10,"")</f>
        <v/>
      </c>
      <c r="CU38" s="134" t="str">
        <f>_xlfn.IFNA(MATCH(BU38,Achievements[[#All],[Column119]],0)+10,"")</f>
        <v/>
      </c>
      <c r="CV38" s="134" t="str">
        <f>_xlfn.IFNA(MATCH(BV38,Achievements[[#All],[Column119]],0)+10,"")</f>
        <v/>
      </c>
      <c r="CW38" s="134" t="str">
        <f>_xlfn.IFNA(MATCH(BW38,Achievements[[#All],[Column120]],0)+10,"")</f>
        <v/>
      </c>
      <c r="CX38" s="134" t="str">
        <f>_xlfn.IFNA(MATCH(BX38,Achievements[[#All],[Column120]],0)+10,"")</f>
        <v/>
      </c>
      <c r="CY38" s="134" t="str">
        <f>_xlfn.IFNA(MATCH(BY38,Achievements[[#All],[Column121]],0)+10,"")</f>
        <v/>
      </c>
      <c r="CZ38" s="118" t="e">
        <f t="shared" ca="1" si="1"/>
        <v>#NAME?</v>
      </c>
    </row>
    <row r="39" spans="1:104" x14ac:dyDescent="0.25">
      <c r="A39" t="e" cm="1">
        <f t="array" aca="1" ref="A39" ca="1">SplitValues("; ",#REF!)</f>
        <v>#NAME?</v>
      </c>
      <c r="AA39" t="e">
        <f ca="1">_xlfn.IFNA(MATCH(A39,Achievements[[#All],[Column1]],0)+11,"")</f>
        <v>#NAME?</v>
      </c>
      <c r="AB39" s="134" t="str">
        <f>_xlfn.IFNA(MATCH(B39,Achievements[[#All],[Column1]],0)+10,"")</f>
        <v/>
      </c>
      <c r="AC39" s="134" t="str">
        <f>_xlfn.IFNA(MATCH(C39,Achievements[[#All],[Column1]],0)+10,"")</f>
        <v/>
      </c>
      <c r="AD39" s="134" t="str">
        <f>_xlfn.IFNA(MATCH(D39,Achievements[[#All],[Column110]],0)+10,"")</f>
        <v/>
      </c>
      <c r="AE39" s="134" t="str">
        <f>_xlfn.IFNA(MATCH(E39,Achievements[[#All],[Column110]],0)+10,"")</f>
        <v/>
      </c>
      <c r="AF39" s="134" t="str">
        <f>_xlfn.IFNA(MATCH(F39,Achievements[[#All],[Column111]],0)+10,"")</f>
        <v/>
      </c>
      <c r="AG39" s="134" t="str">
        <f>_xlfn.IFNA(MATCH(G39,Achievements[[#All],[Column111]],0)+10,"")</f>
        <v/>
      </c>
      <c r="AH39" s="134" t="str">
        <f>_xlfn.IFNA(MATCH(H39,Achievements[[#All],[Column112]],0)+10,"")</f>
        <v/>
      </c>
      <c r="AI39" s="134" t="str">
        <f>_xlfn.IFNA(MATCH(I39,Achievements[[#All],[Column112]],0)+10,"")</f>
        <v/>
      </c>
      <c r="AJ39" s="134" t="str">
        <f>_xlfn.IFNA(MATCH(J39,Achievements[[#All],[Column113]],0)+10,"")</f>
        <v/>
      </c>
      <c r="AK39" s="134" t="str">
        <f>_xlfn.IFNA(MATCH(K39,Achievements[[#All],[Column113]],0)+10,"")</f>
        <v/>
      </c>
      <c r="AL39" s="134" t="str">
        <f>_xlfn.IFNA(MATCH(L39,Achievements[[#All],[Column114]],0)+10,"")</f>
        <v/>
      </c>
      <c r="AM39" s="134" t="str">
        <f>_xlfn.IFNA(MATCH(M39,Achievements[[#All],[Column114]],0)+10,"")</f>
        <v/>
      </c>
      <c r="AN39" s="134" t="str">
        <f>_xlfn.IFNA(MATCH(N39,Achievements[[#All],[Column115]],0)+10,"")</f>
        <v/>
      </c>
      <c r="AO39" s="134" t="str">
        <f>_xlfn.IFNA(MATCH(O39,Achievements[[#All],[Column115]],0)+10,"")</f>
        <v/>
      </c>
      <c r="AP39" s="134" t="str">
        <f>_xlfn.IFNA(MATCH(P39,Achievements[[#All],[Column116]],0)+10,"")</f>
        <v/>
      </c>
      <c r="AQ39" s="134" t="str">
        <f>_xlfn.IFNA(MATCH(Q39,Achievements[[#All],[Column116]],0)+10,"")</f>
        <v/>
      </c>
      <c r="AR39" s="134" t="str">
        <f>_xlfn.IFNA(MATCH(R39,Achievements[[#All],[Column117]],0)+10,"")</f>
        <v/>
      </c>
      <c r="AS39" s="134" t="str">
        <f>_xlfn.IFNA(MATCH(S39,Achievements[[#All],[Column117]],0)+10,"")</f>
        <v/>
      </c>
      <c r="AT39" s="134" t="str">
        <f>_xlfn.IFNA(MATCH(T39,Achievements[[#All],[Column118]],0)+10,"")</f>
        <v/>
      </c>
      <c r="AU39" s="134" t="str">
        <f>_xlfn.IFNA(MATCH(U39,Achievements[[#All],[Column118]],0)+10,"")</f>
        <v/>
      </c>
      <c r="AV39" s="134" t="str">
        <f>_xlfn.IFNA(MATCH(V39,Achievements[[#All],[Column119]],0)+10,"")</f>
        <v/>
      </c>
      <c r="AW39" s="134" t="str">
        <f>_xlfn.IFNA(MATCH(W39,Achievements[[#All],[Column119]],0)+10,"")</f>
        <v/>
      </c>
      <c r="AX39" s="134" t="str">
        <f>_xlfn.IFNA(MATCH(X39,Achievements[[#All],[Column120]],0)+10,"")</f>
        <v/>
      </c>
      <c r="AY39" s="134" t="str">
        <f>_xlfn.IFNA(MATCH(Y39,Achievements[[#All],[Column120]],0)+10,"")</f>
        <v/>
      </c>
      <c r="AZ39" s="116" t="e">
        <f t="shared" ca="1" si="0"/>
        <v>#NAME?</v>
      </c>
      <c r="BA39" s="134" t="e" cm="1">
        <f t="array" aca="1" ref="BA39" ca="1">SplitValues("; ",Persons[[#This Row],[Column1]])</f>
        <v>#NAME?</v>
      </c>
      <c r="CA39" s="134" t="e">
        <f ca="1">_xlfn.IFNA(MATCH(BA39,Achievements[[#All],[Column1]],0)+10,"")</f>
        <v>#NAME?</v>
      </c>
      <c r="CB39" s="134" t="str">
        <f>_xlfn.IFNA(MATCH(BB39,Achievements[[#All],[Column1]],0)+10,"")</f>
        <v/>
      </c>
      <c r="CC39" s="134" t="str">
        <f>_xlfn.IFNA(MATCH(BC39,Achievements[[#All],[Column110]],0)+10,"")</f>
        <v/>
      </c>
      <c r="CD39" s="134" t="str">
        <f>_xlfn.IFNA(MATCH(BD39,Achievements[[#All],[Column110]],0)+10,"")</f>
        <v/>
      </c>
      <c r="CE39" s="134" t="str">
        <f>_xlfn.IFNA(MATCH(BE39,Achievements[[#All],[Column111]],0)+10,"")</f>
        <v/>
      </c>
      <c r="CF39" s="134" t="str">
        <f>_xlfn.IFNA(MATCH(BF39,Achievements[[#All],[Column111]],0)+10,"")</f>
        <v/>
      </c>
      <c r="CG39" s="134" t="str">
        <f>_xlfn.IFNA(MATCH(BG39,Achievements[[#All],[Column112]],0)+10,"")</f>
        <v/>
      </c>
      <c r="CH39" s="134" t="str">
        <f>_xlfn.IFNA(MATCH(BH39,Achievements[[#All],[Column112]],0)+10,"")</f>
        <v/>
      </c>
      <c r="CI39" s="134" t="str">
        <f>_xlfn.IFNA(MATCH(BI39,Achievements[[#All],[Column113]],0)+10,"")</f>
        <v/>
      </c>
      <c r="CJ39" s="134" t="str">
        <f>_xlfn.IFNA(MATCH(BJ39,Achievements[[#All],[Column113]],0)+10,"")</f>
        <v/>
      </c>
      <c r="CK39" s="134" t="str">
        <f>_xlfn.IFNA(MATCH(BK39,Achievements[[#All],[Column114]],0)+10,"")</f>
        <v/>
      </c>
      <c r="CL39" s="134" t="str">
        <f>_xlfn.IFNA(MATCH(BL39,Achievements[[#All],[Column114]],0)+10,"")</f>
        <v/>
      </c>
      <c r="CM39" s="134" t="str">
        <f>_xlfn.IFNA(MATCH(BM39,Achievements[[#All],[Column115]],0)+10,"")</f>
        <v/>
      </c>
      <c r="CN39" s="134" t="str">
        <f>_xlfn.IFNA(MATCH(BN39,Achievements[[#All],[Column115]],0)+10,"")</f>
        <v/>
      </c>
      <c r="CO39" s="134" t="str">
        <f>_xlfn.IFNA(MATCH(BO39,Achievements[[#All],[Column116]],0)+10,"")</f>
        <v/>
      </c>
      <c r="CP39" s="134" t="str">
        <f>_xlfn.IFNA(MATCH(BP39,Achievements[[#All],[Column116]],0)+10,"")</f>
        <v/>
      </c>
      <c r="CQ39" s="134" t="str">
        <f>_xlfn.IFNA(MATCH(BQ39,Achievements[[#All],[Column117]],0)+10,"")</f>
        <v/>
      </c>
      <c r="CR39" s="134" t="str">
        <f>_xlfn.IFNA(MATCH(BR39,Achievements[[#All],[Column117]],0)+10,"")</f>
        <v/>
      </c>
      <c r="CS39" s="134" t="str">
        <f>_xlfn.IFNA(MATCH(BS39,Achievements[[#All],[Column118]],0)+10,"")</f>
        <v/>
      </c>
      <c r="CT39" s="134" t="str">
        <f>_xlfn.IFNA(MATCH(BT39,Achievements[[#All],[Column118]],0)+10,"")</f>
        <v/>
      </c>
      <c r="CU39" s="134" t="str">
        <f>_xlfn.IFNA(MATCH(BU39,Achievements[[#All],[Column119]],0)+10,"")</f>
        <v/>
      </c>
      <c r="CV39" s="134" t="str">
        <f>_xlfn.IFNA(MATCH(BV39,Achievements[[#All],[Column119]],0)+10,"")</f>
        <v/>
      </c>
      <c r="CW39" s="134" t="str">
        <f>_xlfn.IFNA(MATCH(BW39,Achievements[[#All],[Column120]],0)+10,"")</f>
        <v/>
      </c>
      <c r="CX39" s="134" t="str">
        <f>_xlfn.IFNA(MATCH(BX39,Achievements[[#All],[Column120]],0)+10,"")</f>
        <v/>
      </c>
      <c r="CY39" s="134" t="str">
        <f>_xlfn.IFNA(MATCH(BY39,Achievements[[#All],[Column121]],0)+10,"")</f>
        <v/>
      </c>
      <c r="CZ39" s="118" t="e">
        <f t="shared" ca="1" si="1"/>
        <v>#NAME?</v>
      </c>
    </row>
    <row r="40" spans="1:104" x14ac:dyDescent="0.25">
      <c r="A40" t="e" cm="1">
        <f t="array" aca="1" ref="A40" ca="1">SplitValues("; ",#REF!)</f>
        <v>#NAME?</v>
      </c>
      <c r="AA40" t="e">
        <f ca="1">_xlfn.IFNA(MATCH(A40,Achievements[[#All],[Column1]],0)+11,"")</f>
        <v>#NAME?</v>
      </c>
      <c r="AB40" s="134" t="str">
        <f>_xlfn.IFNA(MATCH(B40,Achievements[[#All],[Column1]],0)+10,"")</f>
        <v/>
      </c>
      <c r="AC40" s="134" t="str">
        <f>_xlfn.IFNA(MATCH(C40,Achievements[[#All],[Column1]],0)+10,"")</f>
        <v/>
      </c>
      <c r="AD40" s="134" t="str">
        <f>_xlfn.IFNA(MATCH(D40,Achievements[[#All],[Column110]],0)+10,"")</f>
        <v/>
      </c>
      <c r="AE40" s="134" t="str">
        <f>_xlfn.IFNA(MATCH(E40,Achievements[[#All],[Column110]],0)+10,"")</f>
        <v/>
      </c>
      <c r="AF40" s="134" t="str">
        <f>_xlfn.IFNA(MATCH(F40,Achievements[[#All],[Column111]],0)+10,"")</f>
        <v/>
      </c>
      <c r="AG40" s="134" t="str">
        <f>_xlfn.IFNA(MATCH(G40,Achievements[[#All],[Column111]],0)+10,"")</f>
        <v/>
      </c>
      <c r="AH40" s="134" t="str">
        <f>_xlfn.IFNA(MATCH(H40,Achievements[[#All],[Column112]],0)+10,"")</f>
        <v/>
      </c>
      <c r="AI40" s="134" t="str">
        <f>_xlfn.IFNA(MATCH(I40,Achievements[[#All],[Column112]],0)+10,"")</f>
        <v/>
      </c>
      <c r="AJ40" s="134" t="str">
        <f>_xlfn.IFNA(MATCH(J40,Achievements[[#All],[Column113]],0)+10,"")</f>
        <v/>
      </c>
      <c r="AK40" s="134" t="str">
        <f>_xlfn.IFNA(MATCH(K40,Achievements[[#All],[Column113]],0)+10,"")</f>
        <v/>
      </c>
      <c r="AL40" s="134" t="str">
        <f>_xlfn.IFNA(MATCH(L40,Achievements[[#All],[Column114]],0)+10,"")</f>
        <v/>
      </c>
      <c r="AM40" s="134" t="str">
        <f>_xlfn.IFNA(MATCH(M40,Achievements[[#All],[Column114]],0)+10,"")</f>
        <v/>
      </c>
      <c r="AN40" s="134" t="str">
        <f>_xlfn.IFNA(MATCH(N40,Achievements[[#All],[Column115]],0)+10,"")</f>
        <v/>
      </c>
      <c r="AO40" s="134" t="str">
        <f>_xlfn.IFNA(MATCH(O40,Achievements[[#All],[Column115]],0)+10,"")</f>
        <v/>
      </c>
      <c r="AP40" s="134" t="str">
        <f>_xlfn.IFNA(MATCH(P40,Achievements[[#All],[Column116]],0)+10,"")</f>
        <v/>
      </c>
      <c r="AQ40" s="134" t="str">
        <f>_xlfn.IFNA(MATCH(Q40,Achievements[[#All],[Column116]],0)+10,"")</f>
        <v/>
      </c>
      <c r="AR40" s="134" t="str">
        <f>_xlfn.IFNA(MATCH(R40,Achievements[[#All],[Column117]],0)+10,"")</f>
        <v/>
      </c>
      <c r="AS40" s="134" t="str">
        <f>_xlfn.IFNA(MATCH(S40,Achievements[[#All],[Column117]],0)+10,"")</f>
        <v/>
      </c>
      <c r="AT40" s="134" t="str">
        <f>_xlfn.IFNA(MATCH(T40,Achievements[[#All],[Column118]],0)+10,"")</f>
        <v/>
      </c>
      <c r="AU40" s="134" t="str">
        <f>_xlfn.IFNA(MATCH(U40,Achievements[[#All],[Column118]],0)+10,"")</f>
        <v/>
      </c>
      <c r="AV40" s="134" t="str">
        <f>_xlfn.IFNA(MATCH(V40,Achievements[[#All],[Column119]],0)+10,"")</f>
        <v/>
      </c>
      <c r="AW40" s="134" t="str">
        <f>_xlfn.IFNA(MATCH(W40,Achievements[[#All],[Column119]],0)+10,"")</f>
        <v/>
      </c>
      <c r="AX40" s="134" t="str">
        <f>_xlfn.IFNA(MATCH(X40,Achievements[[#All],[Column120]],0)+10,"")</f>
        <v/>
      </c>
      <c r="AY40" s="134" t="str">
        <f>_xlfn.IFNA(MATCH(Y40,Achievements[[#All],[Column120]],0)+10,"")</f>
        <v/>
      </c>
      <c r="AZ40" s="116" t="e">
        <f t="shared" ca="1" si="0"/>
        <v>#NAME?</v>
      </c>
      <c r="BA40" s="134" t="e" cm="1">
        <f t="array" aca="1" ref="BA40" ca="1">SplitValues("; ",Persons[[#This Row],[Column1]])</f>
        <v>#NAME?</v>
      </c>
      <c r="CA40" s="134" t="e">
        <f ca="1">_xlfn.IFNA(MATCH(BA40,Achievements[[#All],[Column1]],0)+10,"")</f>
        <v>#NAME?</v>
      </c>
      <c r="CB40" s="134" t="str">
        <f>_xlfn.IFNA(MATCH(BB40,Achievements[[#All],[Column1]],0)+10,"")</f>
        <v/>
      </c>
      <c r="CC40" s="134" t="str">
        <f>_xlfn.IFNA(MATCH(BC40,Achievements[[#All],[Column110]],0)+10,"")</f>
        <v/>
      </c>
      <c r="CD40" s="134" t="str">
        <f>_xlfn.IFNA(MATCH(BD40,Achievements[[#All],[Column110]],0)+10,"")</f>
        <v/>
      </c>
      <c r="CE40" s="134" t="str">
        <f>_xlfn.IFNA(MATCH(BE40,Achievements[[#All],[Column111]],0)+10,"")</f>
        <v/>
      </c>
      <c r="CF40" s="134" t="str">
        <f>_xlfn.IFNA(MATCH(BF40,Achievements[[#All],[Column111]],0)+10,"")</f>
        <v/>
      </c>
      <c r="CG40" s="134" t="str">
        <f>_xlfn.IFNA(MATCH(BG40,Achievements[[#All],[Column112]],0)+10,"")</f>
        <v/>
      </c>
      <c r="CH40" s="134" t="str">
        <f>_xlfn.IFNA(MATCH(BH40,Achievements[[#All],[Column112]],0)+10,"")</f>
        <v/>
      </c>
      <c r="CI40" s="134" t="str">
        <f>_xlfn.IFNA(MATCH(BI40,Achievements[[#All],[Column113]],0)+10,"")</f>
        <v/>
      </c>
      <c r="CJ40" s="134" t="str">
        <f>_xlfn.IFNA(MATCH(BJ40,Achievements[[#All],[Column113]],0)+10,"")</f>
        <v/>
      </c>
      <c r="CK40" s="134" t="str">
        <f>_xlfn.IFNA(MATCH(BK40,Achievements[[#All],[Column114]],0)+10,"")</f>
        <v/>
      </c>
      <c r="CL40" s="134" t="str">
        <f>_xlfn.IFNA(MATCH(BL40,Achievements[[#All],[Column114]],0)+10,"")</f>
        <v/>
      </c>
      <c r="CM40" s="134" t="str">
        <f>_xlfn.IFNA(MATCH(BM40,Achievements[[#All],[Column115]],0)+10,"")</f>
        <v/>
      </c>
      <c r="CN40" s="134" t="str">
        <f>_xlfn.IFNA(MATCH(BN40,Achievements[[#All],[Column115]],0)+10,"")</f>
        <v/>
      </c>
      <c r="CO40" s="134" t="str">
        <f>_xlfn.IFNA(MATCH(BO40,Achievements[[#All],[Column116]],0)+10,"")</f>
        <v/>
      </c>
      <c r="CP40" s="134" t="str">
        <f>_xlfn.IFNA(MATCH(BP40,Achievements[[#All],[Column116]],0)+10,"")</f>
        <v/>
      </c>
      <c r="CQ40" s="134" t="str">
        <f>_xlfn.IFNA(MATCH(BQ40,Achievements[[#All],[Column117]],0)+10,"")</f>
        <v/>
      </c>
      <c r="CR40" s="134" t="str">
        <f>_xlfn.IFNA(MATCH(BR40,Achievements[[#All],[Column117]],0)+10,"")</f>
        <v/>
      </c>
      <c r="CS40" s="134" t="str">
        <f>_xlfn.IFNA(MATCH(BS40,Achievements[[#All],[Column118]],0)+10,"")</f>
        <v/>
      </c>
      <c r="CT40" s="134" t="str">
        <f>_xlfn.IFNA(MATCH(BT40,Achievements[[#All],[Column118]],0)+10,"")</f>
        <v/>
      </c>
      <c r="CU40" s="134" t="str">
        <f>_xlfn.IFNA(MATCH(BU40,Achievements[[#All],[Column119]],0)+10,"")</f>
        <v/>
      </c>
      <c r="CV40" s="134" t="str">
        <f>_xlfn.IFNA(MATCH(BV40,Achievements[[#All],[Column119]],0)+10,"")</f>
        <v/>
      </c>
      <c r="CW40" s="134" t="str">
        <f>_xlfn.IFNA(MATCH(BW40,Achievements[[#All],[Column120]],0)+10,"")</f>
        <v/>
      </c>
      <c r="CX40" s="134" t="str">
        <f>_xlfn.IFNA(MATCH(BX40,Achievements[[#All],[Column120]],0)+10,"")</f>
        <v/>
      </c>
      <c r="CY40" s="134" t="str">
        <f>_xlfn.IFNA(MATCH(BY40,Achievements[[#All],[Column121]],0)+10,"")</f>
        <v/>
      </c>
      <c r="CZ40" s="118" t="e">
        <f t="shared" ca="1" si="1"/>
        <v>#NAME?</v>
      </c>
    </row>
    <row r="41" spans="1:104" x14ac:dyDescent="0.25">
      <c r="A41" t="e" cm="1">
        <f t="array" aca="1" ref="A41" ca="1">SplitValues("; ",#REF!)</f>
        <v>#NAME?</v>
      </c>
      <c r="AA41" t="e">
        <f ca="1">_xlfn.IFNA(MATCH(A41,Achievements[[#All],[Column1]],0)+11,"")</f>
        <v>#NAME?</v>
      </c>
      <c r="AB41" s="134" t="str">
        <f>_xlfn.IFNA(MATCH(B41,Achievements[[#All],[Column1]],0)+10,"")</f>
        <v/>
      </c>
      <c r="AC41" s="134" t="str">
        <f>_xlfn.IFNA(MATCH(C41,Achievements[[#All],[Column1]],0)+10,"")</f>
        <v/>
      </c>
      <c r="AD41" s="134" t="str">
        <f>_xlfn.IFNA(MATCH(D41,Achievements[[#All],[Column110]],0)+10,"")</f>
        <v/>
      </c>
      <c r="AE41" s="134" t="str">
        <f>_xlfn.IFNA(MATCH(E41,Achievements[[#All],[Column110]],0)+10,"")</f>
        <v/>
      </c>
      <c r="AF41" s="134" t="str">
        <f>_xlfn.IFNA(MATCH(F41,Achievements[[#All],[Column111]],0)+10,"")</f>
        <v/>
      </c>
      <c r="AG41" s="134" t="str">
        <f>_xlfn.IFNA(MATCH(G41,Achievements[[#All],[Column111]],0)+10,"")</f>
        <v/>
      </c>
      <c r="AH41" s="134" t="str">
        <f>_xlfn.IFNA(MATCH(H41,Achievements[[#All],[Column112]],0)+10,"")</f>
        <v/>
      </c>
      <c r="AI41" s="134" t="str">
        <f>_xlfn.IFNA(MATCH(I41,Achievements[[#All],[Column112]],0)+10,"")</f>
        <v/>
      </c>
      <c r="AJ41" s="134" t="str">
        <f>_xlfn.IFNA(MATCH(J41,Achievements[[#All],[Column113]],0)+10,"")</f>
        <v/>
      </c>
      <c r="AK41" s="134" t="str">
        <f>_xlfn.IFNA(MATCH(K41,Achievements[[#All],[Column113]],0)+10,"")</f>
        <v/>
      </c>
      <c r="AL41" s="134" t="str">
        <f>_xlfn.IFNA(MATCH(L41,Achievements[[#All],[Column114]],0)+10,"")</f>
        <v/>
      </c>
      <c r="AM41" s="134" t="str">
        <f>_xlfn.IFNA(MATCH(M41,Achievements[[#All],[Column114]],0)+10,"")</f>
        <v/>
      </c>
      <c r="AN41" s="134" t="str">
        <f>_xlfn.IFNA(MATCH(N41,Achievements[[#All],[Column115]],0)+10,"")</f>
        <v/>
      </c>
      <c r="AO41" s="134" t="str">
        <f>_xlfn.IFNA(MATCH(O41,Achievements[[#All],[Column115]],0)+10,"")</f>
        <v/>
      </c>
      <c r="AP41" s="134" t="str">
        <f>_xlfn.IFNA(MATCH(P41,Achievements[[#All],[Column116]],0)+10,"")</f>
        <v/>
      </c>
      <c r="AQ41" s="134" t="str">
        <f>_xlfn.IFNA(MATCH(Q41,Achievements[[#All],[Column116]],0)+10,"")</f>
        <v/>
      </c>
      <c r="AR41" s="134" t="str">
        <f>_xlfn.IFNA(MATCH(R41,Achievements[[#All],[Column117]],0)+10,"")</f>
        <v/>
      </c>
      <c r="AS41" s="134" t="str">
        <f>_xlfn.IFNA(MATCH(S41,Achievements[[#All],[Column117]],0)+10,"")</f>
        <v/>
      </c>
      <c r="AT41" s="134" t="str">
        <f>_xlfn.IFNA(MATCH(T41,Achievements[[#All],[Column118]],0)+10,"")</f>
        <v/>
      </c>
      <c r="AU41" s="134" t="str">
        <f>_xlfn.IFNA(MATCH(U41,Achievements[[#All],[Column118]],0)+10,"")</f>
        <v/>
      </c>
      <c r="AV41" s="134" t="str">
        <f>_xlfn.IFNA(MATCH(V41,Achievements[[#All],[Column119]],0)+10,"")</f>
        <v/>
      </c>
      <c r="AW41" s="134" t="str">
        <f>_xlfn.IFNA(MATCH(W41,Achievements[[#All],[Column119]],0)+10,"")</f>
        <v/>
      </c>
      <c r="AX41" s="134" t="str">
        <f>_xlfn.IFNA(MATCH(X41,Achievements[[#All],[Column120]],0)+10,"")</f>
        <v/>
      </c>
      <c r="AY41" s="134" t="str">
        <f>_xlfn.IFNA(MATCH(Y41,Achievements[[#All],[Column120]],0)+10,"")</f>
        <v/>
      </c>
      <c r="AZ41" s="116" t="e">
        <f t="shared" ca="1" si="0"/>
        <v>#NAME?</v>
      </c>
      <c r="BA41" s="134" t="e" cm="1">
        <f t="array" aca="1" ref="BA41" ca="1">SplitValues("; ",Persons[[#This Row],[Column1]])</f>
        <v>#NAME?</v>
      </c>
      <c r="CA41" s="134" t="e">
        <f ca="1">_xlfn.IFNA(MATCH(BA41,Achievements[[#All],[Column1]],0)+10,"")</f>
        <v>#NAME?</v>
      </c>
      <c r="CB41" s="134" t="str">
        <f>_xlfn.IFNA(MATCH(BB41,Achievements[[#All],[Column1]],0)+10,"")</f>
        <v/>
      </c>
      <c r="CC41" s="134" t="str">
        <f>_xlfn.IFNA(MATCH(BC41,Achievements[[#All],[Column110]],0)+10,"")</f>
        <v/>
      </c>
      <c r="CD41" s="134" t="str">
        <f>_xlfn.IFNA(MATCH(BD41,Achievements[[#All],[Column110]],0)+10,"")</f>
        <v/>
      </c>
      <c r="CE41" s="134" t="str">
        <f>_xlfn.IFNA(MATCH(BE41,Achievements[[#All],[Column111]],0)+10,"")</f>
        <v/>
      </c>
      <c r="CF41" s="134" t="str">
        <f>_xlfn.IFNA(MATCH(BF41,Achievements[[#All],[Column111]],0)+10,"")</f>
        <v/>
      </c>
      <c r="CG41" s="134" t="str">
        <f>_xlfn.IFNA(MATCH(BG41,Achievements[[#All],[Column112]],0)+10,"")</f>
        <v/>
      </c>
      <c r="CH41" s="134" t="str">
        <f>_xlfn.IFNA(MATCH(BH41,Achievements[[#All],[Column112]],0)+10,"")</f>
        <v/>
      </c>
      <c r="CI41" s="134" t="str">
        <f>_xlfn.IFNA(MATCH(BI41,Achievements[[#All],[Column113]],0)+10,"")</f>
        <v/>
      </c>
      <c r="CJ41" s="134" t="str">
        <f>_xlfn.IFNA(MATCH(BJ41,Achievements[[#All],[Column113]],0)+10,"")</f>
        <v/>
      </c>
      <c r="CK41" s="134" t="str">
        <f>_xlfn.IFNA(MATCH(BK41,Achievements[[#All],[Column114]],0)+10,"")</f>
        <v/>
      </c>
      <c r="CL41" s="134" t="str">
        <f>_xlfn.IFNA(MATCH(BL41,Achievements[[#All],[Column114]],0)+10,"")</f>
        <v/>
      </c>
      <c r="CM41" s="134" t="str">
        <f>_xlfn.IFNA(MATCH(BM41,Achievements[[#All],[Column115]],0)+10,"")</f>
        <v/>
      </c>
      <c r="CN41" s="134" t="str">
        <f>_xlfn.IFNA(MATCH(BN41,Achievements[[#All],[Column115]],0)+10,"")</f>
        <v/>
      </c>
      <c r="CO41" s="134" t="str">
        <f>_xlfn.IFNA(MATCH(BO41,Achievements[[#All],[Column116]],0)+10,"")</f>
        <v/>
      </c>
      <c r="CP41" s="134" t="str">
        <f>_xlfn.IFNA(MATCH(BP41,Achievements[[#All],[Column116]],0)+10,"")</f>
        <v/>
      </c>
      <c r="CQ41" s="134" t="str">
        <f>_xlfn.IFNA(MATCH(BQ41,Achievements[[#All],[Column117]],0)+10,"")</f>
        <v/>
      </c>
      <c r="CR41" s="134" t="str">
        <f>_xlfn.IFNA(MATCH(BR41,Achievements[[#All],[Column117]],0)+10,"")</f>
        <v/>
      </c>
      <c r="CS41" s="134" t="str">
        <f>_xlfn.IFNA(MATCH(BS41,Achievements[[#All],[Column118]],0)+10,"")</f>
        <v/>
      </c>
      <c r="CT41" s="134" t="str">
        <f>_xlfn.IFNA(MATCH(BT41,Achievements[[#All],[Column118]],0)+10,"")</f>
        <v/>
      </c>
      <c r="CU41" s="134" t="str">
        <f>_xlfn.IFNA(MATCH(BU41,Achievements[[#All],[Column119]],0)+10,"")</f>
        <v/>
      </c>
      <c r="CV41" s="134" t="str">
        <f>_xlfn.IFNA(MATCH(BV41,Achievements[[#All],[Column119]],0)+10,"")</f>
        <v/>
      </c>
      <c r="CW41" s="134" t="str">
        <f>_xlfn.IFNA(MATCH(BW41,Achievements[[#All],[Column120]],0)+10,"")</f>
        <v/>
      </c>
      <c r="CX41" s="134" t="str">
        <f>_xlfn.IFNA(MATCH(BX41,Achievements[[#All],[Column120]],0)+10,"")</f>
        <v/>
      </c>
      <c r="CY41" s="134" t="str">
        <f>_xlfn.IFNA(MATCH(BY41,Achievements[[#All],[Column121]],0)+10,"")</f>
        <v/>
      </c>
      <c r="CZ41" s="118" t="e">
        <f t="shared" ca="1" si="1"/>
        <v>#NAME?</v>
      </c>
    </row>
    <row r="42" spans="1:104" x14ac:dyDescent="0.25">
      <c r="A42" t="e" cm="1">
        <f t="array" aca="1" ref="A42" ca="1">SplitValues("; ",#REF!)</f>
        <v>#NAME?</v>
      </c>
      <c r="AA42" t="e">
        <f ca="1">_xlfn.IFNA(MATCH(A42,Achievements[[#All],[Column1]],0)+11,"")</f>
        <v>#NAME?</v>
      </c>
      <c r="AB42" s="134" t="str">
        <f>_xlfn.IFNA(MATCH(B42,Achievements[[#All],[Column1]],0)+10,"")</f>
        <v/>
      </c>
      <c r="AC42" s="134" t="str">
        <f>_xlfn.IFNA(MATCH(C42,Achievements[[#All],[Column1]],0)+10,"")</f>
        <v/>
      </c>
      <c r="AD42" s="134" t="str">
        <f>_xlfn.IFNA(MATCH(D42,Achievements[[#All],[Column110]],0)+10,"")</f>
        <v/>
      </c>
      <c r="AE42" s="134" t="str">
        <f>_xlfn.IFNA(MATCH(E42,Achievements[[#All],[Column110]],0)+10,"")</f>
        <v/>
      </c>
      <c r="AF42" s="134" t="str">
        <f>_xlfn.IFNA(MATCH(F42,Achievements[[#All],[Column111]],0)+10,"")</f>
        <v/>
      </c>
      <c r="AG42" s="134" t="str">
        <f>_xlfn.IFNA(MATCH(G42,Achievements[[#All],[Column111]],0)+10,"")</f>
        <v/>
      </c>
      <c r="AH42" s="134" t="str">
        <f>_xlfn.IFNA(MATCH(H42,Achievements[[#All],[Column112]],0)+10,"")</f>
        <v/>
      </c>
      <c r="AI42" s="134" t="str">
        <f>_xlfn.IFNA(MATCH(I42,Achievements[[#All],[Column112]],0)+10,"")</f>
        <v/>
      </c>
      <c r="AJ42" s="134" t="str">
        <f>_xlfn.IFNA(MATCH(J42,Achievements[[#All],[Column113]],0)+10,"")</f>
        <v/>
      </c>
      <c r="AK42" s="134" t="str">
        <f>_xlfn.IFNA(MATCH(K42,Achievements[[#All],[Column113]],0)+10,"")</f>
        <v/>
      </c>
      <c r="AL42" s="134" t="str">
        <f>_xlfn.IFNA(MATCH(L42,Achievements[[#All],[Column114]],0)+10,"")</f>
        <v/>
      </c>
      <c r="AM42" s="134" t="str">
        <f>_xlfn.IFNA(MATCH(M42,Achievements[[#All],[Column114]],0)+10,"")</f>
        <v/>
      </c>
      <c r="AN42" s="134" t="str">
        <f>_xlfn.IFNA(MATCH(N42,Achievements[[#All],[Column115]],0)+10,"")</f>
        <v/>
      </c>
      <c r="AO42" s="134" t="str">
        <f>_xlfn.IFNA(MATCH(O42,Achievements[[#All],[Column115]],0)+10,"")</f>
        <v/>
      </c>
      <c r="AP42" s="134" t="str">
        <f>_xlfn.IFNA(MATCH(P42,Achievements[[#All],[Column116]],0)+10,"")</f>
        <v/>
      </c>
      <c r="AQ42" s="134" t="str">
        <f>_xlfn.IFNA(MATCH(Q42,Achievements[[#All],[Column116]],0)+10,"")</f>
        <v/>
      </c>
      <c r="AR42" s="134" t="str">
        <f>_xlfn.IFNA(MATCH(R42,Achievements[[#All],[Column117]],0)+10,"")</f>
        <v/>
      </c>
      <c r="AS42" s="134" t="str">
        <f>_xlfn.IFNA(MATCH(S42,Achievements[[#All],[Column117]],0)+10,"")</f>
        <v/>
      </c>
      <c r="AT42" s="134" t="str">
        <f>_xlfn.IFNA(MATCH(T42,Achievements[[#All],[Column118]],0)+10,"")</f>
        <v/>
      </c>
      <c r="AU42" s="134" t="str">
        <f>_xlfn.IFNA(MATCH(U42,Achievements[[#All],[Column118]],0)+10,"")</f>
        <v/>
      </c>
      <c r="AV42" s="134" t="str">
        <f>_xlfn.IFNA(MATCH(V42,Achievements[[#All],[Column119]],0)+10,"")</f>
        <v/>
      </c>
      <c r="AW42" s="134" t="str">
        <f>_xlfn.IFNA(MATCH(W42,Achievements[[#All],[Column119]],0)+10,"")</f>
        <v/>
      </c>
      <c r="AX42" s="134" t="str">
        <f>_xlfn.IFNA(MATCH(X42,Achievements[[#All],[Column120]],0)+10,"")</f>
        <v/>
      </c>
      <c r="AY42" s="134" t="str">
        <f>_xlfn.IFNA(MATCH(Y42,Achievements[[#All],[Column120]],0)+10,"")</f>
        <v/>
      </c>
      <c r="AZ42" s="116" t="e">
        <f t="shared" ca="1" si="0"/>
        <v>#NAME?</v>
      </c>
      <c r="BA42" s="134" t="e" cm="1">
        <f t="array" aca="1" ref="BA42" ca="1">SplitValues("; ",Persons[[#This Row],[Column1]])</f>
        <v>#NAME?</v>
      </c>
      <c r="CA42" s="134" t="e">
        <f ca="1">_xlfn.IFNA(MATCH(BA42,Achievements[[#All],[Column1]],0)+10,"")</f>
        <v>#NAME?</v>
      </c>
      <c r="CB42" s="134" t="str">
        <f>_xlfn.IFNA(MATCH(BB42,Achievements[[#All],[Column1]],0)+10,"")</f>
        <v/>
      </c>
      <c r="CC42" s="134" t="str">
        <f>_xlfn.IFNA(MATCH(BC42,Achievements[[#All],[Column110]],0)+10,"")</f>
        <v/>
      </c>
      <c r="CD42" s="134" t="str">
        <f>_xlfn.IFNA(MATCH(BD42,Achievements[[#All],[Column110]],0)+10,"")</f>
        <v/>
      </c>
      <c r="CE42" s="134" t="str">
        <f>_xlfn.IFNA(MATCH(BE42,Achievements[[#All],[Column111]],0)+10,"")</f>
        <v/>
      </c>
      <c r="CF42" s="134" t="str">
        <f>_xlfn.IFNA(MATCH(BF42,Achievements[[#All],[Column111]],0)+10,"")</f>
        <v/>
      </c>
      <c r="CG42" s="134" t="str">
        <f>_xlfn.IFNA(MATCH(BG42,Achievements[[#All],[Column112]],0)+10,"")</f>
        <v/>
      </c>
      <c r="CH42" s="134" t="str">
        <f>_xlfn.IFNA(MATCH(BH42,Achievements[[#All],[Column112]],0)+10,"")</f>
        <v/>
      </c>
      <c r="CI42" s="134" t="str">
        <f>_xlfn.IFNA(MATCH(BI42,Achievements[[#All],[Column113]],0)+10,"")</f>
        <v/>
      </c>
      <c r="CJ42" s="134" t="str">
        <f>_xlfn.IFNA(MATCH(BJ42,Achievements[[#All],[Column113]],0)+10,"")</f>
        <v/>
      </c>
      <c r="CK42" s="134" t="str">
        <f>_xlfn.IFNA(MATCH(BK42,Achievements[[#All],[Column114]],0)+10,"")</f>
        <v/>
      </c>
      <c r="CL42" s="134" t="str">
        <f>_xlfn.IFNA(MATCH(BL42,Achievements[[#All],[Column114]],0)+10,"")</f>
        <v/>
      </c>
      <c r="CM42" s="134" t="str">
        <f>_xlfn.IFNA(MATCH(BM42,Achievements[[#All],[Column115]],0)+10,"")</f>
        <v/>
      </c>
      <c r="CN42" s="134" t="str">
        <f>_xlfn.IFNA(MATCH(BN42,Achievements[[#All],[Column115]],0)+10,"")</f>
        <v/>
      </c>
      <c r="CO42" s="134" t="str">
        <f>_xlfn.IFNA(MATCH(BO42,Achievements[[#All],[Column116]],0)+10,"")</f>
        <v/>
      </c>
      <c r="CP42" s="134" t="str">
        <f>_xlfn.IFNA(MATCH(BP42,Achievements[[#All],[Column116]],0)+10,"")</f>
        <v/>
      </c>
      <c r="CQ42" s="134" t="str">
        <f>_xlfn.IFNA(MATCH(BQ42,Achievements[[#All],[Column117]],0)+10,"")</f>
        <v/>
      </c>
      <c r="CR42" s="134" t="str">
        <f>_xlfn.IFNA(MATCH(BR42,Achievements[[#All],[Column117]],0)+10,"")</f>
        <v/>
      </c>
      <c r="CS42" s="134" t="str">
        <f>_xlfn.IFNA(MATCH(BS42,Achievements[[#All],[Column118]],0)+10,"")</f>
        <v/>
      </c>
      <c r="CT42" s="134" t="str">
        <f>_xlfn.IFNA(MATCH(BT42,Achievements[[#All],[Column118]],0)+10,"")</f>
        <v/>
      </c>
      <c r="CU42" s="134" t="str">
        <f>_xlfn.IFNA(MATCH(BU42,Achievements[[#All],[Column119]],0)+10,"")</f>
        <v/>
      </c>
      <c r="CV42" s="134" t="str">
        <f>_xlfn.IFNA(MATCH(BV42,Achievements[[#All],[Column119]],0)+10,"")</f>
        <v/>
      </c>
      <c r="CW42" s="134" t="str">
        <f>_xlfn.IFNA(MATCH(BW42,Achievements[[#All],[Column120]],0)+10,"")</f>
        <v/>
      </c>
      <c r="CX42" s="134" t="str">
        <f>_xlfn.IFNA(MATCH(BX42,Achievements[[#All],[Column120]],0)+10,"")</f>
        <v/>
      </c>
      <c r="CY42" s="134" t="str">
        <f>_xlfn.IFNA(MATCH(BY42,Achievements[[#All],[Column121]],0)+10,"")</f>
        <v/>
      </c>
      <c r="CZ42" s="118" t="e">
        <f t="shared" ca="1" si="1"/>
        <v>#NAME?</v>
      </c>
    </row>
    <row r="43" spans="1:104" x14ac:dyDescent="0.25">
      <c r="A43" t="e" cm="1">
        <f t="array" aca="1" ref="A43" ca="1">SplitValues("; ",#REF!)</f>
        <v>#NAME?</v>
      </c>
      <c r="AA43" t="e">
        <f ca="1">_xlfn.IFNA(MATCH(A43,Achievements[[#All],[Column1]],0)+11,"")</f>
        <v>#NAME?</v>
      </c>
      <c r="AB43" s="134" t="str">
        <f>_xlfn.IFNA(MATCH(B43,Achievements[[#All],[Column1]],0)+10,"")</f>
        <v/>
      </c>
      <c r="AC43" s="134" t="str">
        <f>_xlfn.IFNA(MATCH(C43,Achievements[[#All],[Column1]],0)+10,"")</f>
        <v/>
      </c>
      <c r="AD43" s="134" t="str">
        <f>_xlfn.IFNA(MATCH(D43,Achievements[[#All],[Column110]],0)+10,"")</f>
        <v/>
      </c>
      <c r="AE43" s="134" t="str">
        <f>_xlfn.IFNA(MATCH(E43,Achievements[[#All],[Column110]],0)+10,"")</f>
        <v/>
      </c>
      <c r="AF43" s="134" t="str">
        <f>_xlfn.IFNA(MATCH(F43,Achievements[[#All],[Column111]],0)+10,"")</f>
        <v/>
      </c>
      <c r="AG43" s="134" t="str">
        <f>_xlfn.IFNA(MATCH(G43,Achievements[[#All],[Column111]],0)+10,"")</f>
        <v/>
      </c>
      <c r="AH43" s="134" t="str">
        <f>_xlfn.IFNA(MATCH(H43,Achievements[[#All],[Column112]],0)+10,"")</f>
        <v/>
      </c>
      <c r="AI43" s="134" t="str">
        <f>_xlfn.IFNA(MATCH(I43,Achievements[[#All],[Column112]],0)+10,"")</f>
        <v/>
      </c>
      <c r="AJ43" s="134" t="str">
        <f>_xlfn.IFNA(MATCH(J43,Achievements[[#All],[Column113]],0)+10,"")</f>
        <v/>
      </c>
      <c r="AK43" s="134" t="str">
        <f>_xlfn.IFNA(MATCH(K43,Achievements[[#All],[Column113]],0)+10,"")</f>
        <v/>
      </c>
      <c r="AL43" s="134" t="str">
        <f>_xlfn.IFNA(MATCH(L43,Achievements[[#All],[Column114]],0)+10,"")</f>
        <v/>
      </c>
      <c r="AM43" s="134" t="str">
        <f>_xlfn.IFNA(MATCH(M43,Achievements[[#All],[Column114]],0)+10,"")</f>
        <v/>
      </c>
      <c r="AN43" s="134" t="str">
        <f>_xlfn.IFNA(MATCH(N43,Achievements[[#All],[Column115]],0)+10,"")</f>
        <v/>
      </c>
      <c r="AO43" s="134" t="str">
        <f>_xlfn.IFNA(MATCH(O43,Achievements[[#All],[Column115]],0)+10,"")</f>
        <v/>
      </c>
      <c r="AP43" s="134" t="str">
        <f>_xlfn.IFNA(MATCH(P43,Achievements[[#All],[Column116]],0)+10,"")</f>
        <v/>
      </c>
      <c r="AQ43" s="134" t="str">
        <f>_xlfn.IFNA(MATCH(Q43,Achievements[[#All],[Column116]],0)+10,"")</f>
        <v/>
      </c>
      <c r="AR43" s="134" t="str">
        <f>_xlfn.IFNA(MATCH(R43,Achievements[[#All],[Column117]],0)+10,"")</f>
        <v/>
      </c>
      <c r="AS43" s="134" t="str">
        <f>_xlfn.IFNA(MATCH(S43,Achievements[[#All],[Column117]],0)+10,"")</f>
        <v/>
      </c>
      <c r="AT43" s="134" t="str">
        <f>_xlfn.IFNA(MATCH(T43,Achievements[[#All],[Column118]],0)+10,"")</f>
        <v/>
      </c>
      <c r="AU43" s="134" t="str">
        <f>_xlfn.IFNA(MATCH(U43,Achievements[[#All],[Column118]],0)+10,"")</f>
        <v/>
      </c>
      <c r="AV43" s="134" t="str">
        <f>_xlfn.IFNA(MATCH(V43,Achievements[[#All],[Column119]],0)+10,"")</f>
        <v/>
      </c>
      <c r="AW43" s="134" t="str">
        <f>_xlfn.IFNA(MATCH(W43,Achievements[[#All],[Column119]],0)+10,"")</f>
        <v/>
      </c>
      <c r="AX43" s="134" t="str">
        <f>_xlfn.IFNA(MATCH(X43,Achievements[[#All],[Column120]],0)+10,"")</f>
        <v/>
      </c>
      <c r="AY43" s="134" t="str">
        <f>_xlfn.IFNA(MATCH(Y43,Achievements[[#All],[Column120]],0)+10,"")</f>
        <v/>
      </c>
      <c r="AZ43" s="116" t="e">
        <f t="shared" ca="1" si="0"/>
        <v>#NAME?</v>
      </c>
      <c r="BA43" s="134" t="e" cm="1">
        <f t="array" aca="1" ref="BA43" ca="1">SplitValues("; ",Persons[[#This Row],[Column1]])</f>
        <v>#NAME?</v>
      </c>
      <c r="CA43" s="134" t="e">
        <f ca="1">_xlfn.IFNA(MATCH(BA43,Achievements[[#All],[Column1]],0)+10,"")</f>
        <v>#NAME?</v>
      </c>
      <c r="CB43" s="134" t="str">
        <f>_xlfn.IFNA(MATCH(BB43,Achievements[[#All],[Column1]],0)+10,"")</f>
        <v/>
      </c>
      <c r="CC43" s="134" t="str">
        <f>_xlfn.IFNA(MATCH(BC43,Achievements[[#All],[Column110]],0)+10,"")</f>
        <v/>
      </c>
      <c r="CD43" s="134" t="str">
        <f>_xlfn.IFNA(MATCH(BD43,Achievements[[#All],[Column110]],0)+10,"")</f>
        <v/>
      </c>
      <c r="CE43" s="134" t="str">
        <f>_xlfn.IFNA(MATCH(BE43,Achievements[[#All],[Column111]],0)+10,"")</f>
        <v/>
      </c>
      <c r="CF43" s="134" t="str">
        <f>_xlfn.IFNA(MATCH(BF43,Achievements[[#All],[Column111]],0)+10,"")</f>
        <v/>
      </c>
      <c r="CG43" s="134" t="str">
        <f>_xlfn.IFNA(MATCH(BG43,Achievements[[#All],[Column112]],0)+10,"")</f>
        <v/>
      </c>
      <c r="CH43" s="134" t="str">
        <f>_xlfn.IFNA(MATCH(BH43,Achievements[[#All],[Column112]],0)+10,"")</f>
        <v/>
      </c>
      <c r="CI43" s="134" t="str">
        <f>_xlfn.IFNA(MATCH(BI43,Achievements[[#All],[Column113]],0)+10,"")</f>
        <v/>
      </c>
      <c r="CJ43" s="134" t="str">
        <f>_xlfn.IFNA(MATCH(BJ43,Achievements[[#All],[Column113]],0)+10,"")</f>
        <v/>
      </c>
      <c r="CK43" s="134" t="str">
        <f>_xlfn.IFNA(MATCH(BK43,Achievements[[#All],[Column114]],0)+10,"")</f>
        <v/>
      </c>
      <c r="CL43" s="134" t="str">
        <f>_xlfn.IFNA(MATCH(BL43,Achievements[[#All],[Column114]],0)+10,"")</f>
        <v/>
      </c>
      <c r="CM43" s="134" t="str">
        <f>_xlfn.IFNA(MATCH(BM43,Achievements[[#All],[Column115]],0)+10,"")</f>
        <v/>
      </c>
      <c r="CN43" s="134" t="str">
        <f>_xlfn.IFNA(MATCH(BN43,Achievements[[#All],[Column115]],0)+10,"")</f>
        <v/>
      </c>
      <c r="CO43" s="134" t="str">
        <f>_xlfn.IFNA(MATCH(BO43,Achievements[[#All],[Column116]],0)+10,"")</f>
        <v/>
      </c>
      <c r="CP43" s="134" t="str">
        <f>_xlfn.IFNA(MATCH(BP43,Achievements[[#All],[Column116]],0)+10,"")</f>
        <v/>
      </c>
      <c r="CQ43" s="134" t="str">
        <f>_xlfn.IFNA(MATCH(BQ43,Achievements[[#All],[Column117]],0)+10,"")</f>
        <v/>
      </c>
      <c r="CR43" s="134" t="str">
        <f>_xlfn.IFNA(MATCH(BR43,Achievements[[#All],[Column117]],0)+10,"")</f>
        <v/>
      </c>
      <c r="CS43" s="134" t="str">
        <f>_xlfn.IFNA(MATCH(BS43,Achievements[[#All],[Column118]],0)+10,"")</f>
        <v/>
      </c>
      <c r="CT43" s="134" t="str">
        <f>_xlfn.IFNA(MATCH(BT43,Achievements[[#All],[Column118]],0)+10,"")</f>
        <v/>
      </c>
      <c r="CU43" s="134" t="str">
        <f>_xlfn.IFNA(MATCH(BU43,Achievements[[#All],[Column119]],0)+10,"")</f>
        <v/>
      </c>
      <c r="CV43" s="134" t="str">
        <f>_xlfn.IFNA(MATCH(BV43,Achievements[[#All],[Column119]],0)+10,"")</f>
        <v/>
      </c>
      <c r="CW43" s="134" t="str">
        <f>_xlfn.IFNA(MATCH(BW43,Achievements[[#All],[Column120]],0)+10,"")</f>
        <v/>
      </c>
      <c r="CX43" s="134" t="str">
        <f>_xlfn.IFNA(MATCH(BX43,Achievements[[#All],[Column120]],0)+10,"")</f>
        <v/>
      </c>
      <c r="CY43" s="134" t="str">
        <f>_xlfn.IFNA(MATCH(BY43,Achievements[[#All],[Column121]],0)+10,"")</f>
        <v/>
      </c>
      <c r="CZ43" s="118" t="e">
        <f t="shared" ca="1" si="1"/>
        <v>#NAME?</v>
      </c>
    </row>
    <row r="44" spans="1:104" x14ac:dyDescent="0.25">
      <c r="A44" t="e" cm="1">
        <f t="array" aca="1" ref="A44" ca="1">SplitValues("; ",#REF!)</f>
        <v>#NAME?</v>
      </c>
      <c r="AA44" t="e">
        <f ca="1">_xlfn.IFNA(MATCH(A44,Achievements[[#All],[Column1]],0)+11,"")</f>
        <v>#NAME?</v>
      </c>
      <c r="AB44" s="134" t="str">
        <f>_xlfn.IFNA(MATCH(B44,Achievements[[#All],[Column1]],0)+10,"")</f>
        <v/>
      </c>
      <c r="AC44" s="134" t="str">
        <f>_xlfn.IFNA(MATCH(C44,Achievements[[#All],[Column1]],0)+10,"")</f>
        <v/>
      </c>
      <c r="AD44" s="134" t="str">
        <f>_xlfn.IFNA(MATCH(D44,Achievements[[#All],[Column110]],0)+10,"")</f>
        <v/>
      </c>
      <c r="AE44" s="134" t="str">
        <f>_xlfn.IFNA(MATCH(E44,Achievements[[#All],[Column110]],0)+10,"")</f>
        <v/>
      </c>
      <c r="AF44" s="134" t="str">
        <f>_xlfn.IFNA(MATCH(F44,Achievements[[#All],[Column111]],0)+10,"")</f>
        <v/>
      </c>
      <c r="AG44" s="134" t="str">
        <f>_xlfn.IFNA(MATCH(G44,Achievements[[#All],[Column111]],0)+10,"")</f>
        <v/>
      </c>
      <c r="AH44" s="134" t="str">
        <f>_xlfn.IFNA(MATCH(H44,Achievements[[#All],[Column112]],0)+10,"")</f>
        <v/>
      </c>
      <c r="AI44" s="134" t="str">
        <f>_xlfn.IFNA(MATCH(I44,Achievements[[#All],[Column112]],0)+10,"")</f>
        <v/>
      </c>
      <c r="AJ44" s="134" t="str">
        <f>_xlfn.IFNA(MATCH(J44,Achievements[[#All],[Column113]],0)+10,"")</f>
        <v/>
      </c>
      <c r="AK44" s="134" t="str">
        <f>_xlfn.IFNA(MATCH(K44,Achievements[[#All],[Column113]],0)+10,"")</f>
        <v/>
      </c>
      <c r="AL44" s="134" t="str">
        <f>_xlfn.IFNA(MATCH(L44,Achievements[[#All],[Column114]],0)+10,"")</f>
        <v/>
      </c>
      <c r="AM44" s="134" t="str">
        <f>_xlfn.IFNA(MATCH(M44,Achievements[[#All],[Column114]],0)+10,"")</f>
        <v/>
      </c>
      <c r="AN44" s="134" t="str">
        <f>_xlfn.IFNA(MATCH(N44,Achievements[[#All],[Column115]],0)+10,"")</f>
        <v/>
      </c>
      <c r="AO44" s="134" t="str">
        <f>_xlfn.IFNA(MATCH(O44,Achievements[[#All],[Column115]],0)+10,"")</f>
        <v/>
      </c>
      <c r="AP44" s="134" t="str">
        <f>_xlfn.IFNA(MATCH(P44,Achievements[[#All],[Column116]],0)+10,"")</f>
        <v/>
      </c>
      <c r="AQ44" s="134" t="str">
        <f>_xlfn.IFNA(MATCH(Q44,Achievements[[#All],[Column116]],0)+10,"")</f>
        <v/>
      </c>
      <c r="AR44" s="134" t="str">
        <f>_xlfn.IFNA(MATCH(R44,Achievements[[#All],[Column117]],0)+10,"")</f>
        <v/>
      </c>
      <c r="AS44" s="134" t="str">
        <f>_xlfn.IFNA(MATCH(S44,Achievements[[#All],[Column117]],0)+10,"")</f>
        <v/>
      </c>
      <c r="AT44" s="134" t="str">
        <f>_xlfn.IFNA(MATCH(T44,Achievements[[#All],[Column118]],0)+10,"")</f>
        <v/>
      </c>
      <c r="AU44" s="134" t="str">
        <f>_xlfn.IFNA(MATCH(U44,Achievements[[#All],[Column118]],0)+10,"")</f>
        <v/>
      </c>
      <c r="AV44" s="134" t="str">
        <f>_xlfn.IFNA(MATCH(V44,Achievements[[#All],[Column119]],0)+10,"")</f>
        <v/>
      </c>
      <c r="AW44" s="134" t="str">
        <f>_xlfn.IFNA(MATCH(W44,Achievements[[#All],[Column119]],0)+10,"")</f>
        <v/>
      </c>
      <c r="AX44" s="134" t="str">
        <f>_xlfn.IFNA(MATCH(X44,Achievements[[#All],[Column120]],0)+10,"")</f>
        <v/>
      </c>
      <c r="AY44" s="134" t="str">
        <f>_xlfn.IFNA(MATCH(Y44,Achievements[[#All],[Column120]],0)+10,"")</f>
        <v/>
      </c>
      <c r="AZ44" s="116" t="e">
        <f t="shared" ca="1" si="0"/>
        <v>#NAME?</v>
      </c>
      <c r="BA44" s="134" t="e" cm="1">
        <f t="array" aca="1" ref="BA44" ca="1">SplitValues("; ",Persons[[#This Row],[Column1]])</f>
        <v>#NAME?</v>
      </c>
      <c r="CA44" s="134" t="e">
        <f ca="1">_xlfn.IFNA(MATCH(BA44,Achievements[[#All],[Column1]],0)+10,"")</f>
        <v>#NAME?</v>
      </c>
      <c r="CB44" s="134" t="str">
        <f>_xlfn.IFNA(MATCH(BB44,Achievements[[#All],[Column1]],0)+10,"")</f>
        <v/>
      </c>
      <c r="CC44" s="134" t="str">
        <f>_xlfn.IFNA(MATCH(BC44,Achievements[[#All],[Column110]],0)+10,"")</f>
        <v/>
      </c>
      <c r="CD44" s="134" t="str">
        <f>_xlfn.IFNA(MATCH(BD44,Achievements[[#All],[Column110]],0)+10,"")</f>
        <v/>
      </c>
      <c r="CE44" s="134" t="str">
        <f>_xlfn.IFNA(MATCH(BE44,Achievements[[#All],[Column111]],0)+10,"")</f>
        <v/>
      </c>
      <c r="CF44" s="134" t="str">
        <f>_xlfn.IFNA(MATCH(BF44,Achievements[[#All],[Column111]],0)+10,"")</f>
        <v/>
      </c>
      <c r="CG44" s="134" t="str">
        <f>_xlfn.IFNA(MATCH(BG44,Achievements[[#All],[Column112]],0)+10,"")</f>
        <v/>
      </c>
      <c r="CH44" s="134" t="str">
        <f>_xlfn.IFNA(MATCH(BH44,Achievements[[#All],[Column112]],0)+10,"")</f>
        <v/>
      </c>
      <c r="CI44" s="134" t="str">
        <f>_xlfn.IFNA(MATCH(BI44,Achievements[[#All],[Column113]],0)+10,"")</f>
        <v/>
      </c>
      <c r="CJ44" s="134" t="str">
        <f>_xlfn.IFNA(MATCH(BJ44,Achievements[[#All],[Column113]],0)+10,"")</f>
        <v/>
      </c>
      <c r="CK44" s="134" t="str">
        <f>_xlfn.IFNA(MATCH(BK44,Achievements[[#All],[Column114]],0)+10,"")</f>
        <v/>
      </c>
      <c r="CL44" s="134" t="str">
        <f>_xlfn.IFNA(MATCH(BL44,Achievements[[#All],[Column114]],0)+10,"")</f>
        <v/>
      </c>
      <c r="CM44" s="134" t="str">
        <f>_xlfn.IFNA(MATCH(BM44,Achievements[[#All],[Column115]],0)+10,"")</f>
        <v/>
      </c>
      <c r="CN44" s="134" t="str">
        <f>_xlfn.IFNA(MATCH(BN44,Achievements[[#All],[Column115]],0)+10,"")</f>
        <v/>
      </c>
      <c r="CO44" s="134" t="str">
        <f>_xlfn.IFNA(MATCH(BO44,Achievements[[#All],[Column116]],0)+10,"")</f>
        <v/>
      </c>
      <c r="CP44" s="134" t="str">
        <f>_xlfn.IFNA(MATCH(BP44,Achievements[[#All],[Column116]],0)+10,"")</f>
        <v/>
      </c>
      <c r="CQ44" s="134" t="str">
        <f>_xlfn.IFNA(MATCH(BQ44,Achievements[[#All],[Column117]],0)+10,"")</f>
        <v/>
      </c>
      <c r="CR44" s="134" t="str">
        <f>_xlfn.IFNA(MATCH(BR44,Achievements[[#All],[Column117]],0)+10,"")</f>
        <v/>
      </c>
      <c r="CS44" s="134" t="str">
        <f>_xlfn.IFNA(MATCH(BS44,Achievements[[#All],[Column118]],0)+10,"")</f>
        <v/>
      </c>
      <c r="CT44" s="134" t="str">
        <f>_xlfn.IFNA(MATCH(BT44,Achievements[[#All],[Column118]],0)+10,"")</f>
        <v/>
      </c>
      <c r="CU44" s="134" t="str">
        <f>_xlfn.IFNA(MATCH(BU44,Achievements[[#All],[Column119]],0)+10,"")</f>
        <v/>
      </c>
      <c r="CV44" s="134" t="str">
        <f>_xlfn.IFNA(MATCH(BV44,Achievements[[#All],[Column119]],0)+10,"")</f>
        <v/>
      </c>
      <c r="CW44" s="134" t="str">
        <f>_xlfn.IFNA(MATCH(BW44,Achievements[[#All],[Column120]],0)+10,"")</f>
        <v/>
      </c>
      <c r="CX44" s="134" t="str">
        <f>_xlfn.IFNA(MATCH(BX44,Achievements[[#All],[Column120]],0)+10,"")</f>
        <v/>
      </c>
      <c r="CY44" s="134" t="str">
        <f>_xlfn.IFNA(MATCH(BY44,Achievements[[#All],[Column121]],0)+10,"")</f>
        <v/>
      </c>
      <c r="CZ44" s="118" t="e">
        <f t="shared" ca="1" si="1"/>
        <v>#NAME?</v>
      </c>
    </row>
    <row r="45" spans="1:104" x14ac:dyDescent="0.25">
      <c r="A45" t="e" cm="1">
        <f t="array" aca="1" ref="A45" ca="1">SplitValues("; ",#REF!)</f>
        <v>#NAME?</v>
      </c>
      <c r="AA45" t="e">
        <f ca="1">_xlfn.IFNA(MATCH(A45,Achievements[[#All],[Column1]],0)+11,"")</f>
        <v>#NAME?</v>
      </c>
      <c r="AB45" s="134" t="str">
        <f>_xlfn.IFNA(MATCH(B45,Achievements[[#All],[Column1]],0)+10,"")</f>
        <v/>
      </c>
      <c r="AC45" s="134" t="str">
        <f>_xlfn.IFNA(MATCH(C45,Achievements[[#All],[Column1]],0)+10,"")</f>
        <v/>
      </c>
      <c r="AD45" s="134" t="str">
        <f>_xlfn.IFNA(MATCH(D45,Achievements[[#All],[Column110]],0)+10,"")</f>
        <v/>
      </c>
      <c r="AE45" s="134" t="str">
        <f>_xlfn.IFNA(MATCH(E45,Achievements[[#All],[Column110]],0)+10,"")</f>
        <v/>
      </c>
      <c r="AF45" s="134" t="str">
        <f>_xlfn.IFNA(MATCH(F45,Achievements[[#All],[Column111]],0)+10,"")</f>
        <v/>
      </c>
      <c r="AG45" s="134" t="str">
        <f>_xlfn.IFNA(MATCH(G45,Achievements[[#All],[Column111]],0)+10,"")</f>
        <v/>
      </c>
      <c r="AH45" s="134" t="str">
        <f>_xlfn.IFNA(MATCH(H45,Achievements[[#All],[Column112]],0)+10,"")</f>
        <v/>
      </c>
      <c r="AI45" s="134" t="str">
        <f>_xlfn.IFNA(MATCH(I45,Achievements[[#All],[Column112]],0)+10,"")</f>
        <v/>
      </c>
      <c r="AJ45" s="134" t="str">
        <f>_xlfn.IFNA(MATCH(J45,Achievements[[#All],[Column113]],0)+10,"")</f>
        <v/>
      </c>
      <c r="AK45" s="134" t="str">
        <f>_xlfn.IFNA(MATCH(K45,Achievements[[#All],[Column113]],0)+10,"")</f>
        <v/>
      </c>
      <c r="AL45" s="134" t="str">
        <f>_xlfn.IFNA(MATCH(L45,Achievements[[#All],[Column114]],0)+10,"")</f>
        <v/>
      </c>
      <c r="AM45" s="134" t="str">
        <f>_xlfn.IFNA(MATCH(M45,Achievements[[#All],[Column114]],0)+10,"")</f>
        <v/>
      </c>
      <c r="AN45" s="134" t="str">
        <f>_xlfn.IFNA(MATCH(N45,Achievements[[#All],[Column115]],0)+10,"")</f>
        <v/>
      </c>
      <c r="AO45" s="134" t="str">
        <f>_xlfn.IFNA(MATCH(O45,Achievements[[#All],[Column115]],0)+10,"")</f>
        <v/>
      </c>
      <c r="AP45" s="134" t="str">
        <f>_xlfn.IFNA(MATCH(P45,Achievements[[#All],[Column116]],0)+10,"")</f>
        <v/>
      </c>
      <c r="AQ45" s="134" t="str">
        <f>_xlfn.IFNA(MATCH(Q45,Achievements[[#All],[Column116]],0)+10,"")</f>
        <v/>
      </c>
      <c r="AR45" s="134" t="str">
        <f>_xlfn.IFNA(MATCH(R45,Achievements[[#All],[Column117]],0)+10,"")</f>
        <v/>
      </c>
      <c r="AS45" s="134" t="str">
        <f>_xlfn.IFNA(MATCH(S45,Achievements[[#All],[Column117]],0)+10,"")</f>
        <v/>
      </c>
      <c r="AT45" s="134" t="str">
        <f>_xlfn.IFNA(MATCH(T45,Achievements[[#All],[Column118]],0)+10,"")</f>
        <v/>
      </c>
      <c r="AU45" s="134" t="str">
        <f>_xlfn.IFNA(MATCH(U45,Achievements[[#All],[Column118]],0)+10,"")</f>
        <v/>
      </c>
      <c r="AV45" s="134" t="str">
        <f>_xlfn.IFNA(MATCH(V45,Achievements[[#All],[Column119]],0)+10,"")</f>
        <v/>
      </c>
      <c r="AW45" s="134" t="str">
        <f>_xlfn.IFNA(MATCH(W45,Achievements[[#All],[Column119]],0)+10,"")</f>
        <v/>
      </c>
      <c r="AX45" s="134" t="str">
        <f>_xlfn.IFNA(MATCH(X45,Achievements[[#All],[Column120]],0)+10,"")</f>
        <v/>
      </c>
      <c r="AY45" s="134" t="str">
        <f>_xlfn.IFNA(MATCH(Y45,Achievements[[#All],[Column120]],0)+10,"")</f>
        <v/>
      </c>
      <c r="AZ45" s="116" t="e">
        <f t="shared" ca="1" si="0"/>
        <v>#NAME?</v>
      </c>
      <c r="BA45" s="134" t="e" cm="1">
        <f t="array" aca="1" ref="BA45" ca="1">SplitValues("; ",Persons[[#This Row],[Column1]])</f>
        <v>#NAME?</v>
      </c>
      <c r="CA45" s="134" t="e">
        <f ca="1">_xlfn.IFNA(MATCH(BA45,Achievements[[#All],[Column1]],0)+10,"")</f>
        <v>#NAME?</v>
      </c>
      <c r="CB45" s="134" t="str">
        <f>_xlfn.IFNA(MATCH(BB45,Achievements[[#All],[Column1]],0)+10,"")</f>
        <v/>
      </c>
      <c r="CC45" s="134" t="str">
        <f>_xlfn.IFNA(MATCH(BC45,Achievements[[#All],[Column110]],0)+10,"")</f>
        <v/>
      </c>
      <c r="CD45" s="134" t="str">
        <f>_xlfn.IFNA(MATCH(BD45,Achievements[[#All],[Column110]],0)+10,"")</f>
        <v/>
      </c>
      <c r="CE45" s="134" t="str">
        <f>_xlfn.IFNA(MATCH(BE45,Achievements[[#All],[Column111]],0)+10,"")</f>
        <v/>
      </c>
      <c r="CF45" s="134" t="str">
        <f>_xlfn.IFNA(MATCH(BF45,Achievements[[#All],[Column111]],0)+10,"")</f>
        <v/>
      </c>
      <c r="CG45" s="134" t="str">
        <f>_xlfn.IFNA(MATCH(BG45,Achievements[[#All],[Column112]],0)+10,"")</f>
        <v/>
      </c>
      <c r="CH45" s="134" t="str">
        <f>_xlfn.IFNA(MATCH(BH45,Achievements[[#All],[Column112]],0)+10,"")</f>
        <v/>
      </c>
      <c r="CI45" s="134" t="str">
        <f>_xlfn.IFNA(MATCH(BI45,Achievements[[#All],[Column113]],0)+10,"")</f>
        <v/>
      </c>
      <c r="CJ45" s="134" t="str">
        <f>_xlfn.IFNA(MATCH(BJ45,Achievements[[#All],[Column113]],0)+10,"")</f>
        <v/>
      </c>
      <c r="CK45" s="134" t="str">
        <f>_xlfn.IFNA(MATCH(BK45,Achievements[[#All],[Column114]],0)+10,"")</f>
        <v/>
      </c>
      <c r="CL45" s="134" t="str">
        <f>_xlfn.IFNA(MATCH(BL45,Achievements[[#All],[Column114]],0)+10,"")</f>
        <v/>
      </c>
      <c r="CM45" s="134" t="str">
        <f>_xlfn.IFNA(MATCH(BM45,Achievements[[#All],[Column115]],0)+10,"")</f>
        <v/>
      </c>
      <c r="CN45" s="134" t="str">
        <f>_xlfn.IFNA(MATCH(BN45,Achievements[[#All],[Column115]],0)+10,"")</f>
        <v/>
      </c>
      <c r="CO45" s="134" t="str">
        <f>_xlfn.IFNA(MATCH(BO45,Achievements[[#All],[Column116]],0)+10,"")</f>
        <v/>
      </c>
      <c r="CP45" s="134" t="str">
        <f>_xlfn.IFNA(MATCH(BP45,Achievements[[#All],[Column116]],0)+10,"")</f>
        <v/>
      </c>
      <c r="CQ45" s="134" t="str">
        <f>_xlfn.IFNA(MATCH(BQ45,Achievements[[#All],[Column117]],0)+10,"")</f>
        <v/>
      </c>
      <c r="CR45" s="134" t="str">
        <f>_xlfn.IFNA(MATCH(BR45,Achievements[[#All],[Column117]],0)+10,"")</f>
        <v/>
      </c>
      <c r="CS45" s="134" t="str">
        <f>_xlfn.IFNA(MATCH(BS45,Achievements[[#All],[Column118]],0)+10,"")</f>
        <v/>
      </c>
      <c r="CT45" s="134" t="str">
        <f>_xlfn.IFNA(MATCH(BT45,Achievements[[#All],[Column118]],0)+10,"")</f>
        <v/>
      </c>
      <c r="CU45" s="134" t="str">
        <f>_xlfn.IFNA(MATCH(BU45,Achievements[[#All],[Column119]],0)+10,"")</f>
        <v/>
      </c>
      <c r="CV45" s="134" t="str">
        <f>_xlfn.IFNA(MATCH(BV45,Achievements[[#All],[Column119]],0)+10,"")</f>
        <v/>
      </c>
      <c r="CW45" s="134" t="str">
        <f>_xlfn.IFNA(MATCH(BW45,Achievements[[#All],[Column120]],0)+10,"")</f>
        <v/>
      </c>
      <c r="CX45" s="134" t="str">
        <f>_xlfn.IFNA(MATCH(BX45,Achievements[[#All],[Column120]],0)+10,"")</f>
        <v/>
      </c>
      <c r="CY45" s="134" t="str">
        <f>_xlfn.IFNA(MATCH(BY45,Achievements[[#All],[Column121]],0)+10,"")</f>
        <v/>
      </c>
      <c r="CZ45" s="118" t="e">
        <f t="shared" ca="1" si="1"/>
        <v>#NAME?</v>
      </c>
    </row>
    <row r="46" spans="1:104" x14ac:dyDescent="0.25">
      <c r="A46" t="e" cm="1">
        <f t="array" aca="1" ref="A46" ca="1">SplitValues("; ",#REF!)</f>
        <v>#NAME?</v>
      </c>
      <c r="AA46" t="e">
        <f ca="1">_xlfn.IFNA(MATCH(A46,Achievements[[#All],[Column1]],0)+11,"")</f>
        <v>#NAME?</v>
      </c>
      <c r="AB46" s="134" t="str">
        <f>_xlfn.IFNA(MATCH(B46,Achievements[[#All],[Column1]],0)+10,"")</f>
        <v/>
      </c>
      <c r="AC46" s="134" t="str">
        <f>_xlfn.IFNA(MATCH(C46,Achievements[[#All],[Column1]],0)+10,"")</f>
        <v/>
      </c>
      <c r="AD46" s="134" t="str">
        <f>_xlfn.IFNA(MATCH(D46,Achievements[[#All],[Column110]],0)+10,"")</f>
        <v/>
      </c>
      <c r="AE46" s="134" t="str">
        <f>_xlfn.IFNA(MATCH(E46,Achievements[[#All],[Column110]],0)+10,"")</f>
        <v/>
      </c>
      <c r="AF46" s="134" t="str">
        <f>_xlfn.IFNA(MATCH(F46,Achievements[[#All],[Column111]],0)+10,"")</f>
        <v/>
      </c>
      <c r="AG46" s="134" t="str">
        <f>_xlfn.IFNA(MATCH(G46,Achievements[[#All],[Column111]],0)+10,"")</f>
        <v/>
      </c>
      <c r="AH46" s="134" t="str">
        <f>_xlfn.IFNA(MATCH(H46,Achievements[[#All],[Column112]],0)+10,"")</f>
        <v/>
      </c>
      <c r="AI46" s="134" t="str">
        <f>_xlfn.IFNA(MATCH(I46,Achievements[[#All],[Column112]],0)+10,"")</f>
        <v/>
      </c>
      <c r="AJ46" s="134" t="str">
        <f>_xlfn.IFNA(MATCH(J46,Achievements[[#All],[Column113]],0)+10,"")</f>
        <v/>
      </c>
      <c r="AK46" s="134" t="str">
        <f>_xlfn.IFNA(MATCH(K46,Achievements[[#All],[Column113]],0)+10,"")</f>
        <v/>
      </c>
      <c r="AL46" s="134" t="str">
        <f>_xlfn.IFNA(MATCH(L46,Achievements[[#All],[Column114]],0)+10,"")</f>
        <v/>
      </c>
      <c r="AM46" s="134" t="str">
        <f>_xlfn.IFNA(MATCH(M46,Achievements[[#All],[Column114]],0)+10,"")</f>
        <v/>
      </c>
      <c r="AN46" s="134" t="str">
        <f>_xlfn.IFNA(MATCH(N46,Achievements[[#All],[Column115]],0)+10,"")</f>
        <v/>
      </c>
      <c r="AO46" s="134" t="str">
        <f>_xlfn.IFNA(MATCH(O46,Achievements[[#All],[Column115]],0)+10,"")</f>
        <v/>
      </c>
      <c r="AP46" s="134" t="str">
        <f>_xlfn.IFNA(MATCH(P46,Achievements[[#All],[Column116]],0)+10,"")</f>
        <v/>
      </c>
      <c r="AQ46" s="134" t="str">
        <f>_xlfn.IFNA(MATCH(Q46,Achievements[[#All],[Column116]],0)+10,"")</f>
        <v/>
      </c>
      <c r="AR46" s="134" t="str">
        <f>_xlfn.IFNA(MATCH(R46,Achievements[[#All],[Column117]],0)+10,"")</f>
        <v/>
      </c>
      <c r="AS46" s="134" t="str">
        <f>_xlfn.IFNA(MATCH(S46,Achievements[[#All],[Column117]],0)+10,"")</f>
        <v/>
      </c>
      <c r="AT46" s="134" t="str">
        <f>_xlfn.IFNA(MATCH(T46,Achievements[[#All],[Column118]],0)+10,"")</f>
        <v/>
      </c>
      <c r="AU46" s="134" t="str">
        <f>_xlfn.IFNA(MATCH(U46,Achievements[[#All],[Column118]],0)+10,"")</f>
        <v/>
      </c>
      <c r="AV46" s="134" t="str">
        <f>_xlfn.IFNA(MATCH(V46,Achievements[[#All],[Column119]],0)+10,"")</f>
        <v/>
      </c>
      <c r="AW46" s="134" t="str">
        <f>_xlfn.IFNA(MATCH(W46,Achievements[[#All],[Column119]],0)+10,"")</f>
        <v/>
      </c>
      <c r="AX46" s="134" t="str">
        <f>_xlfn.IFNA(MATCH(X46,Achievements[[#All],[Column120]],0)+10,"")</f>
        <v/>
      </c>
      <c r="AY46" s="134" t="str">
        <f>_xlfn.IFNA(MATCH(Y46,Achievements[[#All],[Column120]],0)+10,"")</f>
        <v/>
      </c>
      <c r="AZ46" s="116" t="e">
        <f t="shared" ca="1" si="0"/>
        <v>#NAME?</v>
      </c>
      <c r="BA46" s="134" t="e" cm="1">
        <f t="array" aca="1" ref="BA46" ca="1">SplitValues("; ",Persons[[#This Row],[Column1]])</f>
        <v>#NAME?</v>
      </c>
      <c r="CA46" s="134" t="e">
        <f ca="1">_xlfn.IFNA(MATCH(BA46,Achievements[[#All],[Column1]],0)+10,"")</f>
        <v>#NAME?</v>
      </c>
      <c r="CB46" s="134" t="str">
        <f>_xlfn.IFNA(MATCH(BB46,Achievements[[#All],[Column1]],0)+10,"")</f>
        <v/>
      </c>
      <c r="CC46" s="134" t="str">
        <f>_xlfn.IFNA(MATCH(BC46,Achievements[[#All],[Column110]],0)+10,"")</f>
        <v/>
      </c>
      <c r="CD46" s="134" t="str">
        <f>_xlfn.IFNA(MATCH(BD46,Achievements[[#All],[Column110]],0)+10,"")</f>
        <v/>
      </c>
      <c r="CE46" s="134" t="str">
        <f>_xlfn.IFNA(MATCH(BE46,Achievements[[#All],[Column111]],0)+10,"")</f>
        <v/>
      </c>
      <c r="CF46" s="134" t="str">
        <f>_xlfn.IFNA(MATCH(BF46,Achievements[[#All],[Column111]],0)+10,"")</f>
        <v/>
      </c>
      <c r="CG46" s="134" t="str">
        <f>_xlfn.IFNA(MATCH(BG46,Achievements[[#All],[Column112]],0)+10,"")</f>
        <v/>
      </c>
      <c r="CH46" s="134" t="str">
        <f>_xlfn.IFNA(MATCH(BH46,Achievements[[#All],[Column112]],0)+10,"")</f>
        <v/>
      </c>
      <c r="CI46" s="134" t="str">
        <f>_xlfn.IFNA(MATCH(BI46,Achievements[[#All],[Column113]],0)+10,"")</f>
        <v/>
      </c>
      <c r="CJ46" s="134" t="str">
        <f>_xlfn.IFNA(MATCH(BJ46,Achievements[[#All],[Column113]],0)+10,"")</f>
        <v/>
      </c>
      <c r="CK46" s="134" t="str">
        <f>_xlfn.IFNA(MATCH(BK46,Achievements[[#All],[Column114]],0)+10,"")</f>
        <v/>
      </c>
      <c r="CL46" s="134" t="str">
        <f>_xlfn.IFNA(MATCH(BL46,Achievements[[#All],[Column114]],0)+10,"")</f>
        <v/>
      </c>
      <c r="CM46" s="134" t="str">
        <f>_xlfn.IFNA(MATCH(BM46,Achievements[[#All],[Column115]],0)+10,"")</f>
        <v/>
      </c>
      <c r="CN46" s="134" t="str">
        <f>_xlfn.IFNA(MATCH(BN46,Achievements[[#All],[Column115]],0)+10,"")</f>
        <v/>
      </c>
      <c r="CO46" s="134" t="str">
        <f>_xlfn.IFNA(MATCH(BO46,Achievements[[#All],[Column116]],0)+10,"")</f>
        <v/>
      </c>
      <c r="CP46" s="134" t="str">
        <f>_xlfn.IFNA(MATCH(BP46,Achievements[[#All],[Column116]],0)+10,"")</f>
        <v/>
      </c>
      <c r="CQ46" s="134" t="str">
        <f>_xlfn.IFNA(MATCH(BQ46,Achievements[[#All],[Column117]],0)+10,"")</f>
        <v/>
      </c>
      <c r="CR46" s="134" t="str">
        <f>_xlfn.IFNA(MATCH(BR46,Achievements[[#All],[Column117]],0)+10,"")</f>
        <v/>
      </c>
      <c r="CS46" s="134" t="str">
        <f>_xlfn.IFNA(MATCH(BS46,Achievements[[#All],[Column118]],0)+10,"")</f>
        <v/>
      </c>
      <c r="CT46" s="134" t="str">
        <f>_xlfn.IFNA(MATCH(BT46,Achievements[[#All],[Column118]],0)+10,"")</f>
        <v/>
      </c>
      <c r="CU46" s="134" t="str">
        <f>_xlfn.IFNA(MATCH(BU46,Achievements[[#All],[Column119]],0)+10,"")</f>
        <v/>
      </c>
      <c r="CV46" s="134" t="str">
        <f>_xlfn.IFNA(MATCH(BV46,Achievements[[#All],[Column119]],0)+10,"")</f>
        <v/>
      </c>
      <c r="CW46" s="134" t="str">
        <f>_xlfn.IFNA(MATCH(BW46,Achievements[[#All],[Column120]],0)+10,"")</f>
        <v/>
      </c>
      <c r="CX46" s="134" t="str">
        <f>_xlfn.IFNA(MATCH(BX46,Achievements[[#All],[Column120]],0)+10,"")</f>
        <v/>
      </c>
      <c r="CY46" s="134" t="str">
        <f>_xlfn.IFNA(MATCH(BY46,Achievements[[#All],[Column121]],0)+10,"")</f>
        <v/>
      </c>
      <c r="CZ46" s="118" t="e">
        <f t="shared" ca="1" si="1"/>
        <v>#NAME?</v>
      </c>
    </row>
    <row r="47" spans="1:104" x14ac:dyDescent="0.25">
      <c r="A47" t="e" cm="1">
        <f t="array" aca="1" ref="A47" ca="1">SplitValues("; ",#REF!)</f>
        <v>#NAME?</v>
      </c>
      <c r="AA47" t="e">
        <f ca="1">_xlfn.IFNA(MATCH(A47,Achievements[[#All],[Column1]],0)+11,"")</f>
        <v>#NAME?</v>
      </c>
      <c r="AB47" s="134" t="str">
        <f>_xlfn.IFNA(MATCH(B47,Achievements[[#All],[Column1]],0)+10,"")</f>
        <v/>
      </c>
      <c r="AC47" s="134" t="str">
        <f>_xlfn.IFNA(MATCH(C47,Achievements[[#All],[Column1]],0)+10,"")</f>
        <v/>
      </c>
      <c r="AD47" s="134" t="str">
        <f>_xlfn.IFNA(MATCH(D47,Achievements[[#All],[Column110]],0)+10,"")</f>
        <v/>
      </c>
      <c r="AE47" s="134" t="str">
        <f>_xlfn.IFNA(MATCH(E47,Achievements[[#All],[Column110]],0)+10,"")</f>
        <v/>
      </c>
      <c r="AF47" s="134" t="str">
        <f>_xlfn.IFNA(MATCH(F47,Achievements[[#All],[Column111]],0)+10,"")</f>
        <v/>
      </c>
      <c r="AG47" s="134" t="str">
        <f>_xlfn.IFNA(MATCH(G47,Achievements[[#All],[Column111]],0)+10,"")</f>
        <v/>
      </c>
      <c r="AH47" s="134" t="str">
        <f>_xlfn.IFNA(MATCH(H47,Achievements[[#All],[Column112]],0)+10,"")</f>
        <v/>
      </c>
      <c r="AI47" s="134" t="str">
        <f>_xlfn.IFNA(MATCH(I47,Achievements[[#All],[Column112]],0)+10,"")</f>
        <v/>
      </c>
      <c r="AJ47" s="134" t="str">
        <f>_xlfn.IFNA(MATCH(J47,Achievements[[#All],[Column113]],0)+10,"")</f>
        <v/>
      </c>
      <c r="AK47" s="134" t="str">
        <f>_xlfn.IFNA(MATCH(K47,Achievements[[#All],[Column113]],0)+10,"")</f>
        <v/>
      </c>
      <c r="AL47" s="134" t="str">
        <f>_xlfn.IFNA(MATCH(L47,Achievements[[#All],[Column114]],0)+10,"")</f>
        <v/>
      </c>
      <c r="AM47" s="134" t="str">
        <f>_xlfn.IFNA(MATCH(M47,Achievements[[#All],[Column114]],0)+10,"")</f>
        <v/>
      </c>
      <c r="AN47" s="134" t="str">
        <f>_xlfn.IFNA(MATCH(N47,Achievements[[#All],[Column115]],0)+10,"")</f>
        <v/>
      </c>
      <c r="AO47" s="134" t="str">
        <f>_xlfn.IFNA(MATCH(O47,Achievements[[#All],[Column115]],0)+10,"")</f>
        <v/>
      </c>
      <c r="AP47" s="134" t="str">
        <f>_xlfn.IFNA(MATCH(P47,Achievements[[#All],[Column116]],0)+10,"")</f>
        <v/>
      </c>
      <c r="AQ47" s="134" t="str">
        <f>_xlfn.IFNA(MATCH(Q47,Achievements[[#All],[Column116]],0)+10,"")</f>
        <v/>
      </c>
      <c r="AR47" s="134" t="str">
        <f>_xlfn.IFNA(MATCH(R47,Achievements[[#All],[Column117]],0)+10,"")</f>
        <v/>
      </c>
      <c r="AS47" s="134" t="str">
        <f>_xlfn.IFNA(MATCH(S47,Achievements[[#All],[Column117]],0)+10,"")</f>
        <v/>
      </c>
      <c r="AT47" s="134" t="str">
        <f>_xlfn.IFNA(MATCH(T47,Achievements[[#All],[Column118]],0)+10,"")</f>
        <v/>
      </c>
      <c r="AU47" s="134" t="str">
        <f>_xlfn.IFNA(MATCH(U47,Achievements[[#All],[Column118]],0)+10,"")</f>
        <v/>
      </c>
      <c r="AV47" s="134" t="str">
        <f>_xlfn.IFNA(MATCH(V47,Achievements[[#All],[Column119]],0)+10,"")</f>
        <v/>
      </c>
      <c r="AW47" s="134" t="str">
        <f>_xlfn.IFNA(MATCH(W47,Achievements[[#All],[Column119]],0)+10,"")</f>
        <v/>
      </c>
      <c r="AX47" s="134" t="str">
        <f>_xlfn.IFNA(MATCH(X47,Achievements[[#All],[Column120]],0)+10,"")</f>
        <v/>
      </c>
      <c r="AY47" s="134" t="str">
        <f>_xlfn.IFNA(MATCH(Y47,Achievements[[#All],[Column120]],0)+10,"")</f>
        <v/>
      </c>
      <c r="AZ47" s="116" t="e">
        <f t="shared" ca="1" si="0"/>
        <v>#NAME?</v>
      </c>
      <c r="BA47" s="134" t="e" cm="1">
        <f t="array" aca="1" ref="BA47" ca="1">SplitValues("; ",Persons[[#This Row],[Column1]])</f>
        <v>#NAME?</v>
      </c>
      <c r="CA47" s="134" t="e">
        <f ca="1">_xlfn.IFNA(MATCH(BA47,Achievements[[#All],[Column1]],0)+10,"")</f>
        <v>#NAME?</v>
      </c>
      <c r="CB47" s="134" t="str">
        <f>_xlfn.IFNA(MATCH(BB47,Achievements[[#All],[Column1]],0)+10,"")</f>
        <v/>
      </c>
      <c r="CC47" s="134" t="str">
        <f>_xlfn.IFNA(MATCH(BC47,Achievements[[#All],[Column110]],0)+10,"")</f>
        <v/>
      </c>
      <c r="CD47" s="134" t="str">
        <f>_xlfn.IFNA(MATCH(BD47,Achievements[[#All],[Column110]],0)+10,"")</f>
        <v/>
      </c>
      <c r="CE47" s="134" t="str">
        <f>_xlfn.IFNA(MATCH(BE47,Achievements[[#All],[Column111]],0)+10,"")</f>
        <v/>
      </c>
      <c r="CF47" s="134" t="str">
        <f>_xlfn.IFNA(MATCH(BF47,Achievements[[#All],[Column111]],0)+10,"")</f>
        <v/>
      </c>
      <c r="CG47" s="134" t="str">
        <f>_xlfn.IFNA(MATCH(BG47,Achievements[[#All],[Column112]],0)+10,"")</f>
        <v/>
      </c>
      <c r="CH47" s="134" t="str">
        <f>_xlfn.IFNA(MATCH(BH47,Achievements[[#All],[Column112]],0)+10,"")</f>
        <v/>
      </c>
      <c r="CI47" s="134" t="str">
        <f>_xlfn.IFNA(MATCH(BI47,Achievements[[#All],[Column113]],0)+10,"")</f>
        <v/>
      </c>
      <c r="CJ47" s="134" t="str">
        <f>_xlfn.IFNA(MATCH(BJ47,Achievements[[#All],[Column113]],0)+10,"")</f>
        <v/>
      </c>
      <c r="CK47" s="134" t="str">
        <f>_xlfn.IFNA(MATCH(BK47,Achievements[[#All],[Column114]],0)+10,"")</f>
        <v/>
      </c>
      <c r="CL47" s="134" t="str">
        <f>_xlfn.IFNA(MATCH(BL47,Achievements[[#All],[Column114]],0)+10,"")</f>
        <v/>
      </c>
      <c r="CM47" s="134" t="str">
        <f>_xlfn.IFNA(MATCH(BM47,Achievements[[#All],[Column115]],0)+10,"")</f>
        <v/>
      </c>
      <c r="CN47" s="134" t="str">
        <f>_xlfn.IFNA(MATCH(BN47,Achievements[[#All],[Column115]],0)+10,"")</f>
        <v/>
      </c>
      <c r="CO47" s="134" t="str">
        <f>_xlfn.IFNA(MATCH(BO47,Achievements[[#All],[Column116]],0)+10,"")</f>
        <v/>
      </c>
      <c r="CP47" s="134" t="str">
        <f>_xlfn.IFNA(MATCH(BP47,Achievements[[#All],[Column116]],0)+10,"")</f>
        <v/>
      </c>
      <c r="CQ47" s="134" t="str">
        <f>_xlfn.IFNA(MATCH(BQ47,Achievements[[#All],[Column117]],0)+10,"")</f>
        <v/>
      </c>
      <c r="CR47" s="134" t="str">
        <f>_xlfn.IFNA(MATCH(BR47,Achievements[[#All],[Column117]],0)+10,"")</f>
        <v/>
      </c>
      <c r="CS47" s="134" t="str">
        <f>_xlfn.IFNA(MATCH(BS47,Achievements[[#All],[Column118]],0)+10,"")</f>
        <v/>
      </c>
      <c r="CT47" s="134" t="str">
        <f>_xlfn.IFNA(MATCH(BT47,Achievements[[#All],[Column118]],0)+10,"")</f>
        <v/>
      </c>
      <c r="CU47" s="134" t="str">
        <f>_xlfn.IFNA(MATCH(BU47,Achievements[[#All],[Column119]],0)+10,"")</f>
        <v/>
      </c>
      <c r="CV47" s="134" t="str">
        <f>_xlfn.IFNA(MATCH(BV47,Achievements[[#All],[Column119]],0)+10,"")</f>
        <v/>
      </c>
      <c r="CW47" s="134" t="str">
        <f>_xlfn.IFNA(MATCH(BW47,Achievements[[#All],[Column120]],0)+10,"")</f>
        <v/>
      </c>
      <c r="CX47" s="134" t="str">
        <f>_xlfn.IFNA(MATCH(BX47,Achievements[[#All],[Column120]],0)+10,"")</f>
        <v/>
      </c>
      <c r="CY47" s="134" t="str">
        <f>_xlfn.IFNA(MATCH(BY47,Achievements[[#All],[Column121]],0)+10,"")</f>
        <v/>
      </c>
      <c r="CZ47" s="118" t="e">
        <f t="shared" ca="1" si="1"/>
        <v>#NAME?</v>
      </c>
    </row>
    <row r="48" spans="1:104" x14ac:dyDescent="0.25">
      <c r="A48" t="e" cm="1">
        <f t="array" aca="1" ref="A48" ca="1">SplitValues("; ",#REF!)</f>
        <v>#NAME?</v>
      </c>
      <c r="AA48" t="e">
        <f ca="1">_xlfn.IFNA(MATCH(A48,Achievements[[#All],[Column1]],0)+11,"")</f>
        <v>#NAME?</v>
      </c>
      <c r="AB48" s="134" t="str">
        <f>_xlfn.IFNA(MATCH(B48,Achievements[[#All],[Column1]],0)+10,"")</f>
        <v/>
      </c>
      <c r="AC48" s="134" t="str">
        <f>_xlfn.IFNA(MATCH(C48,Achievements[[#All],[Column1]],0)+10,"")</f>
        <v/>
      </c>
      <c r="AD48" s="134" t="str">
        <f>_xlfn.IFNA(MATCH(D48,Achievements[[#All],[Column110]],0)+10,"")</f>
        <v/>
      </c>
      <c r="AE48" s="134" t="str">
        <f>_xlfn.IFNA(MATCH(E48,Achievements[[#All],[Column110]],0)+10,"")</f>
        <v/>
      </c>
      <c r="AF48" s="134" t="str">
        <f>_xlfn.IFNA(MATCH(F48,Achievements[[#All],[Column111]],0)+10,"")</f>
        <v/>
      </c>
      <c r="AG48" s="134" t="str">
        <f>_xlfn.IFNA(MATCH(G48,Achievements[[#All],[Column111]],0)+10,"")</f>
        <v/>
      </c>
      <c r="AH48" s="134" t="str">
        <f>_xlfn.IFNA(MATCH(H48,Achievements[[#All],[Column112]],0)+10,"")</f>
        <v/>
      </c>
      <c r="AI48" s="134" t="str">
        <f>_xlfn.IFNA(MATCH(I48,Achievements[[#All],[Column112]],0)+10,"")</f>
        <v/>
      </c>
      <c r="AJ48" s="134" t="str">
        <f>_xlfn.IFNA(MATCH(J48,Achievements[[#All],[Column113]],0)+10,"")</f>
        <v/>
      </c>
      <c r="AK48" s="134" t="str">
        <f>_xlfn.IFNA(MATCH(K48,Achievements[[#All],[Column113]],0)+10,"")</f>
        <v/>
      </c>
      <c r="AL48" s="134" t="str">
        <f>_xlfn.IFNA(MATCH(L48,Achievements[[#All],[Column114]],0)+10,"")</f>
        <v/>
      </c>
      <c r="AM48" s="134" t="str">
        <f>_xlfn.IFNA(MATCH(M48,Achievements[[#All],[Column114]],0)+10,"")</f>
        <v/>
      </c>
      <c r="AN48" s="134" t="str">
        <f>_xlfn.IFNA(MATCH(N48,Achievements[[#All],[Column115]],0)+10,"")</f>
        <v/>
      </c>
      <c r="AO48" s="134" t="str">
        <f>_xlfn.IFNA(MATCH(O48,Achievements[[#All],[Column115]],0)+10,"")</f>
        <v/>
      </c>
      <c r="AP48" s="134" t="str">
        <f>_xlfn.IFNA(MATCH(P48,Achievements[[#All],[Column116]],0)+10,"")</f>
        <v/>
      </c>
      <c r="AQ48" s="134" t="str">
        <f>_xlfn.IFNA(MATCH(Q48,Achievements[[#All],[Column116]],0)+10,"")</f>
        <v/>
      </c>
      <c r="AR48" s="134" t="str">
        <f>_xlfn.IFNA(MATCH(R48,Achievements[[#All],[Column117]],0)+10,"")</f>
        <v/>
      </c>
      <c r="AS48" s="134" t="str">
        <f>_xlfn.IFNA(MATCH(S48,Achievements[[#All],[Column117]],0)+10,"")</f>
        <v/>
      </c>
      <c r="AT48" s="134" t="str">
        <f>_xlfn.IFNA(MATCH(T48,Achievements[[#All],[Column118]],0)+10,"")</f>
        <v/>
      </c>
      <c r="AU48" s="134" t="str">
        <f>_xlfn.IFNA(MATCH(U48,Achievements[[#All],[Column118]],0)+10,"")</f>
        <v/>
      </c>
      <c r="AV48" s="134" t="str">
        <f>_xlfn.IFNA(MATCH(V48,Achievements[[#All],[Column119]],0)+10,"")</f>
        <v/>
      </c>
      <c r="AW48" s="134" t="str">
        <f>_xlfn.IFNA(MATCH(W48,Achievements[[#All],[Column119]],0)+10,"")</f>
        <v/>
      </c>
      <c r="AX48" s="134" t="str">
        <f>_xlfn.IFNA(MATCH(X48,Achievements[[#All],[Column120]],0)+10,"")</f>
        <v/>
      </c>
      <c r="AY48" s="134" t="str">
        <f>_xlfn.IFNA(MATCH(Y48,Achievements[[#All],[Column120]],0)+10,"")</f>
        <v/>
      </c>
      <c r="AZ48" s="116" t="e">
        <f t="shared" ca="1" si="0"/>
        <v>#NAME?</v>
      </c>
      <c r="BA48" s="134" t="e" cm="1">
        <f t="array" aca="1" ref="BA48" ca="1">SplitValues("; ",Persons[[#This Row],[Column1]])</f>
        <v>#NAME?</v>
      </c>
      <c r="CA48" s="134" t="e">
        <f ca="1">_xlfn.IFNA(MATCH(BA48,Achievements[[#All],[Column1]],0)+10,"")</f>
        <v>#NAME?</v>
      </c>
      <c r="CB48" s="134" t="str">
        <f>_xlfn.IFNA(MATCH(BB48,Achievements[[#All],[Column1]],0)+10,"")</f>
        <v/>
      </c>
      <c r="CC48" s="134" t="str">
        <f>_xlfn.IFNA(MATCH(BC48,Achievements[[#All],[Column110]],0)+10,"")</f>
        <v/>
      </c>
      <c r="CD48" s="134" t="str">
        <f>_xlfn.IFNA(MATCH(BD48,Achievements[[#All],[Column110]],0)+10,"")</f>
        <v/>
      </c>
      <c r="CE48" s="134" t="str">
        <f>_xlfn.IFNA(MATCH(BE48,Achievements[[#All],[Column111]],0)+10,"")</f>
        <v/>
      </c>
      <c r="CF48" s="134" t="str">
        <f>_xlfn.IFNA(MATCH(BF48,Achievements[[#All],[Column111]],0)+10,"")</f>
        <v/>
      </c>
      <c r="CG48" s="134" t="str">
        <f>_xlfn.IFNA(MATCH(BG48,Achievements[[#All],[Column112]],0)+10,"")</f>
        <v/>
      </c>
      <c r="CH48" s="134" t="str">
        <f>_xlfn.IFNA(MATCH(BH48,Achievements[[#All],[Column112]],0)+10,"")</f>
        <v/>
      </c>
      <c r="CI48" s="134" t="str">
        <f>_xlfn.IFNA(MATCH(BI48,Achievements[[#All],[Column113]],0)+10,"")</f>
        <v/>
      </c>
      <c r="CJ48" s="134" t="str">
        <f>_xlfn.IFNA(MATCH(BJ48,Achievements[[#All],[Column113]],0)+10,"")</f>
        <v/>
      </c>
      <c r="CK48" s="134" t="str">
        <f>_xlfn.IFNA(MATCH(BK48,Achievements[[#All],[Column114]],0)+10,"")</f>
        <v/>
      </c>
      <c r="CL48" s="134" t="str">
        <f>_xlfn.IFNA(MATCH(BL48,Achievements[[#All],[Column114]],0)+10,"")</f>
        <v/>
      </c>
      <c r="CM48" s="134" t="str">
        <f>_xlfn.IFNA(MATCH(BM48,Achievements[[#All],[Column115]],0)+10,"")</f>
        <v/>
      </c>
      <c r="CN48" s="134" t="str">
        <f>_xlfn.IFNA(MATCH(BN48,Achievements[[#All],[Column115]],0)+10,"")</f>
        <v/>
      </c>
      <c r="CO48" s="134" t="str">
        <f>_xlfn.IFNA(MATCH(BO48,Achievements[[#All],[Column116]],0)+10,"")</f>
        <v/>
      </c>
      <c r="CP48" s="134" t="str">
        <f>_xlfn.IFNA(MATCH(BP48,Achievements[[#All],[Column116]],0)+10,"")</f>
        <v/>
      </c>
      <c r="CQ48" s="134" t="str">
        <f>_xlfn.IFNA(MATCH(BQ48,Achievements[[#All],[Column117]],0)+10,"")</f>
        <v/>
      </c>
      <c r="CR48" s="134" t="str">
        <f>_xlfn.IFNA(MATCH(BR48,Achievements[[#All],[Column117]],0)+10,"")</f>
        <v/>
      </c>
      <c r="CS48" s="134" t="str">
        <f>_xlfn.IFNA(MATCH(BS48,Achievements[[#All],[Column118]],0)+10,"")</f>
        <v/>
      </c>
      <c r="CT48" s="134" t="str">
        <f>_xlfn.IFNA(MATCH(BT48,Achievements[[#All],[Column118]],0)+10,"")</f>
        <v/>
      </c>
      <c r="CU48" s="134" t="str">
        <f>_xlfn.IFNA(MATCH(BU48,Achievements[[#All],[Column119]],0)+10,"")</f>
        <v/>
      </c>
      <c r="CV48" s="134" t="str">
        <f>_xlfn.IFNA(MATCH(BV48,Achievements[[#All],[Column119]],0)+10,"")</f>
        <v/>
      </c>
      <c r="CW48" s="134" t="str">
        <f>_xlfn.IFNA(MATCH(BW48,Achievements[[#All],[Column120]],0)+10,"")</f>
        <v/>
      </c>
      <c r="CX48" s="134" t="str">
        <f>_xlfn.IFNA(MATCH(BX48,Achievements[[#All],[Column120]],0)+10,"")</f>
        <v/>
      </c>
      <c r="CY48" s="134" t="str">
        <f>_xlfn.IFNA(MATCH(BY48,Achievements[[#All],[Column121]],0)+10,"")</f>
        <v/>
      </c>
      <c r="CZ48" s="118" t="e">
        <f t="shared" ca="1" si="1"/>
        <v>#NAME?</v>
      </c>
    </row>
    <row r="49" spans="1:104" x14ac:dyDescent="0.25">
      <c r="A49" t="e" cm="1">
        <f t="array" aca="1" ref="A49" ca="1">SplitValues("; ",#REF!)</f>
        <v>#NAME?</v>
      </c>
      <c r="AA49" t="e">
        <f ca="1">_xlfn.IFNA(MATCH(A49,Achievements[[#All],[Column1]],0)+11,"")</f>
        <v>#NAME?</v>
      </c>
      <c r="AB49" s="134" t="str">
        <f>_xlfn.IFNA(MATCH(B49,Achievements[[#All],[Column1]],0)+10,"")</f>
        <v/>
      </c>
      <c r="AC49" s="134" t="str">
        <f>_xlfn.IFNA(MATCH(C49,Achievements[[#All],[Column1]],0)+10,"")</f>
        <v/>
      </c>
      <c r="AD49" s="134" t="str">
        <f>_xlfn.IFNA(MATCH(D49,Achievements[[#All],[Column110]],0)+10,"")</f>
        <v/>
      </c>
      <c r="AE49" s="134" t="str">
        <f>_xlfn.IFNA(MATCH(E49,Achievements[[#All],[Column110]],0)+10,"")</f>
        <v/>
      </c>
      <c r="AF49" s="134" t="str">
        <f>_xlfn.IFNA(MATCH(F49,Achievements[[#All],[Column111]],0)+10,"")</f>
        <v/>
      </c>
      <c r="AG49" s="134" t="str">
        <f>_xlfn.IFNA(MATCH(G49,Achievements[[#All],[Column111]],0)+10,"")</f>
        <v/>
      </c>
      <c r="AH49" s="134" t="str">
        <f>_xlfn.IFNA(MATCH(H49,Achievements[[#All],[Column112]],0)+10,"")</f>
        <v/>
      </c>
      <c r="AI49" s="134" t="str">
        <f>_xlfn.IFNA(MATCH(I49,Achievements[[#All],[Column112]],0)+10,"")</f>
        <v/>
      </c>
      <c r="AJ49" s="134" t="str">
        <f>_xlfn.IFNA(MATCH(J49,Achievements[[#All],[Column113]],0)+10,"")</f>
        <v/>
      </c>
      <c r="AK49" s="134" t="str">
        <f>_xlfn.IFNA(MATCH(K49,Achievements[[#All],[Column113]],0)+10,"")</f>
        <v/>
      </c>
      <c r="AL49" s="134" t="str">
        <f>_xlfn.IFNA(MATCH(L49,Achievements[[#All],[Column114]],0)+10,"")</f>
        <v/>
      </c>
      <c r="AM49" s="134" t="str">
        <f>_xlfn.IFNA(MATCH(M49,Achievements[[#All],[Column114]],0)+10,"")</f>
        <v/>
      </c>
      <c r="AN49" s="134" t="str">
        <f>_xlfn.IFNA(MATCH(N49,Achievements[[#All],[Column115]],0)+10,"")</f>
        <v/>
      </c>
      <c r="AO49" s="134" t="str">
        <f>_xlfn.IFNA(MATCH(O49,Achievements[[#All],[Column115]],0)+10,"")</f>
        <v/>
      </c>
      <c r="AP49" s="134" t="str">
        <f>_xlfn.IFNA(MATCH(P49,Achievements[[#All],[Column116]],0)+10,"")</f>
        <v/>
      </c>
      <c r="AQ49" s="134" t="str">
        <f>_xlfn.IFNA(MATCH(Q49,Achievements[[#All],[Column116]],0)+10,"")</f>
        <v/>
      </c>
      <c r="AR49" s="134" t="str">
        <f>_xlfn.IFNA(MATCH(R49,Achievements[[#All],[Column117]],0)+10,"")</f>
        <v/>
      </c>
      <c r="AS49" s="134" t="str">
        <f>_xlfn.IFNA(MATCH(S49,Achievements[[#All],[Column117]],0)+10,"")</f>
        <v/>
      </c>
      <c r="AT49" s="134" t="str">
        <f>_xlfn.IFNA(MATCH(T49,Achievements[[#All],[Column118]],0)+10,"")</f>
        <v/>
      </c>
      <c r="AU49" s="134" t="str">
        <f>_xlfn.IFNA(MATCH(U49,Achievements[[#All],[Column118]],0)+10,"")</f>
        <v/>
      </c>
      <c r="AV49" s="134" t="str">
        <f>_xlfn.IFNA(MATCH(V49,Achievements[[#All],[Column119]],0)+10,"")</f>
        <v/>
      </c>
      <c r="AW49" s="134" t="str">
        <f>_xlfn.IFNA(MATCH(W49,Achievements[[#All],[Column119]],0)+10,"")</f>
        <v/>
      </c>
      <c r="AX49" s="134" t="str">
        <f>_xlfn.IFNA(MATCH(X49,Achievements[[#All],[Column120]],0)+10,"")</f>
        <v/>
      </c>
      <c r="AY49" s="134" t="str">
        <f>_xlfn.IFNA(MATCH(Y49,Achievements[[#All],[Column120]],0)+10,"")</f>
        <v/>
      </c>
      <c r="AZ49" s="116" t="e">
        <f t="shared" ca="1" si="0"/>
        <v>#NAME?</v>
      </c>
      <c r="BA49" s="134" t="e" cm="1">
        <f t="array" aca="1" ref="BA49" ca="1">SplitValues("; ",Persons[[#This Row],[Column1]])</f>
        <v>#NAME?</v>
      </c>
      <c r="CA49" s="134" t="e">
        <f ca="1">_xlfn.IFNA(MATCH(BA49,Achievements[[#All],[Column1]],0)+10,"")</f>
        <v>#NAME?</v>
      </c>
      <c r="CB49" s="134" t="str">
        <f>_xlfn.IFNA(MATCH(BB49,Achievements[[#All],[Column1]],0)+10,"")</f>
        <v/>
      </c>
      <c r="CC49" s="134" t="str">
        <f>_xlfn.IFNA(MATCH(BC49,Achievements[[#All],[Column110]],0)+10,"")</f>
        <v/>
      </c>
      <c r="CD49" s="134" t="str">
        <f>_xlfn.IFNA(MATCH(BD49,Achievements[[#All],[Column110]],0)+10,"")</f>
        <v/>
      </c>
      <c r="CE49" s="134" t="str">
        <f>_xlfn.IFNA(MATCH(BE49,Achievements[[#All],[Column111]],0)+10,"")</f>
        <v/>
      </c>
      <c r="CF49" s="134" t="str">
        <f>_xlfn.IFNA(MATCH(BF49,Achievements[[#All],[Column111]],0)+10,"")</f>
        <v/>
      </c>
      <c r="CG49" s="134" t="str">
        <f>_xlfn.IFNA(MATCH(BG49,Achievements[[#All],[Column112]],0)+10,"")</f>
        <v/>
      </c>
      <c r="CH49" s="134" t="str">
        <f>_xlfn.IFNA(MATCH(BH49,Achievements[[#All],[Column112]],0)+10,"")</f>
        <v/>
      </c>
      <c r="CI49" s="134" t="str">
        <f>_xlfn.IFNA(MATCH(BI49,Achievements[[#All],[Column113]],0)+10,"")</f>
        <v/>
      </c>
      <c r="CJ49" s="134" t="str">
        <f>_xlfn.IFNA(MATCH(BJ49,Achievements[[#All],[Column113]],0)+10,"")</f>
        <v/>
      </c>
      <c r="CK49" s="134" t="str">
        <f>_xlfn.IFNA(MATCH(BK49,Achievements[[#All],[Column114]],0)+10,"")</f>
        <v/>
      </c>
      <c r="CL49" s="134" t="str">
        <f>_xlfn.IFNA(MATCH(BL49,Achievements[[#All],[Column114]],0)+10,"")</f>
        <v/>
      </c>
      <c r="CM49" s="134" t="str">
        <f>_xlfn.IFNA(MATCH(BM49,Achievements[[#All],[Column115]],0)+10,"")</f>
        <v/>
      </c>
      <c r="CN49" s="134" t="str">
        <f>_xlfn.IFNA(MATCH(BN49,Achievements[[#All],[Column115]],0)+10,"")</f>
        <v/>
      </c>
      <c r="CO49" s="134" t="str">
        <f>_xlfn.IFNA(MATCH(BO49,Achievements[[#All],[Column116]],0)+10,"")</f>
        <v/>
      </c>
      <c r="CP49" s="134" t="str">
        <f>_xlfn.IFNA(MATCH(BP49,Achievements[[#All],[Column116]],0)+10,"")</f>
        <v/>
      </c>
      <c r="CQ49" s="134" t="str">
        <f>_xlfn.IFNA(MATCH(BQ49,Achievements[[#All],[Column117]],0)+10,"")</f>
        <v/>
      </c>
      <c r="CR49" s="134" t="str">
        <f>_xlfn.IFNA(MATCH(BR49,Achievements[[#All],[Column117]],0)+10,"")</f>
        <v/>
      </c>
      <c r="CS49" s="134" t="str">
        <f>_xlfn.IFNA(MATCH(BS49,Achievements[[#All],[Column118]],0)+10,"")</f>
        <v/>
      </c>
      <c r="CT49" s="134" t="str">
        <f>_xlfn.IFNA(MATCH(BT49,Achievements[[#All],[Column118]],0)+10,"")</f>
        <v/>
      </c>
      <c r="CU49" s="134" t="str">
        <f>_xlfn.IFNA(MATCH(BU49,Achievements[[#All],[Column119]],0)+10,"")</f>
        <v/>
      </c>
      <c r="CV49" s="134" t="str">
        <f>_xlfn.IFNA(MATCH(BV49,Achievements[[#All],[Column119]],0)+10,"")</f>
        <v/>
      </c>
      <c r="CW49" s="134" t="str">
        <f>_xlfn.IFNA(MATCH(BW49,Achievements[[#All],[Column120]],0)+10,"")</f>
        <v/>
      </c>
      <c r="CX49" s="134" t="str">
        <f>_xlfn.IFNA(MATCH(BX49,Achievements[[#All],[Column120]],0)+10,"")</f>
        <v/>
      </c>
      <c r="CY49" s="134" t="str">
        <f>_xlfn.IFNA(MATCH(BY49,Achievements[[#All],[Column121]],0)+10,"")</f>
        <v/>
      </c>
      <c r="CZ49" s="118" t="e">
        <f t="shared" ca="1" si="1"/>
        <v>#NAME?</v>
      </c>
    </row>
    <row r="50" spans="1:104" x14ac:dyDescent="0.25">
      <c r="A50" t="e" cm="1">
        <f t="array" aca="1" ref="A50" ca="1">SplitValues("; ",#REF!)</f>
        <v>#NAME?</v>
      </c>
      <c r="AA50" t="e">
        <f ca="1">_xlfn.IFNA(MATCH(A50,Achievements[[#All],[Column1]],0)+11,"")</f>
        <v>#NAME?</v>
      </c>
      <c r="AB50" s="134" t="str">
        <f>_xlfn.IFNA(MATCH(B50,Achievements[[#All],[Column1]],0)+10,"")</f>
        <v/>
      </c>
      <c r="AC50" s="134" t="str">
        <f>_xlfn.IFNA(MATCH(C50,Achievements[[#All],[Column1]],0)+10,"")</f>
        <v/>
      </c>
      <c r="AD50" s="134" t="str">
        <f>_xlfn.IFNA(MATCH(D50,Achievements[[#All],[Column110]],0)+10,"")</f>
        <v/>
      </c>
      <c r="AE50" s="134" t="str">
        <f>_xlfn.IFNA(MATCH(E50,Achievements[[#All],[Column110]],0)+10,"")</f>
        <v/>
      </c>
      <c r="AF50" s="134" t="str">
        <f>_xlfn.IFNA(MATCH(F50,Achievements[[#All],[Column111]],0)+10,"")</f>
        <v/>
      </c>
      <c r="AG50" s="134" t="str">
        <f>_xlfn.IFNA(MATCH(G50,Achievements[[#All],[Column111]],0)+10,"")</f>
        <v/>
      </c>
      <c r="AH50" s="134" t="str">
        <f>_xlfn.IFNA(MATCH(H50,Achievements[[#All],[Column112]],0)+10,"")</f>
        <v/>
      </c>
      <c r="AI50" s="134" t="str">
        <f>_xlfn.IFNA(MATCH(I50,Achievements[[#All],[Column112]],0)+10,"")</f>
        <v/>
      </c>
      <c r="AJ50" s="134" t="str">
        <f>_xlfn.IFNA(MATCH(J50,Achievements[[#All],[Column113]],0)+10,"")</f>
        <v/>
      </c>
      <c r="AK50" s="134" t="str">
        <f>_xlfn.IFNA(MATCH(K50,Achievements[[#All],[Column113]],0)+10,"")</f>
        <v/>
      </c>
      <c r="AL50" s="134" t="str">
        <f>_xlfn.IFNA(MATCH(L50,Achievements[[#All],[Column114]],0)+10,"")</f>
        <v/>
      </c>
      <c r="AM50" s="134" t="str">
        <f>_xlfn.IFNA(MATCH(M50,Achievements[[#All],[Column114]],0)+10,"")</f>
        <v/>
      </c>
      <c r="AN50" s="134" t="str">
        <f>_xlfn.IFNA(MATCH(N50,Achievements[[#All],[Column115]],0)+10,"")</f>
        <v/>
      </c>
      <c r="AO50" s="134" t="str">
        <f>_xlfn.IFNA(MATCH(O50,Achievements[[#All],[Column115]],0)+10,"")</f>
        <v/>
      </c>
      <c r="AP50" s="134" t="str">
        <f>_xlfn.IFNA(MATCH(P50,Achievements[[#All],[Column116]],0)+10,"")</f>
        <v/>
      </c>
      <c r="AQ50" s="134" t="str">
        <f>_xlfn.IFNA(MATCH(Q50,Achievements[[#All],[Column116]],0)+10,"")</f>
        <v/>
      </c>
      <c r="AR50" s="134" t="str">
        <f>_xlfn.IFNA(MATCH(R50,Achievements[[#All],[Column117]],0)+10,"")</f>
        <v/>
      </c>
      <c r="AS50" s="134" t="str">
        <f>_xlfn.IFNA(MATCH(S50,Achievements[[#All],[Column117]],0)+10,"")</f>
        <v/>
      </c>
      <c r="AT50" s="134" t="str">
        <f>_xlfn.IFNA(MATCH(T50,Achievements[[#All],[Column118]],0)+10,"")</f>
        <v/>
      </c>
      <c r="AU50" s="134" t="str">
        <f>_xlfn.IFNA(MATCH(U50,Achievements[[#All],[Column118]],0)+10,"")</f>
        <v/>
      </c>
      <c r="AV50" s="134" t="str">
        <f>_xlfn.IFNA(MATCH(V50,Achievements[[#All],[Column119]],0)+10,"")</f>
        <v/>
      </c>
      <c r="AW50" s="134" t="str">
        <f>_xlfn.IFNA(MATCH(W50,Achievements[[#All],[Column119]],0)+10,"")</f>
        <v/>
      </c>
      <c r="AX50" s="134" t="str">
        <f>_xlfn.IFNA(MATCH(X50,Achievements[[#All],[Column120]],0)+10,"")</f>
        <v/>
      </c>
      <c r="AY50" s="134" t="str">
        <f>_xlfn.IFNA(MATCH(Y50,Achievements[[#All],[Column120]],0)+10,"")</f>
        <v/>
      </c>
      <c r="AZ50" s="116" t="e">
        <f t="shared" ca="1" si="0"/>
        <v>#NAME?</v>
      </c>
      <c r="BA50" s="134" t="e" cm="1">
        <f t="array" aca="1" ref="BA50" ca="1">SplitValues("; ",Persons[[#This Row],[Column1]])</f>
        <v>#NAME?</v>
      </c>
      <c r="CA50" s="134" t="e">
        <f ca="1">_xlfn.IFNA(MATCH(BA50,Achievements[[#All],[Column1]],0)+10,"")</f>
        <v>#NAME?</v>
      </c>
      <c r="CB50" s="134" t="str">
        <f>_xlfn.IFNA(MATCH(BB50,Achievements[[#All],[Column1]],0)+10,"")</f>
        <v/>
      </c>
      <c r="CC50" s="134" t="str">
        <f>_xlfn.IFNA(MATCH(BC50,Achievements[[#All],[Column110]],0)+10,"")</f>
        <v/>
      </c>
      <c r="CD50" s="134" t="str">
        <f>_xlfn.IFNA(MATCH(BD50,Achievements[[#All],[Column110]],0)+10,"")</f>
        <v/>
      </c>
      <c r="CE50" s="134" t="str">
        <f>_xlfn.IFNA(MATCH(BE50,Achievements[[#All],[Column111]],0)+10,"")</f>
        <v/>
      </c>
      <c r="CF50" s="134" t="str">
        <f>_xlfn.IFNA(MATCH(BF50,Achievements[[#All],[Column111]],0)+10,"")</f>
        <v/>
      </c>
      <c r="CG50" s="134" t="str">
        <f>_xlfn.IFNA(MATCH(BG50,Achievements[[#All],[Column112]],0)+10,"")</f>
        <v/>
      </c>
      <c r="CH50" s="134" t="str">
        <f>_xlfn.IFNA(MATCH(BH50,Achievements[[#All],[Column112]],0)+10,"")</f>
        <v/>
      </c>
      <c r="CI50" s="134" t="str">
        <f>_xlfn.IFNA(MATCH(BI50,Achievements[[#All],[Column113]],0)+10,"")</f>
        <v/>
      </c>
      <c r="CJ50" s="134" t="str">
        <f>_xlfn.IFNA(MATCH(BJ50,Achievements[[#All],[Column113]],0)+10,"")</f>
        <v/>
      </c>
      <c r="CK50" s="134" t="str">
        <f>_xlfn.IFNA(MATCH(BK50,Achievements[[#All],[Column114]],0)+10,"")</f>
        <v/>
      </c>
      <c r="CL50" s="134" t="str">
        <f>_xlfn.IFNA(MATCH(BL50,Achievements[[#All],[Column114]],0)+10,"")</f>
        <v/>
      </c>
      <c r="CM50" s="134" t="str">
        <f>_xlfn.IFNA(MATCH(BM50,Achievements[[#All],[Column115]],0)+10,"")</f>
        <v/>
      </c>
      <c r="CN50" s="134" t="str">
        <f>_xlfn.IFNA(MATCH(BN50,Achievements[[#All],[Column115]],0)+10,"")</f>
        <v/>
      </c>
      <c r="CO50" s="134" t="str">
        <f>_xlfn.IFNA(MATCH(BO50,Achievements[[#All],[Column116]],0)+10,"")</f>
        <v/>
      </c>
      <c r="CP50" s="134" t="str">
        <f>_xlfn.IFNA(MATCH(BP50,Achievements[[#All],[Column116]],0)+10,"")</f>
        <v/>
      </c>
      <c r="CQ50" s="134" t="str">
        <f>_xlfn.IFNA(MATCH(BQ50,Achievements[[#All],[Column117]],0)+10,"")</f>
        <v/>
      </c>
      <c r="CR50" s="134" t="str">
        <f>_xlfn.IFNA(MATCH(BR50,Achievements[[#All],[Column117]],0)+10,"")</f>
        <v/>
      </c>
      <c r="CS50" s="134" t="str">
        <f>_xlfn.IFNA(MATCH(BS50,Achievements[[#All],[Column118]],0)+10,"")</f>
        <v/>
      </c>
      <c r="CT50" s="134" t="str">
        <f>_xlfn.IFNA(MATCH(BT50,Achievements[[#All],[Column118]],0)+10,"")</f>
        <v/>
      </c>
      <c r="CU50" s="134" t="str">
        <f>_xlfn.IFNA(MATCH(BU50,Achievements[[#All],[Column119]],0)+10,"")</f>
        <v/>
      </c>
      <c r="CV50" s="134" t="str">
        <f>_xlfn.IFNA(MATCH(BV50,Achievements[[#All],[Column119]],0)+10,"")</f>
        <v/>
      </c>
      <c r="CW50" s="134" t="str">
        <f>_xlfn.IFNA(MATCH(BW50,Achievements[[#All],[Column120]],0)+10,"")</f>
        <v/>
      </c>
      <c r="CX50" s="134" t="str">
        <f>_xlfn.IFNA(MATCH(BX50,Achievements[[#All],[Column120]],0)+10,"")</f>
        <v/>
      </c>
      <c r="CY50" s="134" t="str">
        <f>_xlfn.IFNA(MATCH(BY50,Achievements[[#All],[Column121]],0)+10,"")</f>
        <v/>
      </c>
      <c r="CZ50" s="118" t="e">
        <f t="shared" ca="1" si="1"/>
        <v>#NAME?</v>
      </c>
    </row>
    <row r="51" spans="1:104" x14ac:dyDescent="0.25">
      <c r="A51" t="e" cm="1">
        <f t="array" aca="1" ref="A51" ca="1">SplitValues("; ",#REF!)</f>
        <v>#NAME?</v>
      </c>
      <c r="AA51" t="e">
        <f ca="1">_xlfn.IFNA(MATCH(A51,Achievements[[#All],[Column1]],0)+11,"")</f>
        <v>#NAME?</v>
      </c>
      <c r="AB51" s="134" t="str">
        <f>_xlfn.IFNA(MATCH(B51,Achievements[[#All],[Column1]],0)+10,"")</f>
        <v/>
      </c>
      <c r="AC51" s="134" t="str">
        <f>_xlfn.IFNA(MATCH(C51,Achievements[[#All],[Column1]],0)+10,"")</f>
        <v/>
      </c>
      <c r="AD51" s="134" t="str">
        <f>_xlfn.IFNA(MATCH(D51,Achievements[[#All],[Column110]],0)+10,"")</f>
        <v/>
      </c>
      <c r="AE51" s="134" t="str">
        <f>_xlfn.IFNA(MATCH(E51,Achievements[[#All],[Column110]],0)+10,"")</f>
        <v/>
      </c>
      <c r="AF51" s="134" t="str">
        <f>_xlfn.IFNA(MATCH(F51,Achievements[[#All],[Column111]],0)+10,"")</f>
        <v/>
      </c>
      <c r="AG51" s="134" t="str">
        <f>_xlfn.IFNA(MATCH(G51,Achievements[[#All],[Column111]],0)+10,"")</f>
        <v/>
      </c>
      <c r="AH51" s="134" t="str">
        <f>_xlfn.IFNA(MATCH(H51,Achievements[[#All],[Column112]],0)+10,"")</f>
        <v/>
      </c>
      <c r="AI51" s="134" t="str">
        <f>_xlfn.IFNA(MATCH(I51,Achievements[[#All],[Column112]],0)+10,"")</f>
        <v/>
      </c>
      <c r="AJ51" s="134" t="str">
        <f>_xlfn.IFNA(MATCH(J51,Achievements[[#All],[Column113]],0)+10,"")</f>
        <v/>
      </c>
      <c r="AK51" s="134" t="str">
        <f>_xlfn.IFNA(MATCH(K51,Achievements[[#All],[Column113]],0)+10,"")</f>
        <v/>
      </c>
      <c r="AL51" s="134" t="str">
        <f>_xlfn.IFNA(MATCH(L51,Achievements[[#All],[Column114]],0)+10,"")</f>
        <v/>
      </c>
      <c r="AM51" s="134" t="str">
        <f>_xlfn.IFNA(MATCH(M51,Achievements[[#All],[Column114]],0)+10,"")</f>
        <v/>
      </c>
      <c r="AN51" s="134" t="str">
        <f>_xlfn.IFNA(MATCH(N51,Achievements[[#All],[Column115]],0)+10,"")</f>
        <v/>
      </c>
      <c r="AO51" s="134" t="str">
        <f>_xlfn.IFNA(MATCH(O51,Achievements[[#All],[Column115]],0)+10,"")</f>
        <v/>
      </c>
      <c r="AP51" s="134" t="str">
        <f>_xlfn.IFNA(MATCH(P51,Achievements[[#All],[Column116]],0)+10,"")</f>
        <v/>
      </c>
      <c r="AQ51" s="134" t="str">
        <f>_xlfn.IFNA(MATCH(Q51,Achievements[[#All],[Column116]],0)+10,"")</f>
        <v/>
      </c>
      <c r="AR51" s="134" t="str">
        <f>_xlfn.IFNA(MATCH(R51,Achievements[[#All],[Column117]],0)+10,"")</f>
        <v/>
      </c>
      <c r="AS51" s="134" t="str">
        <f>_xlfn.IFNA(MATCH(S51,Achievements[[#All],[Column117]],0)+10,"")</f>
        <v/>
      </c>
      <c r="AT51" s="134" t="str">
        <f>_xlfn.IFNA(MATCH(T51,Achievements[[#All],[Column118]],0)+10,"")</f>
        <v/>
      </c>
      <c r="AU51" s="134" t="str">
        <f>_xlfn.IFNA(MATCH(U51,Achievements[[#All],[Column118]],0)+10,"")</f>
        <v/>
      </c>
      <c r="AV51" s="134" t="str">
        <f>_xlfn.IFNA(MATCH(V51,Achievements[[#All],[Column119]],0)+10,"")</f>
        <v/>
      </c>
      <c r="AW51" s="134" t="str">
        <f>_xlfn.IFNA(MATCH(W51,Achievements[[#All],[Column119]],0)+10,"")</f>
        <v/>
      </c>
      <c r="AX51" s="134" t="str">
        <f>_xlfn.IFNA(MATCH(X51,Achievements[[#All],[Column120]],0)+10,"")</f>
        <v/>
      </c>
      <c r="AY51" s="134" t="str">
        <f>_xlfn.IFNA(MATCH(Y51,Achievements[[#All],[Column120]],0)+10,"")</f>
        <v/>
      </c>
      <c r="AZ51" s="116" t="e">
        <f t="shared" ca="1" si="0"/>
        <v>#NAME?</v>
      </c>
      <c r="BA51" s="134" t="e" cm="1">
        <f t="array" aca="1" ref="BA51" ca="1">SplitValues("; ",Persons[[#This Row],[Column1]])</f>
        <v>#NAME?</v>
      </c>
      <c r="CA51" s="134" t="e">
        <f ca="1">_xlfn.IFNA(MATCH(BA51,Achievements[[#All],[Column1]],0)+10,"")</f>
        <v>#NAME?</v>
      </c>
      <c r="CB51" s="134" t="str">
        <f>_xlfn.IFNA(MATCH(BB51,Achievements[[#All],[Column1]],0)+10,"")</f>
        <v/>
      </c>
      <c r="CC51" s="134" t="str">
        <f>_xlfn.IFNA(MATCH(BC51,Achievements[[#All],[Column110]],0)+10,"")</f>
        <v/>
      </c>
      <c r="CD51" s="134" t="str">
        <f>_xlfn.IFNA(MATCH(BD51,Achievements[[#All],[Column110]],0)+10,"")</f>
        <v/>
      </c>
      <c r="CE51" s="134" t="str">
        <f>_xlfn.IFNA(MATCH(BE51,Achievements[[#All],[Column111]],0)+10,"")</f>
        <v/>
      </c>
      <c r="CF51" s="134" t="str">
        <f>_xlfn.IFNA(MATCH(BF51,Achievements[[#All],[Column111]],0)+10,"")</f>
        <v/>
      </c>
      <c r="CG51" s="134" t="str">
        <f>_xlfn.IFNA(MATCH(BG51,Achievements[[#All],[Column112]],0)+10,"")</f>
        <v/>
      </c>
      <c r="CH51" s="134" t="str">
        <f>_xlfn.IFNA(MATCH(BH51,Achievements[[#All],[Column112]],0)+10,"")</f>
        <v/>
      </c>
      <c r="CI51" s="134" t="str">
        <f>_xlfn.IFNA(MATCH(BI51,Achievements[[#All],[Column113]],0)+10,"")</f>
        <v/>
      </c>
      <c r="CJ51" s="134" t="str">
        <f>_xlfn.IFNA(MATCH(BJ51,Achievements[[#All],[Column113]],0)+10,"")</f>
        <v/>
      </c>
      <c r="CK51" s="134" t="str">
        <f>_xlfn.IFNA(MATCH(BK51,Achievements[[#All],[Column114]],0)+10,"")</f>
        <v/>
      </c>
      <c r="CL51" s="134" t="str">
        <f>_xlfn.IFNA(MATCH(BL51,Achievements[[#All],[Column114]],0)+10,"")</f>
        <v/>
      </c>
      <c r="CM51" s="134" t="str">
        <f>_xlfn.IFNA(MATCH(BM51,Achievements[[#All],[Column115]],0)+10,"")</f>
        <v/>
      </c>
      <c r="CN51" s="134" t="str">
        <f>_xlfn.IFNA(MATCH(BN51,Achievements[[#All],[Column115]],0)+10,"")</f>
        <v/>
      </c>
      <c r="CO51" s="134" t="str">
        <f>_xlfn.IFNA(MATCH(BO51,Achievements[[#All],[Column116]],0)+10,"")</f>
        <v/>
      </c>
      <c r="CP51" s="134" t="str">
        <f>_xlfn.IFNA(MATCH(BP51,Achievements[[#All],[Column116]],0)+10,"")</f>
        <v/>
      </c>
      <c r="CQ51" s="134" t="str">
        <f>_xlfn.IFNA(MATCH(BQ51,Achievements[[#All],[Column117]],0)+10,"")</f>
        <v/>
      </c>
      <c r="CR51" s="134" t="str">
        <f>_xlfn.IFNA(MATCH(BR51,Achievements[[#All],[Column117]],0)+10,"")</f>
        <v/>
      </c>
      <c r="CS51" s="134" t="str">
        <f>_xlfn.IFNA(MATCH(BS51,Achievements[[#All],[Column118]],0)+10,"")</f>
        <v/>
      </c>
      <c r="CT51" s="134" t="str">
        <f>_xlfn.IFNA(MATCH(BT51,Achievements[[#All],[Column118]],0)+10,"")</f>
        <v/>
      </c>
      <c r="CU51" s="134" t="str">
        <f>_xlfn.IFNA(MATCH(BU51,Achievements[[#All],[Column119]],0)+10,"")</f>
        <v/>
      </c>
      <c r="CV51" s="134" t="str">
        <f>_xlfn.IFNA(MATCH(BV51,Achievements[[#All],[Column119]],0)+10,"")</f>
        <v/>
      </c>
      <c r="CW51" s="134" t="str">
        <f>_xlfn.IFNA(MATCH(BW51,Achievements[[#All],[Column120]],0)+10,"")</f>
        <v/>
      </c>
      <c r="CX51" s="134" t="str">
        <f>_xlfn.IFNA(MATCH(BX51,Achievements[[#All],[Column120]],0)+10,"")</f>
        <v/>
      </c>
      <c r="CY51" s="134" t="str">
        <f>_xlfn.IFNA(MATCH(BY51,Achievements[[#All],[Column121]],0)+10,"")</f>
        <v/>
      </c>
      <c r="CZ51" s="118" t="e">
        <f t="shared" ca="1" si="1"/>
        <v>#NAME?</v>
      </c>
    </row>
    <row r="52" spans="1:104" x14ac:dyDescent="0.25">
      <c r="A52" t="e" cm="1">
        <f t="array" aca="1" ref="A52" ca="1">SplitValues("; ",#REF!)</f>
        <v>#NAME?</v>
      </c>
      <c r="AA52" t="e">
        <f ca="1">_xlfn.IFNA(MATCH(A52,Achievements[[#All],[Column1]],0)+11,"")</f>
        <v>#NAME?</v>
      </c>
      <c r="AB52" s="134" t="str">
        <f>_xlfn.IFNA(MATCH(B52,Achievements[[#All],[Column1]],0)+10,"")</f>
        <v/>
      </c>
      <c r="AC52" s="134" t="str">
        <f>_xlfn.IFNA(MATCH(C52,Achievements[[#All],[Column1]],0)+10,"")</f>
        <v/>
      </c>
      <c r="AD52" s="134" t="str">
        <f>_xlfn.IFNA(MATCH(D52,Achievements[[#All],[Column110]],0)+10,"")</f>
        <v/>
      </c>
      <c r="AE52" s="134" t="str">
        <f>_xlfn.IFNA(MATCH(E52,Achievements[[#All],[Column110]],0)+10,"")</f>
        <v/>
      </c>
      <c r="AF52" s="134" t="str">
        <f>_xlfn.IFNA(MATCH(F52,Achievements[[#All],[Column111]],0)+10,"")</f>
        <v/>
      </c>
      <c r="AG52" s="134" t="str">
        <f>_xlfn.IFNA(MATCH(G52,Achievements[[#All],[Column111]],0)+10,"")</f>
        <v/>
      </c>
      <c r="AH52" s="134" t="str">
        <f>_xlfn.IFNA(MATCH(H52,Achievements[[#All],[Column112]],0)+10,"")</f>
        <v/>
      </c>
      <c r="AI52" s="134" t="str">
        <f>_xlfn.IFNA(MATCH(I52,Achievements[[#All],[Column112]],0)+10,"")</f>
        <v/>
      </c>
      <c r="AJ52" s="134" t="str">
        <f>_xlfn.IFNA(MATCH(J52,Achievements[[#All],[Column113]],0)+10,"")</f>
        <v/>
      </c>
      <c r="AK52" s="134" t="str">
        <f>_xlfn.IFNA(MATCH(K52,Achievements[[#All],[Column113]],0)+10,"")</f>
        <v/>
      </c>
      <c r="AL52" s="134" t="str">
        <f>_xlfn.IFNA(MATCH(L52,Achievements[[#All],[Column114]],0)+10,"")</f>
        <v/>
      </c>
      <c r="AM52" s="134" t="str">
        <f>_xlfn.IFNA(MATCH(M52,Achievements[[#All],[Column114]],0)+10,"")</f>
        <v/>
      </c>
      <c r="AN52" s="134" t="str">
        <f>_xlfn.IFNA(MATCH(N52,Achievements[[#All],[Column115]],0)+10,"")</f>
        <v/>
      </c>
      <c r="AO52" s="134" t="str">
        <f>_xlfn.IFNA(MATCH(O52,Achievements[[#All],[Column115]],0)+10,"")</f>
        <v/>
      </c>
      <c r="AP52" s="134" t="str">
        <f>_xlfn.IFNA(MATCH(P52,Achievements[[#All],[Column116]],0)+10,"")</f>
        <v/>
      </c>
      <c r="AQ52" s="134" t="str">
        <f>_xlfn.IFNA(MATCH(Q52,Achievements[[#All],[Column116]],0)+10,"")</f>
        <v/>
      </c>
      <c r="AR52" s="134" t="str">
        <f>_xlfn.IFNA(MATCH(R52,Achievements[[#All],[Column117]],0)+10,"")</f>
        <v/>
      </c>
      <c r="AS52" s="134" t="str">
        <f>_xlfn.IFNA(MATCH(S52,Achievements[[#All],[Column117]],0)+10,"")</f>
        <v/>
      </c>
      <c r="AT52" s="134" t="str">
        <f>_xlfn.IFNA(MATCH(T52,Achievements[[#All],[Column118]],0)+10,"")</f>
        <v/>
      </c>
      <c r="AU52" s="134" t="str">
        <f>_xlfn.IFNA(MATCH(U52,Achievements[[#All],[Column118]],0)+10,"")</f>
        <v/>
      </c>
      <c r="AV52" s="134" t="str">
        <f>_xlfn.IFNA(MATCH(V52,Achievements[[#All],[Column119]],0)+10,"")</f>
        <v/>
      </c>
      <c r="AW52" s="134" t="str">
        <f>_xlfn.IFNA(MATCH(W52,Achievements[[#All],[Column119]],0)+10,"")</f>
        <v/>
      </c>
      <c r="AX52" s="134" t="str">
        <f>_xlfn.IFNA(MATCH(X52,Achievements[[#All],[Column120]],0)+10,"")</f>
        <v/>
      </c>
      <c r="AY52" s="134" t="str">
        <f>_xlfn.IFNA(MATCH(Y52,Achievements[[#All],[Column120]],0)+10,"")</f>
        <v/>
      </c>
      <c r="AZ52" s="116" t="e">
        <f t="shared" ca="1" si="0"/>
        <v>#NAME?</v>
      </c>
      <c r="BA52" s="134" t="e" cm="1">
        <f t="array" aca="1" ref="BA52" ca="1">SplitValues("; ",Persons[[#This Row],[Column1]])</f>
        <v>#NAME?</v>
      </c>
      <c r="CA52" s="134" t="e">
        <f ca="1">_xlfn.IFNA(MATCH(BA52,Achievements[[#All],[Column1]],0)+10,"")</f>
        <v>#NAME?</v>
      </c>
      <c r="CB52" s="134" t="str">
        <f>_xlfn.IFNA(MATCH(BB52,Achievements[[#All],[Column1]],0)+10,"")</f>
        <v/>
      </c>
      <c r="CC52" s="134" t="str">
        <f>_xlfn.IFNA(MATCH(BC52,Achievements[[#All],[Column110]],0)+10,"")</f>
        <v/>
      </c>
      <c r="CD52" s="134" t="str">
        <f>_xlfn.IFNA(MATCH(BD52,Achievements[[#All],[Column110]],0)+10,"")</f>
        <v/>
      </c>
      <c r="CE52" s="134" t="str">
        <f>_xlfn.IFNA(MATCH(BE52,Achievements[[#All],[Column111]],0)+10,"")</f>
        <v/>
      </c>
      <c r="CF52" s="134" t="str">
        <f>_xlfn.IFNA(MATCH(BF52,Achievements[[#All],[Column111]],0)+10,"")</f>
        <v/>
      </c>
      <c r="CG52" s="134" t="str">
        <f>_xlfn.IFNA(MATCH(BG52,Achievements[[#All],[Column112]],0)+10,"")</f>
        <v/>
      </c>
      <c r="CH52" s="134" t="str">
        <f>_xlfn.IFNA(MATCH(BH52,Achievements[[#All],[Column112]],0)+10,"")</f>
        <v/>
      </c>
      <c r="CI52" s="134" t="str">
        <f>_xlfn.IFNA(MATCH(BI52,Achievements[[#All],[Column113]],0)+10,"")</f>
        <v/>
      </c>
      <c r="CJ52" s="134" t="str">
        <f>_xlfn.IFNA(MATCH(BJ52,Achievements[[#All],[Column113]],0)+10,"")</f>
        <v/>
      </c>
      <c r="CK52" s="134" t="str">
        <f>_xlfn.IFNA(MATCH(BK52,Achievements[[#All],[Column114]],0)+10,"")</f>
        <v/>
      </c>
      <c r="CL52" s="134" t="str">
        <f>_xlfn.IFNA(MATCH(BL52,Achievements[[#All],[Column114]],0)+10,"")</f>
        <v/>
      </c>
      <c r="CM52" s="134" t="str">
        <f>_xlfn.IFNA(MATCH(BM52,Achievements[[#All],[Column115]],0)+10,"")</f>
        <v/>
      </c>
      <c r="CN52" s="134" t="str">
        <f>_xlfn.IFNA(MATCH(BN52,Achievements[[#All],[Column115]],0)+10,"")</f>
        <v/>
      </c>
      <c r="CO52" s="134" t="str">
        <f>_xlfn.IFNA(MATCH(BO52,Achievements[[#All],[Column116]],0)+10,"")</f>
        <v/>
      </c>
      <c r="CP52" s="134" t="str">
        <f>_xlfn.IFNA(MATCH(BP52,Achievements[[#All],[Column116]],0)+10,"")</f>
        <v/>
      </c>
      <c r="CQ52" s="134" t="str">
        <f>_xlfn.IFNA(MATCH(BQ52,Achievements[[#All],[Column117]],0)+10,"")</f>
        <v/>
      </c>
      <c r="CR52" s="134" t="str">
        <f>_xlfn.IFNA(MATCH(BR52,Achievements[[#All],[Column117]],0)+10,"")</f>
        <v/>
      </c>
      <c r="CS52" s="134" t="str">
        <f>_xlfn.IFNA(MATCH(BS52,Achievements[[#All],[Column118]],0)+10,"")</f>
        <v/>
      </c>
      <c r="CT52" s="134" t="str">
        <f>_xlfn.IFNA(MATCH(BT52,Achievements[[#All],[Column118]],0)+10,"")</f>
        <v/>
      </c>
      <c r="CU52" s="134" t="str">
        <f>_xlfn.IFNA(MATCH(BU52,Achievements[[#All],[Column119]],0)+10,"")</f>
        <v/>
      </c>
      <c r="CV52" s="134" t="str">
        <f>_xlfn.IFNA(MATCH(BV52,Achievements[[#All],[Column119]],0)+10,"")</f>
        <v/>
      </c>
      <c r="CW52" s="134" t="str">
        <f>_xlfn.IFNA(MATCH(BW52,Achievements[[#All],[Column120]],0)+10,"")</f>
        <v/>
      </c>
      <c r="CX52" s="134" t="str">
        <f>_xlfn.IFNA(MATCH(BX52,Achievements[[#All],[Column120]],0)+10,"")</f>
        <v/>
      </c>
      <c r="CY52" s="134" t="str">
        <f>_xlfn.IFNA(MATCH(BY52,Achievements[[#All],[Column121]],0)+10,"")</f>
        <v/>
      </c>
      <c r="CZ52" s="118" t="e">
        <f t="shared" ca="1" si="1"/>
        <v>#NAME?</v>
      </c>
    </row>
    <row r="53" spans="1:104" x14ac:dyDescent="0.25">
      <c r="A53" t="e" cm="1">
        <f t="array" aca="1" ref="A53" ca="1">SplitValues("; ",#REF!)</f>
        <v>#NAME?</v>
      </c>
      <c r="AA53" t="e">
        <f ca="1">_xlfn.IFNA(MATCH(A53,Achievements[[#All],[Column1]],0)+11,"")</f>
        <v>#NAME?</v>
      </c>
      <c r="AB53" s="134" t="str">
        <f>_xlfn.IFNA(MATCH(B53,Achievements[[#All],[Column1]],0)+10,"")</f>
        <v/>
      </c>
      <c r="AC53" s="134" t="str">
        <f>_xlfn.IFNA(MATCH(C53,Achievements[[#All],[Column1]],0)+10,"")</f>
        <v/>
      </c>
      <c r="AD53" s="134" t="str">
        <f>_xlfn.IFNA(MATCH(D53,Achievements[[#All],[Column110]],0)+10,"")</f>
        <v/>
      </c>
      <c r="AE53" s="134" t="str">
        <f>_xlfn.IFNA(MATCH(E53,Achievements[[#All],[Column110]],0)+10,"")</f>
        <v/>
      </c>
      <c r="AF53" s="134" t="str">
        <f>_xlfn.IFNA(MATCH(F53,Achievements[[#All],[Column111]],0)+10,"")</f>
        <v/>
      </c>
      <c r="AG53" s="134" t="str">
        <f>_xlfn.IFNA(MATCH(G53,Achievements[[#All],[Column111]],0)+10,"")</f>
        <v/>
      </c>
      <c r="AH53" s="134" t="str">
        <f>_xlfn.IFNA(MATCH(H53,Achievements[[#All],[Column112]],0)+10,"")</f>
        <v/>
      </c>
      <c r="AI53" s="134" t="str">
        <f>_xlfn.IFNA(MATCH(I53,Achievements[[#All],[Column112]],0)+10,"")</f>
        <v/>
      </c>
      <c r="AJ53" s="134" t="str">
        <f>_xlfn.IFNA(MATCH(J53,Achievements[[#All],[Column113]],0)+10,"")</f>
        <v/>
      </c>
      <c r="AK53" s="134" t="str">
        <f>_xlfn.IFNA(MATCH(K53,Achievements[[#All],[Column113]],0)+10,"")</f>
        <v/>
      </c>
      <c r="AL53" s="134" t="str">
        <f>_xlfn.IFNA(MATCH(L53,Achievements[[#All],[Column114]],0)+10,"")</f>
        <v/>
      </c>
      <c r="AM53" s="134" t="str">
        <f>_xlfn.IFNA(MATCH(M53,Achievements[[#All],[Column114]],0)+10,"")</f>
        <v/>
      </c>
      <c r="AN53" s="134" t="str">
        <f>_xlfn.IFNA(MATCH(N53,Achievements[[#All],[Column115]],0)+10,"")</f>
        <v/>
      </c>
      <c r="AO53" s="134" t="str">
        <f>_xlfn.IFNA(MATCH(O53,Achievements[[#All],[Column115]],0)+10,"")</f>
        <v/>
      </c>
      <c r="AP53" s="134" t="str">
        <f>_xlfn.IFNA(MATCH(P53,Achievements[[#All],[Column116]],0)+10,"")</f>
        <v/>
      </c>
      <c r="AQ53" s="134" t="str">
        <f>_xlfn.IFNA(MATCH(Q53,Achievements[[#All],[Column116]],0)+10,"")</f>
        <v/>
      </c>
      <c r="AR53" s="134" t="str">
        <f>_xlfn.IFNA(MATCH(R53,Achievements[[#All],[Column117]],0)+10,"")</f>
        <v/>
      </c>
      <c r="AS53" s="134" t="str">
        <f>_xlfn.IFNA(MATCH(S53,Achievements[[#All],[Column117]],0)+10,"")</f>
        <v/>
      </c>
      <c r="AT53" s="134" t="str">
        <f>_xlfn.IFNA(MATCH(T53,Achievements[[#All],[Column118]],0)+10,"")</f>
        <v/>
      </c>
      <c r="AU53" s="134" t="str">
        <f>_xlfn.IFNA(MATCH(U53,Achievements[[#All],[Column118]],0)+10,"")</f>
        <v/>
      </c>
      <c r="AV53" s="134" t="str">
        <f>_xlfn.IFNA(MATCH(V53,Achievements[[#All],[Column119]],0)+10,"")</f>
        <v/>
      </c>
      <c r="AW53" s="134" t="str">
        <f>_xlfn.IFNA(MATCH(W53,Achievements[[#All],[Column119]],0)+10,"")</f>
        <v/>
      </c>
      <c r="AX53" s="134" t="str">
        <f>_xlfn.IFNA(MATCH(X53,Achievements[[#All],[Column120]],0)+10,"")</f>
        <v/>
      </c>
      <c r="AY53" s="134" t="str">
        <f>_xlfn.IFNA(MATCH(Y53,Achievements[[#All],[Column120]],0)+10,"")</f>
        <v/>
      </c>
      <c r="AZ53" s="116" t="e">
        <f t="shared" ca="1" si="0"/>
        <v>#NAME?</v>
      </c>
      <c r="BA53" s="134" t="e" cm="1">
        <f t="array" aca="1" ref="BA53" ca="1">SplitValues("; ",Persons[[#This Row],[Column1]])</f>
        <v>#NAME?</v>
      </c>
      <c r="CA53" s="134" t="e">
        <f ca="1">_xlfn.IFNA(MATCH(BA53,Achievements[[#All],[Column1]],0)+10,"")</f>
        <v>#NAME?</v>
      </c>
      <c r="CB53" s="134" t="str">
        <f>_xlfn.IFNA(MATCH(BB53,Achievements[[#All],[Column1]],0)+10,"")</f>
        <v/>
      </c>
      <c r="CC53" s="134" t="str">
        <f>_xlfn.IFNA(MATCH(BC53,Achievements[[#All],[Column110]],0)+10,"")</f>
        <v/>
      </c>
      <c r="CD53" s="134" t="str">
        <f>_xlfn.IFNA(MATCH(BD53,Achievements[[#All],[Column110]],0)+10,"")</f>
        <v/>
      </c>
      <c r="CE53" s="134" t="str">
        <f>_xlfn.IFNA(MATCH(BE53,Achievements[[#All],[Column111]],0)+10,"")</f>
        <v/>
      </c>
      <c r="CF53" s="134" t="str">
        <f>_xlfn.IFNA(MATCH(BF53,Achievements[[#All],[Column111]],0)+10,"")</f>
        <v/>
      </c>
      <c r="CG53" s="134" t="str">
        <f>_xlfn.IFNA(MATCH(BG53,Achievements[[#All],[Column112]],0)+10,"")</f>
        <v/>
      </c>
      <c r="CH53" s="134" t="str">
        <f>_xlfn.IFNA(MATCH(BH53,Achievements[[#All],[Column112]],0)+10,"")</f>
        <v/>
      </c>
      <c r="CI53" s="134" t="str">
        <f>_xlfn.IFNA(MATCH(BI53,Achievements[[#All],[Column113]],0)+10,"")</f>
        <v/>
      </c>
      <c r="CJ53" s="134" t="str">
        <f>_xlfn.IFNA(MATCH(BJ53,Achievements[[#All],[Column113]],0)+10,"")</f>
        <v/>
      </c>
      <c r="CK53" s="134" t="str">
        <f>_xlfn.IFNA(MATCH(BK53,Achievements[[#All],[Column114]],0)+10,"")</f>
        <v/>
      </c>
      <c r="CL53" s="134" t="str">
        <f>_xlfn.IFNA(MATCH(BL53,Achievements[[#All],[Column114]],0)+10,"")</f>
        <v/>
      </c>
      <c r="CM53" s="134" t="str">
        <f>_xlfn.IFNA(MATCH(BM53,Achievements[[#All],[Column115]],0)+10,"")</f>
        <v/>
      </c>
      <c r="CN53" s="134" t="str">
        <f>_xlfn.IFNA(MATCH(BN53,Achievements[[#All],[Column115]],0)+10,"")</f>
        <v/>
      </c>
      <c r="CO53" s="134" t="str">
        <f>_xlfn.IFNA(MATCH(BO53,Achievements[[#All],[Column116]],0)+10,"")</f>
        <v/>
      </c>
      <c r="CP53" s="134" t="str">
        <f>_xlfn.IFNA(MATCH(BP53,Achievements[[#All],[Column116]],0)+10,"")</f>
        <v/>
      </c>
      <c r="CQ53" s="134" t="str">
        <f>_xlfn.IFNA(MATCH(BQ53,Achievements[[#All],[Column117]],0)+10,"")</f>
        <v/>
      </c>
      <c r="CR53" s="134" t="str">
        <f>_xlfn.IFNA(MATCH(BR53,Achievements[[#All],[Column117]],0)+10,"")</f>
        <v/>
      </c>
      <c r="CS53" s="134" t="str">
        <f>_xlfn.IFNA(MATCH(BS53,Achievements[[#All],[Column118]],0)+10,"")</f>
        <v/>
      </c>
      <c r="CT53" s="134" t="str">
        <f>_xlfn.IFNA(MATCH(BT53,Achievements[[#All],[Column118]],0)+10,"")</f>
        <v/>
      </c>
      <c r="CU53" s="134" t="str">
        <f>_xlfn.IFNA(MATCH(BU53,Achievements[[#All],[Column119]],0)+10,"")</f>
        <v/>
      </c>
      <c r="CV53" s="134" t="str">
        <f>_xlfn.IFNA(MATCH(BV53,Achievements[[#All],[Column119]],0)+10,"")</f>
        <v/>
      </c>
      <c r="CW53" s="134" t="str">
        <f>_xlfn.IFNA(MATCH(BW53,Achievements[[#All],[Column120]],0)+10,"")</f>
        <v/>
      </c>
      <c r="CX53" s="134" t="str">
        <f>_xlfn.IFNA(MATCH(BX53,Achievements[[#All],[Column120]],0)+10,"")</f>
        <v/>
      </c>
      <c r="CY53" s="134" t="str">
        <f>_xlfn.IFNA(MATCH(BY53,Achievements[[#All],[Column121]],0)+10,"")</f>
        <v/>
      </c>
      <c r="CZ53" s="118" t="e">
        <f t="shared" ca="1" si="1"/>
        <v>#NAME?</v>
      </c>
    </row>
    <row r="54" spans="1:104" x14ac:dyDescent="0.25">
      <c r="A54" t="e" cm="1">
        <f t="array" aca="1" ref="A54" ca="1">SplitValues("; ",#REF!)</f>
        <v>#NAME?</v>
      </c>
      <c r="AA54" t="e">
        <f ca="1">_xlfn.IFNA(MATCH(A54,Achievements[[#All],[Column1]],0)+11,"")</f>
        <v>#NAME?</v>
      </c>
      <c r="AB54" s="134" t="str">
        <f>_xlfn.IFNA(MATCH(B54,Achievements[[#All],[Column1]],0)+10,"")</f>
        <v/>
      </c>
      <c r="AC54" s="134" t="str">
        <f>_xlfn.IFNA(MATCH(C54,Achievements[[#All],[Column1]],0)+10,"")</f>
        <v/>
      </c>
      <c r="AD54" s="134" t="str">
        <f>_xlfn.IFNA(MATCH(D54,Achievements[[#All],[Column110]],0)+10,"")</f>
        <v/>
      </c>
      <c r="AE54" s="134" t="str">
        <f>_xlfn.IFNA(MATCH(E54,Achievements[[#All],[Column110]],0)+10,"")</f>
        <v/>
      </c>
      <c r="AF54" s="134" t="str">
        <f>_xlfn.IFNA(MATCH(F54,Achievements[[#All],[Column111]],0)+10,"")</f>
        <v/>
      </c>
      <c r="AG54" s="134" t="str">
        <f>_xlfn.IFNA(MATCH(G54,Achievements[[#All],[Column111]],0)+10,"")</f>
        <v/>
      </c>
      <c r="AH54" s="134" t="str">
        <f>_xlfn.IFNA(MATCH(H54,Achievements[[#All],[Column112]],0)+10,"")</f>
        <v/>
      </c>
      <c r="AI54" s="134" t="str">
        <f>_xlfn.IFNA(MATCH(I54,Achievements[[#All],[Column112]],0)+10,"")</f>
        <v/>
      </c>
      <c r="AJ54" s="134" t="str">
        <f>_xlfn.IFNA(MATCH(J54,Achievements[[#All],[Column113]],0)+10,"")</f>
        <v/>
      </c>
      <c r="AK54" s="134" t="str">
        <f>_xlfn.IFNA(MATCH(K54,Achievements[[#All],[Column113]],0)+10,"")</f>
        <v/>
      </c>
      <c r="AL54" s="134" t="str">
        <f>_xlfn.IFNA(MATCH(L54,Achievements[[#All],[Column114]],0)+10,"")</f>
        <v/>
      </c>
      <c r="AM54" s="134" t="str">
        <f>_xlfn.IFNA(MATCH(M54,Achievements[[#All],[Column114]],0)+10,"")</f>
        <v/>
      </c>
      <c r="AN54" s="134" t="str">
        <f>_xlfn.IFNA(MATCH(N54,Achievements[[#All],[Column115]],0)+10,"")</f>
        <v/>
      </c>
      <c r="AO54" s="134" t="str">
        <f>_xlfn.IFNA(MATCH(O54,Achievements[[#All],[Column115]],0)+10,"")</f>
        <v/>
      </c>
      <c r="AP54" s="134" t="str">
        <f>_xlfn.IFNA(MATCH(P54,Achievements[[#All],[Column116]],0)+10,"")</f>
        <v/>
      </c>
      <c r="AQ54" s="134" t="str">
        <f>_xlfn.IFNA(MATCH(Q54,Achievements[[#All],[Column116]],0)+10,"")</f>
        <v/>
      </c>
      <c r="AR54" s="134" t="str">
        <f>_xlfn.IFNA(MATCH(R54,Achievements[[#All],[Column117]],0)+10,"")</f>
        <v/>
      </c>
      <c r="AS54" s="134" t="str">
        <f>_xlfn.IFNA(MATCH(S54,Achievements[[#All],[Column117]],0)+10,"")</f>
        <v/>
      </c>
      <c r="AT54" s="134" t="str">
        <f>_xlfn.IFNA(MATCH(T54,Achievements[[#All],[Column118]],0)+10,"")</f>
        <v/>
      </c>
      <c r="AU54" s="134" t="str">
        <f>_xlfn.IFNA(MATCH(U54,Achievements[[#All],[Column118]],0)+10,"")</f>
        <v/>
      </c>
      <c r="AV54" s="134" t="str">
        <f>_xlfn.IFNA(MATCH(V54,Achievements[[#All],[Column119]],0)+10,"")</f>
        <v/>
      </c>
      <c r="AW54" s="134" t="str">
        <f>_xlfn.IFNA(MATCH(W54,Achievements[[#All],[Column119]],0)+10,"")</f>
        <v/>
      </c>
      <c r="AX54" s="134" t="str">
        <f>_xlfn.IFNA(MATCH(X54,Achievements[[#All],[Column120]],0)+10,"")</f>
        <v/>
      </c>
      <c r="AY54" s="134" t="str">
        <f>_xlfn.IFNA(MATCH(Y54,Achievements[[#All],[Column120]],0)+10,"")</f>
        <v/>
      </c>
      <c r="AZ54" s="116" t="e">
        <f t="shared" ca="1" si="0"/>
        <v>#NAME?</v>
      </c>
      <c r="BA54" s="134" t="e" cm="1">
        <f t="array" aca="1" ref="BA54" ca="1">SplitValues("; ",Persons[[#This Row],[Column1]])</f>
        <v>#NAME?</v>
      </c>
      <c r="CA54" s="134" t="e">
        <f ca="1">_xlfn.IFNA(MATCH(BA54,Achievements[[#All],[Column1]],0)+10,"")</f>
        <v>#NAME?</v>
      </c>
      <c r="CB54" s="134" t="str">
        <f>_xlfn.IFNA(MATCH(BB54,Achievements[[#All],[Column1]],0)+10,"")</f>
        <v/>
      </c>
      <c r="CC54" s="134" t="str">
        <f>_xlfn.IFNA(MATCH(BC54,Achievements[[#All],[Column110]],0)+10,"")</f>
        <v/>
      </c>
      <c r="CD54" s="134" t="str">
        <f>_xlfn.IFNA(MATCH(BD54,Achievements[[#All],[Column110]],0)+10,"")</f>
        <v/>
      </c>
      <c r="CE54" s="134" t="str">
        <f>_xlfn.IFNA(MATCH(BE54,Achievements[[#All],[Column111]],0)+10,"")</f>
        <v/>
      </c>
      <c r="CF54" s="134" t="str">
        <f>_xlfn.IFNA(MATCH(BF54,Achievements[[#All],[Column111]],0)+10,"")</f>
        <v/>
      </c>
      <c r="CG54" s="134" t="str">
        <f>_xlfn.IFNA(MATCH(BG54,Achievements[[#All],[Column112]],0)+10,"")</f>
        <v/>
      </c>
      <c r="CH54" s="134" t="str">
        <f>_xlfn.IFNA(MATCH(BH54,Achievements[[#All],[Column112]],0)+10,"")</f>
        <v/>
      </c>
      <c r="CI54" s="134" t="str">
        <f>_xlfn.IFNA(MATCH(BI54,Achievements[[#All],[Column113]],0)+10,"")</f>
        <v/>
      </c>
      <c r="CJ54" s="134" t="str">
        <f>_xlfn.IFNA(MATCH(BJ54,Achievements[[#All],[Column113]],0)+10,"")</f>
        <v/>
      </c>
      <c r="CK54" s="134" t="str">
        <f>_xlfn.IFNA(MATCH(BK54,Achievements[[#All],[Column114]],0)+10,"")</f>
        <v/>
      </c>
      <c r="CL54" s="134" t="str">
        <f>_xlfn.IFNA(MATCH(BL54,Achievements[[#All],[Column114]],0)+10,"")</f>
        <v/>
      </c>
      <c r="CM54" s="134" t="str">
        <f>_xlfn.IFNA(MATCH(BM54,Achievements[[#All],[Column115]],0)+10,"")</f>
        <v/>
      </c>
      <c r="CN54" s="134" t="str">
        <f>_xlfn.IFNA(MATCH(BN54,Achievements[[#All],[Column115]],0)+10,"")</f>
        <v/>
      </c>
      <c r="CO54" s="134" t="str">
        <f>_xlfn.IFNA(MATCH(BO54,Achievements[[#All],[Column116]],0)+10,"")</f>
        <v/>
      </c>
      <c r="CP54" s="134" t="str">
        <f>_xlfn.IFNA(MATCH(BP54,Achievements[[#All],[Column116]],0)+10,"")</f>
        <v/>
      </c>
      <c r="CQ54" s="134" t="str">
        <f>_xlfn.IFNA(MATCH(BQ54,Achievements[[#All],[Column117]],0)+10,"")</f>
        <v/>
      </c>
      <c r="CR54" s="134" t="str">
        <f>_xlfn.IFNA(MATCH(BR54,Achievements[[#All],[Column117]],0)+10,"")</f>
        <v/>
      </c>
      <c r="CS54" s="134" t="str">
        <f>_xlfn.IFNA(MATCH(BS54,Achievements[[#All],[Column118]],0)+10,"")</f>
        <v/>
      </c>
      <c r="CT54" s="134" t="str">
        <f>_xlfn.IFNA(MATCH(BT54,Achievements[[#All],[Column118]],0)+10,"")</f>
        <v/>
      </c>
      <c r="CU54" s="134" t="str">
        <f>_xlfn.IFNA(MATCH(BU54,Achievements[[#All],[Column119]],0)+10,"")</f>
        <v/>
      </c>
      <c r="CV54" s="134" t="str">
        <f>_xlfn.IFNA(MATCH(BV54,Achievements[[#All],[Column119]],0)+10,"")</f>
        <v/>
      </c>
      <c r="CW54" s="134" t="str">
        <f>_xlfn.IFNA(MATCH(BW54,Achievements[[#All],[Column120]],0)+10,"")</f>
        <v/>
      </c>
      <c r="CX54" s="134" t="str">
        <f>_xlfn.IFNA(MATCH(BX54,Achievements[[#All],[Column120]],0)+10,"")</f>
        <v/>
      </c>
      <c r="CY54" s="134" t="str">
        <f>_xlfn.IFNA(MATCH(BY54,Achievements[[#All],[Column121]],0)+10,"")</f>
        <v/>
      </c>
      <c r="CZ54" s="118" t="e">
        <f t="shared" ca="1" si="1"/>
        <v>#NAME?</v>
      </c>
    </row>
    <row r="55" spans="1:104" x14ac:dyDescent="0.25">
      <c r="A55" t="e" cm="1">
        <f t="array" aca="1" ref="A55" ca="1">SplitValues("; ",#REF!)</f>
        <v>#NAME?</v>
      </c>
      <c r="AA55" t="e">
        <f ca="1">_xlfn.IFNA(MATCH(A55,Achievements[[#All],[Column1]],0)+11,"")</f>
        <v>#NAME?</v>
      </c>
      <c r="AB55" s="134" t="str">
        <f>_xlfn.IFNA(MATCH(B55,Achievements[[#All],[Column1]],0)+10,"")</f>
        <v/>
      </c>
      <c r="AC55" s="134" t="str">
        <f>_xlfn.IFNA(MATCH(C55,Achievements[[#All],[Column1]],0)+10,"")</f>
        <v/>
      </c>
      <c r="AD55" s="134" t="str">
        <f>_xlfn.IFNA(MATCH(D55,Achievements[[#All],[Column110]],0)+10,"")</f>
        <v/>
      </c>
      <c r="AE55" s="134" t="str">
        <f>_xlfn.IFNA(MATCH(E55,Achievements[[#All],[Column110]],0)+10,"")</f>
        <v/>
      </c>
      <c r="AF55" s="134" t="str">
        <f>_xlfn.IFNA(MATCH(F55,Achievements[[#All],[Column111]],0)+10,"")</f>
        <v/>
      </c>
      <c r="AG55" s="134" t="str">
        <f>_xlfn.IFNA(MATCH(G55,Achievements[[#All],[Column111]],0)+10,"")</f>
        <v/>
      </c>
      <c r="AH55" s="134" t="str">
        <f>_xlfn.IFNA(MATCH(H55,Achievements[[#All],[Column112]],0)+10,"")</f>
        <v/>
      </c>
      <c r="AI55" s="134" t="str">
        <f>_xlfn.IFNA(MATCH(I55,Achievements[[#All],[Column112]],0)+10,"")</f>
        <v/>
      </c>
      <c r="AJ55" s="134" t="str">
        <f>_xlfn.IFNA(MATCH(J55,Achievements[[#All],[Column113]],0)+10,"")</f>
        <v/>
      </c>
      <c r="AK55" s="134" t="str">
        <f>_xlfn.IFNA(MATCH(K55,Achievements[[#All],[Column113]],0)+10,"")</f>
        <v/>
      </c>
      <c r="AL55" s="134" t="str">
        <f>_xlfn.IFNA(MATCH(L55,Achievements[[#All],[Column114]],0)+10,"")</f>
        <v/>
      </c>
      <c r="AM55" s="134" t="str">
        <f>_xlfn.IFNA(MATCH(M55,Achievements[[#All],[Column114]],0)+10,"")</f>
        <v/>
      </c>
      <c r="AN55" s="134" t="str">
        <f>_xlfn.IFNA(MATCH(N55,Achievements[[#All],[Column115]],0)+10,"")</f>
        <v/>
      </c>
      <c r="AO55" s="134" t="str">
        <f>_xlfn.IFNA(MATCH(O55,Achievements[[#All],[Column115]],0)+10,"")</f>
        <v/>
      </c>
      <c r="AP55" s="134" t="str">
        <f>_xlfn.IFNA(MATCH(P55,Achievements[[#All],[Column116]],0)+10,"")</f>
        <v/>
      </c>
      <c r="AQ55" s="134" t="str">
        <f>_xlfn.IFNA(MATCH(Q55,Achievements[[#All],[Column116]],0)+10,"")</f>
        <v/>
      </c>
      <c r="AR55" s="134" t="str">
        <f>_xlfn.IFNA(MATCH(R55,Achievements[[#All],[Column117]],0)+10,"")</f>
        <v/>
      </c>
      <c r="AS55" s="134" t="str">
        <f>_xlfn.IFNA(MATCH(S55,Achievements[[#All],[Column117]],0)+10,"")</f>
        <v/>
      </c>
      <c r="AT55" s="134" t="str">
        <f>_xlfn.IFNA(MATCH(T55,Achievements[[#All],[Column118]],0)+10,"")</f>
        <v/>
      </c>
      <c r="AU55" s="134" t="str">
        <f>_xlfn.IFNA(MATCH(U55,Achievements[[#All],[Column118]],0)+10,"")</f>
        <v/>
      </c>
      <c r="AV55" s="134" t="str">
        <f>_xlfn.IFNA(MATCH(V55,Achievements[[#All],[Column119]],0)+10,"")</f>
        <v/>
      </c>
      <c r="AW55" s="134" t="str">
        <f>_xlfn.IFNA(MATCH(W55,Achievements[[#All],[Column119]],0)+10,"")</f>
        <v/>
      </c>
      <c r="AX55" s="134" t="str">
        <f>_xlfn.IFNA(MATCH(X55,Achievements[[#All],[Column120]],0)+10,"")</f>
        <v/>
      </c>
      <c r="AY55" s="134" t="str">
        <f>_xlfn.IFNA(MATCH(Y55,Achievements[[#All],[Column120]],0)+10,"")</f>
        <v/>
      </c>
      <c r="AZ55" s="116" t="e">
        <f t="shared" ca="1" si="0"/>
        <v>#NAME?</v>
      </c>
      <c r="BA55" s="134" t="e" cm="1">
        <f t="array" aca="1" ref="BA55" ca="1">SplitValues("; ",Persons[[#This Row],[Column1]])</f>
        <v>#NAME?</v>
      </c>
      <c r="CA55" s="134" t="e">
        <f ca="1">_xlfn.IFNA(MATCH(BA55,Achievements[[#All],[Column1]],0)+10,"")</f>
        <v>#NAME?</v>
      </c>
      <c r="CB55" s="134" t="str">
        <f>_xlfn.IFNA(MATCH(BB55,Achievements[[#All],[Column1]],0)+10,"")</f>
        <v/>
      </c>
      <c r="CC55" s="134" t="str">
        <f>_xlfn.IFNA(MATCH(BC55,Achievements[[#All],[Column110]],0)+10,"")</f>
        <v/>
      </c>
      <c r="CD55" s="134" t="str">
        <f>_xlfn.IFNA(MATCH(BD55,Achievements[[#All],[Column110]],0)+10,"")</f>
        <v/>
      </c>
      <c r="CE55" s="134" t="str">
        <f>_xlfn.IFNA(MATCH(BE55,Achievements[[#All],[Column111]],0)+10,"")</f>
        <v/>
      </c>
      <c r="CF55" s="134" t="str">
        <f>_xlfn.IFNA(MATCH(BF55,Achievements[[#All],[Column111]],0)+10,"")</f>
        <v/>
      </c>
      <c r="CG55" s="134" t="str">
        <f>_xlfn.IFNA(MATCH(BG55,Achievements[[#All],[Column112]],0)+10,"")</f>
        <v/>
      </c>
      <c r="CH55" s="134" t="str">
        <f>_xlfn.IFNA(MATCH(BH55,Achievements[[#All],[Column112]],0)+10,"")</f>
        <v/>
      </c>
      <c r="CI55" s="134" t="str">
        <f>_xlfn.IFNA(MATCH(BI55,Achievements[[#All],[Column113]],0)+10,"")</f>
        <v/>
      </c>
      <c r="CJ55" s="134" t="str">
        <f>_xlfn.IFNA(MATCH(BJ55,Achievements[[#All],[Column113]],0)+10,"")</f>
        <v/>
      </c>
      <c r="CK55" s="134" t="str">
        <f>_xlfn.IFNA(MATCH(BK55,Achievements[[#All],[Column114]],0)+10,"")</f>
        <v/>
      </c>
      <c r="CL55" s="134" t="str">
        <f>_xlfn.IFNA(MATCH(BL55,Achievements[[#All],[Column114]],0)+10,"")</f>
        <v/>
      </c>
      <c r="CM55" s="134" t="str">
        <f>_xlfn.IFNA(MATCH(BM55,Achievements[[#All],[Column115]],0)+10,"")</f>
        <v/>
      </c>
      <c r="CN55" s="134" t="str">
        <f>_xlfn.IFNA(MATCH(BN55,Achievements[[#All],[Column115]],0)+10,"")</f>
        <v/>
      </c>
      <c r="CO55" s="134" t="str">
        <f>_xlfn.IFNA(MATCH(BO55,Achievements[[#All],[Column116]],0)+10,"")</f>
        <v/>
      </c>
      <c r="CP55" s="134" t="str">
        <f>_xlfn.IFNA(MATCH(BP55,Achievements[[#All],[Column116]],0)+10,"")</f>
        <v/>
      </c>
      <c r="CQ55" s="134" t="str">
        <f>_xlfn.IFNA(MATCH(BQ55,Achievements[[#All],[Column117]],0)+10,"")</f>
        <v/>
      </c>
      <c r="CR55" s="134" t="str">
        <f>_xlfn.IFNA(MATCH(BR55,Achievements[[#All],[Column117]],0)+10,"")</f>
        <v/>
      </c>
      <c r="CS55" s="134" t="str">
        <f>_xlfn.IFNA(MATCH(BS55,Achievements[[#All],[Column118]],0)+10,"")</f>
        <v/>
      </c>
      <c r="CT55" s="134" t="str">
        <f>_xlfn.IFNA(MATCH(BT55,Achievements[[#All],[Column118]],0)+10,"")</f>
        <v/>
      </c>
      <c r="CU55" s="134" t="str">
        <f>_xlfn.IFNA(MATCH(BU55,Achievements[[#All],[Column119]],0)+10,"")</f>
        <v/>
      </c>
      <c r="CV55" s="134" t="str">
        <f>_xlfn.IFNA(MATCH(BV55,Achievements[[#All],[Column119]],0)+10,"")</f>
        <v/>
      </c>
      <c r="CW55" s="134" t="str">
        <f>_xlfn.IFNA(MATCH(BW55,Achievements[[#All],[Column120]],0)+10,"")</f>
        <v/>
      </c>
      <c r="CX55" s="134" t="str">
        <f>_xlfn.IFNA(MATCH(BX55,Achievements[[#All],[Column120]],0)+10,"")</f>
        <v/>
      </c>
      <c r="CY55" s="134" t="str">
        <f>_xlfn.IFNA(MATCH(BY55,Achievements[[#All],[Column121]],0)+10,"")</f>
        <v/>
      </c>
      <c r="CZ55" s="118" t="e">
        <f t="shared" ca="1" si="1"/>
        <v>#NAME?</v>
      </c>
    </row>
    <row r="56" spans="1:104" x14ac:dyDescent="0.25">
      <c r="A56" t="e" cm="1">
        <f t="array" aca="1" ref="A56" ca="1">SplitValues("; ",#REF!)</f>
        <v>#NAME?</v>
      </c>
      <c r="AA56" t="e">
        <f ca="1">_xlfn.IFNA(MATCH(A56,Achievements[[#All],[Column1]],0)+11,"")</f>
        <v>#NAME?</v>
      </c>
      <c r="AB56" s="134" t="str">
        <f>_xlfn.IFNA(MATCH(B56,Achievements[[#All],[Column1]],0)+10,"")</f>
        <v/>
      </c>
      <c r="AC56" s="134" t="str">
        <f>_xlfn.IFNA(MATCH(C56,Achievements[[#All],[Column1]],0)+10,"")</f>
        <v/>
      </c>
      <c r="AD56" s="134" t="str">
        <f>_xlfn.IFNA(MATCH(D56,Achievements[[#All],[Column110]],0)+10,"")</f>
        <v/>
      </c>
      <c r="AE56" s="134" t="str">
        <f>_xlfn.IFNA(MATCH(E56,Achievements[[#All],[Column110]],0)+10,"")</f>
        <v/>
      </c>
      <c r="AF56" s="134" t="str">
        <f>_xlfn.IFNA(MATCH(F56,Achievements[[#All],[Column111]],0)+10,"")</f>
        <v/>
      </c>
      <c r="AG56" s="134" t="str">
        <f>_xlfn.IFNA(MATCH(G56,Achievements[[#All],[Column111]],0)+10,"")</f>
        <v/>
      </c>
      <c r="AH56" s="134" t="str">
        <f>_xlfn.IFNA(MATCH(H56,Achievements[[#All],[Column112]],0)+10,"")</f>
        <v/>
      </c>
      <c r="AI56" s="134" t="str">
        <f>_xlfn.IFNA(MATCH(I56,Achievements[[#All],[Column112]],0)+10,"")</f>
        <v/>
      </c>
      <c r="AJ56" s="134" t="str">
        <f>_xlfn.IFNA(MATCH(J56,Achievements[[#All],[Column113]],0)+10,"")</f>
        <v/>
      </c>
      <c r="AK56" s="134" t="str">
        <f>_xlfn.IFNA(MATCH(K56,Achievements[[#All],[Column113]],0)+10,"")</f>
        <v/>
      </c>
      <c r="AL56" s="134" t="str">
        <f>_xlfn.IFNA(MATCH(L56,Achievements[[#All],[Column114]],0)+10,"")</f>
        <v/>
      </c>
      <c r="AM56" s="134" t="str">
        <f>_xlfn.IFNA(MATCH(M56,Achievements[[#All],[Column114]],0)+10,"")</f>
        <v/>
      </c>
      <c r="AN56" s="134" t="str">
        <f>_xlfn.IFNA(MATCH(N56,Achievements[[#All],[Column115]],0)+10,"")</f>
        <v/>
      </c>
      <c r="AO56" s="134" t="str">
        <f>_xlfn.IFNA(MATCH(O56,Achievements[[#All],[Column115]],0)+10,"")</f>
        <v/>
      </c>
      <c r="AP56" s="134" t="str">
        <f>_xlfn.IFNA(MATCH(P56,Achievements[[#All],[Column116]],0)+10,"")</f>
        <v/>
      </c>
      <c r="AQ56" s="134" t="str">
        <f>_xlfn.IFNA(MATCH(Q56,Achievements[[#All],[Column116]],0)+10,"")</f>
        <v/>
      </c>
      <c r="AR56" s="134" t="str">
        <f>_xlfn.IFNA(MATCH(R56,Achievements[[#All],[Column117]],0)+10,"")</f>
        <v/>
      </c>
      <c r="AS56" s="134" t="str">
        <f>_xlfn.IFNA(MATCH(S56,Achievements[[#All],[Column117]],0)+10,"")</f>
        <v/>
      </c>
      <c r="AT56" s="134" t="str">
        <f>_xlfn.IFNA(MATCH(T56,Achievements[[#All],[Column118]],0)+10,"")</f>
        <v/>
      </c>
      <c r="AU56" s="134" t="str">
        <f>_xlfn.IFNA(MATCH(U56,Achievements[[#All],[Column118]],0)+10,"")</f>
        <v/>
      </c>
      <c r="AV56" s="134" t="str">
        <f>_xlfn.IFNA(MATCH(V56,Achievements[[#All],[Column119]],0)+10,"")</f>
        <v/>
      </c>
      <c r="AW56" s="134" t="str">
        <f>_xlfn.IFNA(MATCH(W56,Achievements[[#All],[Column119]],0)+10,"")</f>
        <v/>
      </c>
      <c r="AX56" s="134" t="str">
        <f>_xlfn.IFNA(MATCH(X56,Achievements[[#All],[Column120]],0)+10,"")</f>
        <v/>
      </c>
      <c r="AY56" s="134" t="str">
        <f>_xlfn.IFNA(MATCH(Y56,Achievements[[#All],[Column120]],0)+10,"")</f>
        <v/>
      </c>
      <c r="AZ56" s="116" t="e">
        <f t="shared" ca="1" si="0"/>
        <v>#NAME?</v>
      </c>
      <c r="BA56" s="134" t="e" cm="1">
        <f t="array" aca="1" ref="BA56" ca="1">SplitValues("; ",Persons[[#This Row],[Column1]])</f>
        <v>#NAME?</v>
      </c>
      <c r="CA56" s="134" t="e">
        <f ca="1">_xlfn.IFNA(MATCH(BA56,Achievements[[#All],[Column1]],0)+10,"")</f>
        <v>#NAME?</v>
      </c>
      <c r="CB56" s="134" t="str">
        <f>_xlfn.IFNA(MATCH(BB56,Achievements[[#All],[Column1]],0)+10,"")</f>
        <v/>
      </c>
      <c r="CC56" s="134" t="str">
        <f>_xlfn.IFNA(MATCH(BC56,Achievements[[#All],[Column110]],0)+10,"")</f>
        <v/>
      </c>
      <c r="CD56" s="134" t="str">
        <f>_xlfn.IFNA(MATCH(BD56,Achievements[[#All],[Column110]],0)+10,"")</f>
        <v/>
      </c>
      <c r="CE56" s="134" t="str">
        <f>_xlfn.IFNA(MATCH(BE56,Achievements[[#All],[Column111]],0)+10,"")</f>
        <v/>
      </c>
      <c r="CF56" s="134" t="str">
        <f>_xlfn.IFNA(MATCH(BF56,Achievements[[#All],[Column111]],0)+10,"")</f>
        <v/>
      </c>
      <c r="CG56" s="134" t="str">
        <f>_xlfn.IFNA(MATCH(BG56,Achievements[[#All],[Column112]],0)+10,"")</f>
        <v/>
      </c>
      <c r="CH56" s="134" t="str">
        <f>_xlfn.IFNA(MATCH(BH56,Achievements[[#All],[Column112]],0)+10,"")</f>
        <v/>
      </c>
      <c r="CI56" s="134" t="str">
        <f>_xlfn.IFNA(MATCH(BI56,Achievements[[#All],[Column113]],0)+10,"")</f>
        <v/>
      </c>
      <c r="CJ56" s="134" t="str">
        <f>_xlfn.IFNA(MATCH(BJ56,Achievements[[#All],[Column113]],0)+10,"")</f>
        <v/>
      </c>
      <c r="CK56" s="134" t="str">
        <f>_xlfn.IFNA(MATCH(BK56,Achievements[[#All],[Column114]],0)+10,"")</f>
        <v/>
      </c>
      <c r="CL56" s="134" t="str">
        <f>_xlfn.IFNA(MATCH(BL56,Achievements[[#All],[Column114]],0)+10,"")</f>
        <v/>
      </c>
      <c r="CM56" s="134" t="str">
        <f>_xlfn.IFNA(MATCH(BM56,Achievements[[#All],[Column115]],0)+10,"")</f>
        <v/>
      </c>
      <c r="CN56" s="134" t="str">
        <f>_xlfn.IFNA(MATCH(BN56,Achievements[[#All],[Column115]],0)+10,"")</f>
        <v/>
      </c>
      <c r="CO56" s="134" t="str">
        <f>_xlfn.IFNA(MATCH(BO56,Achievements[[#All],[Column116]],0)+10,"")</f>
        <v/>
      </c>
      <c r="CP56" s="134" t="str">
        <f>_xlfn.IFNA(MATCH(BP56,Achievements[[#All],[Column116]],0)+10,"")</f>
        <v/>
      </c>
      <c r="CQ56" s="134" t="str">
        <f>_xlfn.IFNA(MATCH(BQ56,Achievements[[#All],[Column117]],0)+10,"")</f>
        <v/>
      </c>
      <c r="CR56" s="134" t="str">
        <f>_xlfn.IFNA(MATCH(BR56,Achievements[[#All],[Column117]],0)+10,"")</f>
        <v/>
      </c>
      <c r="CS56" s="134" t="str">
        <f>_xlfn.IFNA(MATCH(BS56,Achievements[[#All],[Column118]],0)+10,"")</f>
        <v/>
      </c>
      <c r="CT56" s="134" t="str">
        <f>_xlfn.IFNA(MATCH(BT56,Achievements[[#All],[Column118]],0)+10,"")</f>
        <v/>
      </c>
      <c r="CU56" s="134" t="str">
        <f>_xlfn.IFNA(MATCH(BU56,Achievements[[#All],[Column119]],0)+10,"")</f>
        <v/>
      </c>
      <c r="CV56" s="134" t="str">
        <f>_xlfn.IFNA(MATCH(BV56,Achievements[[#All],[Column119]],0)+10,"")</f>
        <v/>
      </c>
      <c r="CW56" s="134" t="str">
        <f>_xlfn.IFNA(MATCH(BW56,Achievements[[#All],[Column120]],0)+10,"")</f>
        <v/>
      </c>
      <c r="CX56" s="134" t="str">
        <f>_xlfn.IFNA(MATCH(BX56,Achievements[[#All],[Column120]],0)+10,"")</f>
        <v/>
      </c>
      <c r="CY56" s="134" t="str">
        <f>_xlfn.IFNA(MATCH(BY56,Achievements[[#All],[Column121]],0)+10,"")</f>
        <v/>
      </c>
      <c r="CZ56" s="118" t="e">
        <f t="shared" ca="1" si="1"/>
        <v>#NAME?</v>
      </c>
    </row>
    <row r="57" spans="1:104" x14ac:dyDescent="0.25">
      <c r="A57" t="e" cm="1">
        <f t="array" aca="1" ref="A57" ca="1">SplitValues("; ",#REF!)</f>
        <v>#NAME?</v>
      </c>
      <c r="AA57" t="e">
        <f ca="1">_xlfn.IFNA(MATCH(A57,Achievements[[#All],[Column1]],0)+11,"")</f>
        <v>#NAME?</v>
      </c>
      <c r="AB57" s="134" t="str">
        <f>_xlfn.IFNA(MATCH(B57,Achievements[[#All],[Column1]],0)+10,"")</f>
        <v/>
      </c>
      <c r="AC57" s="134" t="str">
        <f>_xlfn.IFNA(MATCH(C57,Achievements[[#All],[Column1]],0)+10,"")</f>
        <v/>
      </c>
      <c r="AD57" s="134" t="str">
        <f>_xlfn.IFNA(MATCH(D57,Achievements[[#All],[Column110]],0)+10,"")</f>
        <v/>
      </c>
      <c r="AE57" s="134" t="str">
        <f>_xlfn.IFNA(MATCH(E57,Achievements[[#All],[Column110]],0)+10,"")</f>
        <v/>
      </c>
      <c r="AF57" s="134" t="str">
        <f>_xlfn.IFNA(MATCH(F57,Achievements[[#All],[Column111]],0)+10,"")</f>
        <v/>
      </c>
      <c r="AG57" s="134" t="str">
        <f>_xlfn.IFNA(MATCH(G57,Achievements[[#All],[Column111]],0)+10,"")</f>
        <v/>
      </c>
      <c r="AH57" s="134" t="str">
        <f>_xlfn.IFNA(MATCH(H57,Achievements[[#All],[Column112]],0)+10,"")</f>
        <v/>
      </c>
      <c r="AI57" s="134" t="str">
        <f>_xlfn.IFNA(MATCH(I57,Achievements[[#All],[Column112]],0)+10,"")</f>
        <v/>
      </c>
      <c r="AJ57" s="134" t="str">
        <f>_xlfn.IFNA(MATCH(J57,Achievements[[#All],[Column113]],0)+10,"")</f>
        <v/>
      </c>
      <c r="AK57" s="134" t="str">
        <f>_xlfn.IFNA(MATCH(K57,Achievements[[#All],[Column113]],0)+10,"")</f>
        <v/>
      </c>
      <c r="AL57" s="134" t="str">
        <f>_xlfn.IFNA(MATCH(L57,Achievements[[#All],[Column114]],0)+10,"")</f>
        <v/>
      </c>
      <c r="AM57" s="134" t="str">
        <f>_xlfn.IFNA(MATCH(M57,Achievements[[#All],[Column114]],0)+10,"")</f>
        <v/>
      </c>
      <c r="AN57" s="134" t="str">
        <f>_xlfn.IFNA(MATCH(N57,Achievements[[#All],[Column115]],0)+10,"")</f>
        <v/>
      </c>
      <c r="AO57" s="134" t="str">
        <f>_xlfn.IFNA(MATCH(O57,Achievements[[#All],[Column115]],0)+10,"")</f>
        <v/>
      </c>
      <c r="AP57" s="134" t="str">
        <f>_xlfn.IFNA(MATCH(P57,Achievements[[#All],[Column116]],0)+10,"")</f>
        <v/>
      </c>
      <c r="AQ57" s="134" t="str">
        <f>_xlfn.IFNA(MATCH(Q57,Achievements[[#All],[Column116]],0)+10,"")</f>
        <v/>
      </c>
      <c r="AR57" s="134" t="str">
        <f>_xlfn.IFNA(MATCH(R57,Achievements[[#All],[Column117]],0)+10,"")</f>
        <v/>
      </c>
      <c r="AS57" s="134" t="str">
        <f>_xlfn.IFNA(MATCH(S57,Achievements[[#All],[Column117]],0)+10,"")</f>
        <v/>
      </c>
      <c r="AT57" s="134" t="str">
        <f>_xlfn.IFNA(MATCH(T57,Achievements[[#All],[Column118]],0)+10,"")</f>
        <v/>
      </c>
      <c r="AU57" s="134" t="str">
        <f>_xlfn.IFNA(MATCH(U57,Achievements[[#All],[Column118]],0)+10,"")</f>
        <v/>
      </c>
      <c r="AV57" s="134" t="str">
        <f>_xlfn.IFNA(MATCH(V57,Achievements[[#All],[Column119]],0)+10,"")</f>
        <v/>
      </c>
      <c r="AW57" s="134" t="str">
        <f>_xlfn.IFNA(MATCH(W57,Achievements[[#All],[Column119]],0)+10,"")</f>
        <v/>
      </c>
      <c r="AX57" s="134" t="str">
        <f>_xlfn.IFNA(MATCH(X57,Achievements[[#All],[Column120]],0)+10,"")</f>
        <v/>
      </c>
      <c r="AY57" s="134" t="str">
        <f>_xlfn.IFNA(MATCH(Y57,Achievements[[#All],[Column120]],0)+10,"")</f>
        <v/>
      </c>
      <c r="AZ57" s="116" t="e">
        <f t="shared" ca="1" si="0"/>
        <v>#NAME?</v>
      </c>
      <c r="BA57" s="134" t="e" cm="1">
        <f t="array" aca="1" ref="BA57" ca="1">SplitValues("; ",Persons[[#This Row],[Column1]])</f>
        <v>#NAME?</v>
      </c>
      <c r="CA57" s="134" t="e">
        <f ca="1">_xlfn.IFNA(MATCH(BA57,Achievements[[#All],[Column1]],0)+10,"")</f>
        <v>#NAME?</v>
      </c>
      <c r="CB57" s="134" t="str">
        <f>_xlfn.IFNA(MATCH(BB57,Achievements[[#All],[Column1]],0)+10,"")</f>
        <v/>
      </c>
      <c r="CC57" s="134" t="str">
        <f>_xlfn.IFNA(MATCH(BC57,Achievements[[#All],[Column110]],0)+10,"")</f>
        <v/>
      </c>
      <c r="CD57" s="134" t="str">
        <f>_xlfn.IFNA(MATCH(BD57,Achievements[[#All],[Column110]],0)+10,"")</f>
        <v/>
      </c>
      <c r="CE57" s="134" t="str">
        <f>_xlfn.IFNA(MATCH(BE57,Achievements[[#All],[Column111]],0)+10,"")</f>
        <v/>
      </c>
      <c r="CF57" s="134" t="str">
        <f>_xlfn.IFNA(MATCH(BF57,Achievements[[#All],[Column111]],0)+10,"")</f>
        <v/>
      </c>
      <c r="CG57" s="134" t="str">
        <f>_xlfn.IFNA(MATCH(BG57,Achievements[[#All],[Column112]],0)+10,"")</f>
        <v/>
      </c>
      <c r="CH57" s="134" t="str">
        <f>_xlfn.IFNA(MATCH(BH57,Achievements[[#All],[Column112]],0)+10,"")</f>
        <v/>
      </c>
      <c r="CI57" s="134" t="str">
        <f>_xlfn.IFNA(MATCH(BI57,Achievements[[#All],[Column113]],0)+10,"")</f>
        <v/>
      </c>
      <c r="CJ57" s="134" t="str">
        <f>_xlfn.IFNA(MATCH(BJ57,Achievements[[#All],[Column113]],0)+10,"")</f>
        <v/>
      </c>
      <c r="CK57" s="134" t="str">
        <f>_xlfn.IFNA(MATCH(BK57,Achievements[[#All],[Column114]],0)+10,"")</f>
        <v/>
      </c>
      <c r="CL57" s="134" t="str">
        <f>_xlfn.IFNA(MATCH(BL57,Achievements[[#All],[Column114]],0)+10,"")</f>
        <v/>
      </c>
      <c r="CM57" s="134" t="str">
        <f>_xlfn.IFNA(MATCH(BM57,Achievements[[#All],[Column115]],0)+10,"")</f>
        <v/>
      </c>
      <c r="CN57" s="134" t="str">
        <f>_xlfn.IFNA(MATCH(BN57,Achievements[[#All],[Column115]],0)+10,"")</f>
        <v/>
      </c>
      <c r="CO57" s="134" t="str">
        <f>_xlfn.IFNA(MATCH(BO57,Achievements[[#All],[Column116]],0)+10,"")</f>
        <v/>
      </c>
      <c r="CP57" s="134" t="str">
        <f>_xlfn.IFNA(MATCH(BP57,Achievements[[#All],[Column116]],0)+10,"")</f>
        <v/>
      </c>
      <c r="CQ57" s="134" t="str">
        <f>_xlfn.IFNA(MATCH(BQ57,Achievements[[#All],[Column117]],0)+10,"")</f>
        <v/>
      </c>
      <c r="CR57" s="134" t="str">
        <f>_xlfn.IFNA(MATCH(BR57,Achievements[[#All],[Column117]],0)+10,"")</f>
        <v/>
      </c>
      <c r="CS57" s="134" t="str">
        <f>_xlfn.IFNA(MATCH(BS57,Achievements[[#All],[Column118]],0)+10,"")</f>
        <v/>
      </c>
      <c r="CT57" s="134" t="str">
        <f>_xlfn.IFNA(MATCH(BT57,Achievements[[#All],[Column118]],0)+10,"")</f>
        <v/>
      </c>
      <c r="CU57" s="134" t="str">
        <f>_xlfn.IFNA(MATCH(BU57,Achievements[[#All],[Column119]],0)+10,"")</f>
        <v/>
      </c>
      <c r="CV57" s="134" t="str">
        <f>_xlfn.IFNA(MATCH(BV57,Achievements[[#All],[Column119]],0)+10,"")</f>
        <v/>
      </c>
      <c r="CW57" s="134" t="str">
        <f>_xlfn.IFNA(MATCH(BW57,Achievements[[#All],[Column120]],0)+10,"")</f>
        <v/>
      </c>
      <c r="CX57" s="134" t="str">
        <f>_xlfn.IFNA(MATCH(BX57,Achievements[[#All],[Column120]],0)+10,"")</f>
        <v/>
      </c>
      <c r="CY57" s="134" t="str">
        <f>_xlfn.IFNA(MATCH(BY57,Achievements[[#All],[Column121]],0)+10,"")</f>
        <v/>
      </c>
      <c r="CZ57" s="118" t="e">
        <f t="shared" ca="1" si="1"/>
        <v>#NAME?</v>
      </c>
    </row>
    <row r="58" spans="1:104" x14ac:dyDescent="0.25">
      <c r="A58" t="e" cm="1">
        <f t="array" aca="1" ref="A58" ca="1">SplitValues("; ",#REF!)</f>
        <v>#NAME?</v>
      </c>
      <c r="AA58" t="e">
        <f ca="1">_xlfn.IFNA(MATCH(A58,Achievements[[#All],[Column1]],0)+11,"")</f>
        <v>#NAME?</v>
      </c>
      <c r="AB58" s="134" t="str">
        <f>_xlfn.IFNA(MATCH(B58,Achievements[[#All],[Column1]],0)+10,"")</f>
        <v/>
      </c>
      <c r="AC58" s="134" t="str">
        <f>_xlfn.IFNA(MATCH(C58,Achievements[[#All],[Column1]],0)+10,"")</f>
        <v/>
      </c>
      <c r="AD58" s="134" t="str">
        <f>_xlfn.IFNA(MATCH(D58,Achievements[[#All],[Column110]],0)+10,"")</f>
        <v/>
      </c>
      <c r="AE58" s="134" t="str">
        <f>_xlfn.IFNA(MATCH(E58,Achievements[[#All],[Column110]],0)+10,"")</f>
        <v/>
      </c>
      <c r="AF58" s="134" t="str">
        <f>_xlfn.IFNA(MATCH(F58,Achievements[[#All],[Column111]],0)+10,"")</f>
        <v/>
      </c>
      <c r="AG58" s="134" t="str">
        <f>_xlfn.IFNA(MATCH(G58,Achievements[[#All],[Column111]],0)+10,"")</f>
        <v/>
      </c>
      <c r="AH58" s="134" t="str">
        <f>_xlfn.IFNA(MATCH(H58,Achievements[[#All],[Column112]],0)+10,"")</f>
        <v/>
      </c>
      <c r="AI58" s="134" t="str">
        <f>_xlfn.IFNA(MATCH(I58,Achievements[[#All],[Column112]],0)+10,"")</f>
        <v/>
      </c>
      <c r="AJ58" s="134" t="str">
        <f>_xlfn.IFNA(MATCH(J58,Achievements[[#All],[Column113]],0)+10,"")</f>
        <v/>
      </c>
      <c r="AK58" s="134" t="str">
        <f>_xlfn.IFNA(MATCH(K58,Achievements[[#All],[Column113]],0)+10,"")</f>
        <v/>
      </c>
      <c r="AL58" s="134" t="str">
        <f>_xlfn.IFNA(MATCH(L58,Achievements[[#All],[Column114]],0)+10,"")</f>
        <v/>
      </c>
      <c r="AM58" s="134" t="str">
        <f>_xlfn.IFNA(MATCH(M58,Achievements[[#All],[Column114]],0)+10,"")</f>
        <v/>
      </c>
      <c r="AN58" s="134" t="str">
        <f>_xlfn.IFNA(MATCH(N58,Achievements[[#All],[Column115]],0)+10,"")</f>
        <v/>
      </c>
      <c r="AO58" s="134" t="str">
        <f>_xlfn.IFNA(MATCH(O58,Achievements[[#All],[Column115]],0)+10,"")</f>
        <v/>
      </c>
      <c r="AP58" s="134" t="str">
        <f>_xlfn.IFNA(MATCH(P58,Achievements[[#All],[Column116]],0)+10,"")</f>
        <v/>
      </c>
      <c r="AQ58" s="134" t="str">
        <f>_xlfn.IFNA(MATCH(Q58,Achievements[[#All],[Column116]],0)+10,"")</f>
        <v/>
      </c>
      <c r="AR58" s="134" t="str">
        <f>_xlfn.IFNA(MATCH(R58,Achievements[[#All],[Column117]],0)+10,"")</f>
        <v/>
      </c>
      <c r="AS58" s="134" t="str">
        <f>_xlfn.IFNA(MATCH(S58,Achievements[[#All],[Column117]],0)+10,"")</f>
        <v/>
      </c>
      <c r="AT58" s="134" t="str">
        <f>_xlfn.IFNA(MATCH(T58,Achievements[[#All],[Column118]],0)+10,"")</f>
        <v/>
      </c>
      <c r="AU58" s="134" t="str">
        <f>_xlfn.IFNA(MATCH(U58,Achievements[[#All],[Column118]],0)+10,"")</f>
        <v/>
      </c>
      <c r="AV58" s="134" t="str">
        <f>_xlfn.IFNA(MATCH(V58,Achievements[[#All],[Column119]],0)+10,"")</f>
        <v/>
      </c>
      <c r="AW58" s="134" t="str">
        <f>_xlfn.IFNA(MATCH(W58,Achievements[[#All],[Column119]],0)+10,"")</f>
        <v/>
      </c>
      <c r="AX58" s="134" t="str">
        <f>_xlfn.IFNA(MATCH(X58,Achievements[[#All],[Column120]],0)+10,"")</f>
        <v/>
      </c>
      <c r="AY58" s="134" t="str">
        <f>_xlfn.IFNA(MATCH(Y58,Achievements[[#All],[Column120]],0)+10,"")</f>
        <v/>
      </c>
      <c r="AZ58" s="116" t="e">
        <f t="shared" ca="1" si="0"/>
        <v>#NAME?</v>
      </c>
      <c r="BA58" s="134" t="e" cm="1">
        <f t="array" aca="1" ref="BA58" ca="1">SplitValues("; ",Persons[[#This Row],[Column1]])</f>
        <v>#NAME?</v>
      </c>
      <c r="CA58" s="134" t="e">
        <f ca="1">_xlfn.IFNA(MATCH(BA58,Achievements[[#All],[Column1]],0)+10,"")</f>
        <v>#NAME?</v>
      </c>
      <c r="CB58" s="134" t="str">
        <f>_xlfn.IFNA(MATCH(BB58,Achievements[[#All],[Column1]],0)+10,"")</f>
        <v/>
      </c>
      <c r="CC58" s="134" t="str">
        <f>_xlfn.IFNA(MATCH(BC58,Achievements[[#All],[Column110]],0)+10,"")</f>
        <v/>
      </c>
      <c r="CD58" s="134" t="str">
        <f>_xlfn.IFNA(MATCH(BD58,Achievements[[#All],[Column110]],0)+10,"")</f>
        <v/>
      </c>
      <c r="CE58" s="134" t="str">
        <f>_xlfn.IFNA(MATCH(BE58,Achievements[[#All],[Column111]],0)+10,"")</f>
        <v/>
      </c>
      <c r="CF58" s="134" t="str">
        <f>_xlfn.IFNA(MATCH(BF58,Achievements[[#All],[Column111]],0)+10,"")</f>
        <v/>
      </c>
      <c r="CG58" s="134" t="str">
        <f>_xlfn.IFNA(MATCH(BG58,Achievements[[#All],[Column112]],0)+10,"")</f>
        <v/>
      </c>
      <c r="CH58" s="134" t="str">
        <f>_xlfn.IFNA(MATCH(BH58,Achievements[[#All],[Column112]],0)+10,"")</f>
        <v/>
      </c>
      <c r="CI58" s="134" t="str">
        <f>_xlfn.IFNA(MATCH(BI58,Achievements[[#All],[Column113]],0)+10,"")</f>
        <v/>
      </c>
      <c r="CJ58" s="134" t="str">
        <f>_xlfn.IFNA(MATCH(BJ58,Achievements[[#All],[Column113]],0)+10,"")</f>
        <v/>
      </c>
      <c r="CK58" s="134" t="str">
        <f>_xlfn.IFNA(MATCH(BK58,Achievements[[#All],[Column114]],0)+10,"")</f>
        <v/>
      </c>
      <c r="CL58" s="134" t="str">
        <f>_xlfn.IFNA(MATCH(BL58,Achievements[[#All],[Column114]],0)+10,"")</f>
        <v/>
      </c>
      <c r="CM58" s="134" t="str">
        <f>_xlfn.IFNA(MATCH(BM58,Achievements[[#All],[Column115]],0)+10,"")</f>
        <v/>
      </c>
      <c r="CN58" s="134" t="str">
        <f>_xlfn.IFNA(MATCH(BN58,Achievements[[#All],[Column115]],0)+10,"")</f>
        <v/>
      </c>
      <c r="CO58" s="134" t="str">
        <f>_xlfn.IFNA(MATCH(BO58,Achievements[[#All],[Column116]],0)+10,"")</f>
        <v/>
      </c>
      <c r="CP58" s="134" t="str">
        <f>_xlfn.IFNA(MATCH(BP58,Achievements[[#All],[Column116]],0)+10,"")</f>
        <v/>
      </c>
      <c r="CQ58" s="134" t="str">
        <f>_xlfn.IFNA(MATCH(BQ58,Achievements[[#All],[Column117]],0)+10,"")</f>
        <v/>
      </c>
      <c r="CR58" s="134" t="str">
        <f>_xlfn.IFNA(MATCH(BR58,Achievements[[#All],[Column117]],0)+10,"")</f>
        <v/>
      </c>
      <c r="CS58" s="134" t="str">
        <f>_xlfn.IFNA(MATCH(BS58,Achievements[[#All],[Column118]],0)+10,"")</f>
        <v/>
      </c>
      <c r="CT58" s="134" t="str">
        <f>_xlfn.IFNA(MATCH(BT58,Achievements[[#All],[Column118]],0)+10,"")</f>
        <v/>
      </c>
      <c r="CU58" s="134" t="str">
        <f>_xlfn.IFNA(MATCH(BU58,Achievements[[#All],[Column119]],0)+10,"")</f>
        <v/>
      </c>
      <c r="CV58" s="134" t="str">
        <f>_xlfn.IFNA(MATCH(BV58,Achievements[[#All],[Column119]],0)+10,"")</f>
        <v/>
      </c>
      <c r="CW58" s="134" t="str">
        <f>_xlfn.IFNA(MATCH(BW58,Achievements[[#All],[Column120]],0)+10,"")</f>
        <v/>
      </c>
      <c r="CX58" s="134" t="str">
        <f>_xlfn.IFNA(MATCH(BX58,Achievements[[#All],[Column120]],0)+10,"")</f>
        <v/>
      </c>
      <c r="CY58" s="134" t="str">
        <f>_xlfn.IFNA(MATCH(BY58,Achievements[[#All],[Column121]],0)+10,"")</f>
        <v/>
      </c>
      <c r="CZ58" s="118" t="e">
        <f t="shared" ca="1" si="1"/>
        <v>#NAME?</v>
      </c>
    </row>
    <row r="59" spans="1:104" x14ac:dyDescent="0.25">
      <c r="A59" t="e" cm="1">
        <f t="array" aca="1" ref="A59" ca="1">SplitValues("; ",#REF!)</f>
        <v>#NAME?</v>
      </c>
      <c r="AA59" t="e">
        <f ca="1">_xlfn.IFNA(MATCH(A59,Achievements[[#All],[Column1]],0)+11,"")</f>
        <v>#NAME?</v>
      </c>
      <c r="AB59" s="134" t="str">
        <f>_xlfn.IFNA(MATCH(B59,Achievements[[#All],[Column1]],0)+10,"")</f>
        <v/>
      </c>
      <c r="AC59" s="134" t="str">
        <f>_xlfn.IFNA(MATCH(C59,Achievements[[#All],[Column1]],0)+10,"")</f>
        <v/>
      </c>
      <c r="AD59" s="134" t="str">
        <f>_xlfn.IFNA(MATCH(D59,Achievements[[#All],[Column110]],0)+10,"")</f>
        <v/>
      </c>
      <c r="AE59" s="134" t="str">
        <f>_xlfn.IFNA(MATCH(E59,Achievements[[#All],[Column110]],0)+10,"")</f>
        <v/>
      </c>
      <c r="AF59" s="134" t="str">
        <f>_xlfn.IFNA(MATCH(F59,Achievements[[#All],[Column111]],0)+10,"")</f>
        <v/>
      </c>
      <c r="AG59" s="134" t="str">
        <f>_xlfn.IFNA(MATCH(G59,Achievements[[#All],[Column111]],0)+10,"")</f>
        <v/>
      </c>
      <c r="AH59" s="134" t="str">
        <f>_xlfn.IFNA(MATCH(H59,Achievements[[#All],[Column112]],0)+10,"")</f>
        <v/>
      </c>
      <c r="AI59" s="134" t="str">
        <f>_xlfn.IFNA(MATCH(I59,Achievements[[#All],[Column112]],0)+10,"")</f>
        <v/>
      </c>
      <c r="AJ59" s="134" t="str">
        <f>_xlfn.IFNA(MATCH(J59,Achievements[[#All],[Column113]],0)+10,"")</f>
        <v/>
      </c>
      <c r="AK59" s="134" t="str">
        <f>_xlfn.IFNA(MATCH(K59,Achievements[[#All],[Column113]],0)+10,"")</f>
        <v/>
      </c>
      <c r="AL59" s="134" t="str">
        <f>_xlfn.IFNA(MATCH(L59,Achievements[[#All],[Column114]],0)+10,"")</f>
        <v/>
      </c>
      <c r="AM59" s="134" t="str">
        <f>_xlfn.IFNA(MATCH(M59,Achievements[[#All],[Column114]],0)+10,"")</f>
        <v/>
      </c>
      <c r="AN59" s="134" t="str">
        <f>_xlfn.IFNA(MATCH(N59,Achievements[[#All],[Column115]],0)+10,"")</f>
        <v/>
      </c>
      <c r="AO59" s="134" t="str">
        <f>_xlfn.IFNA(MATCH(O59,Achievements[[#All],[Column115]],0)+10,"")</f>
        <v/>
      </c>
      <c r="AP59" s="134" t="str">
        <f>_xlfn.IFNA(MATCH(P59,Achievements[[#All],[Column116]],0)+10,"")</f>
        <v/>
      </c>
      <c r="AQ59" s="134" t="str">
        <f>_xlfn.IFNA(MATCH(Q59,Achievements[[#All],[Column116]],0)+10,"")</f>
        <v/>
      </c>
      <c r="AR59" s="134" t="str">
        <f>_xlfn.IFNA(MATCH(R59,Achievements[[#All],[Column117]],0)+10,"")</f>
        <v/>
      </c>
      <c r="AS59" s="134" t="str">
        <f>_xlfn.IFNA(MATCH(S59,Achievements[[#All],[Column117]],0)+10,"")</f>
        <v/>
      </c>
      <c r="AT59" s="134" t="str">
        <f>_xlfn.IFNA(MATCH(T59,Achievements[[#All],[Column118]],0)+10,"")</f>
        <v/>
      </c>
      <c r="AU59" s="134" t="str">
        <f>_xlfn.IFNA(MATCH(U59,Achievements[[#All],[Column118]],0)+10,"")</f>
        <v/>
      </c>
      <c r="AV59" s="134" t="str">
        <f>_xlfn.IFNA(MATCH(V59,Achievements[[#All],[Column119]],0)+10,"")</f>
        <v/>
      </c>
      <c r="AW59" s="134" t="str">
        <f>_xlfn.IFNA(MATCH(W59,Achievements[[#All],[Column119]],0)+10,"")</f>
        <v/>
      </c>
      <c r="AX59" s="134" t="str">
        <f>_xlfn.IFNA(MATCH(X59,Achievements[[#All],[Column120]],0)+10,"")</f>
        <v/>
      </c>
      <c r="AY59" s="134" t="str">
        <f>_xlfn.IFNA(MATCH(Y59,Achievements[[#All],[Column120]],0)+10,"")</f>
        <v/>
      </c>
      <c r="AZ59" s="116" t="e">
        <f t="shared" ca="1" si="0"/>
        <v>#NAME?</v>
      </c>
      <c r="BA59" s="134" t="e" cm="1">
        <f t="array" aca="1" ref="BA59" ca="1">SplitValues("; ",Persons[[#This Row],[Column1]])</f>
        <v>#NAME?</v>
      </c>
      <c r="CA59" s="134" t="e">
        <f ca="1">_xlfn.IFNA(MATCH(BA59,Achievements[[#All],[Column1]],0)+10,"")</f>
        <v>#NAME?</v>
      </c>
      <c r="CB59" s="134" t="str">
        <f>_xlfn.IFNA(MATCH(BB59,Achievements[[#All],[Column1]],0)+10,"")</f>
        <v/>
      </c>
      <c r="CC59" s="134" t="str">
        <f>_xlfn.IFNA(MATCH(BC59,Achievements[[#All],[Column110]],0)+10,"")</f>
        <v/>
      </c>
      <c r="CD59" s="134" t="str">
        <f>_xlfn.IFNA(MATCH(BD59,Achievements[[#All],[Column110]],0)+10,"")</f>
        <v/>
      </c>
      <c r="CE59" s="134" t="str">
        <f>_xlfn.IFNA(MATCH(BE59,Achievements[[#All],[Column111]],0)+10,"")</f>
        <v/>
      </c>
      <c r="CF59" s="134" t="str">
        <f>_xlfn.IFNA(MATCH(BF59,Achievements[[#All],[Column111]],0)+10,"")</f>
        <v/>
      </c>
      <c r="CG59" s="134" t="str">
        <f>_xlfn.IFNA(MATCH(BG59,Achievements[[#All],[Column112]],0)+10,"")</f>
        <v/>
      </c>
      <c r="CH59" s="134" t="str">
        <f>_xlfn.IFNA(MATCH(BH59,Achievements[[#All],[Column112]],0)+10,"")</f>
        <v/>
      </c>
      <c r="CI59" s="134" t="str">
        <f>_xlfn.IFNA(MATCH(BI59,Achievements[[#All],[Column113]],0)+10,"")</f>
        <v/>
      </c>
      <c r="CJ59" s="134" t="str">
        <f>_xlfn.IFNA(MATCH(BJ59,Achievements[[#All],[Column113]],0)+10,"")</f>
        <v/>
      </c>
      <c r="CK59" s="134" t="str">
        <f>_xlfn.IFNA(MATCH(BK59,Achievements[[#All],[Column114]],0)+10,"")</f>
        <v/>
      </c>
      <c r="CL59" s="134" t="str">
        <f>_xlfn.IFNA(MATCH(BL59,Achievements[[#All],[Column114]],0)+10,"")</f>
        <v/>
      </c>
      <c r="CM59" s="134" t="str">
        <f>_xlfn.IFNA(MATCH(BM59,Achievements[[#All],[Column115]],0)+10,"")</f>
        <v/>
      </c>
      <c r="CN59" s="134" t="str">
        <f>_xlfn.IFNA(MATCH(BN59,Achievements[[#All],[Column115]],0)+10,"")</f>
        <v/>
      </c>
      <c r="CO59" s="134" t="str">
        <f>_xlfn.IFNA(MATCH(BO59,Achievements[[#All],[Column116]],0)+10,"")</f>
        <v/>
      </c>
      <c r="CP59" s="134" t="str">
        <f>_xlfn.IFNA(MATCH(BP59,Achievements[[#All],[Column116]],0)+10,"")</f>
        <v/>
      </c>
      <c r="CQ59" s="134" t="str">
        <f>_xlfn.IFNA(MATCH(BQ59,Achievements[[#All],[Column117]],0)+10,"")</f>
        <v/>
      </c>
      <c r="CR59" s="134" t="str">
        <f>_xlfn.IFNA(MATCH(BR59,Achievements[[#All],[Column117]],0)+10,"")</f>
        <v/>
      </c>
      <c r="CS59" s="134" t="str">
        <f>_xlfn.IFNA(MATCH(BS59,Achievements[[#All],[Column118]],0)+10,"")</f>
        <v/>
      </c>
      <c r="CT59" s="134" t="str">
        <f>_xlfn.IFNA(MATCH(BT59,Achievements[[#All],[Column118]],0)+10,"")</f>
        <v/>
      </c>
      <c r="CU59" s="134" t="str">
        <f>_xlfn.IFNA(MATCH(BU59,Achievements[[#All],[Column119]],0)+10,"")</f>
        <v/>
      </c>
      <c r="CV59" s="134" t="str">
        <f>_xlfn.IFNA(MATCH(BV59,Achievements[[#All],[Column119]],0)+10,"")</f>
        <v/>
      </c>
      <c r="CW59" s="134" t="str">
        <f>_xlfn.IFNA(MATCH(BW59,Achievements[[#All],[Column120]],0)+10,"")</f>
        <v/>
      </c>
      <c r="CX59" s="134" t="str">
        <f>_xlfn.IFNA(MATCH(BX59,Achievements[[#All],[Column120]],0)+10,"")</f>
        <v/>
      </c>
      <c r="CY59" s="134" t="str">
        <f>_xlfn.IFNA(MATCH(BY59,Achievements[[#All],[Column121]],0)+10,"")</f>
        <v/>
      </c>
      <c r="CZ59" s="118" t="e">
        <f t="shared" ca="1" si="1"/>
        <v>#NAME?</v>
      </c>
    </row>
    <row r="60" spans="1:104" x14ac:dyDescent="0.25">
      <c r="A60" t="e" cm="1">
        <f t="array" aca="1" ref="A60" ca="1">SplitValues("; ",#REF!)</f>
        <v>#NAME?</v>
      </c>
      <c r="AA60" t="e">
        <f ca="1">_xlfn.IFNA(MATCH(A60,Achievements[[#All],[Column1]],0)+11,"")</f>
        <v>#NAME?</v>
      </c>
      <c r="AB60" s="134" t="str">
        <f>_xlfn.IFNA(MATCH(B60,Achievements[[#All],[Column1]],0)+10,"")</f>
        <v/>
      </c>
      <c r="AC60" s="134" t="str">
        <f>_xlfn.IFNA(MATCH(C60,Achievements[[#All],[Column1]],0)+10,"")</f>
        <v/>
      </c>
      <c r="AD60" s="134" t="str">
        <f>_xlfn.IFNA(MATCH(D60,Achievements[[#All],[Column110]],0)+10,"")</f>
        <v/>
      </c>
      <c r="AE60" s="134" t="str">
        <f>_xlfn.IFNA(MATCH(E60,Achievements[[#All],[Column110]],0)+10,"")</f>
        <v/>
      </c>
      <c r="AF60" s="134" t="str">
        <f>_xlfn.IFNA(MATCH(F60,Achievements[[#All],[Column111]],0)+10,"")</f>
        <v/>
      </c>
      <c r="AG60" s="134" t="str">
        <f>_xlfn.IFNA(MATCH(G60,Achievements[[#All],[Column111]],0)+10,"")</f>
        <v/>
      </c>
      <c r="AH60" s="134" t="str">
        <f>_xlfn.IFNA(MATCH(H60,Achievements[[#All],[Column112]],0)+10,"")</f>
        <v/>
      </c>
      <c r="AI60" s="134" t="str">
        <f>_xlfn.IFNA(MATCH(I60,Achievements[[#All],[Column112]],0)+10,"")</f>
        <v/>
      </c>
      <c r="AJ60" s="134" t="str">
        <f>_xlfn.IFNA(MATCH(J60,Achievements[[#All],[Column113]],0)+10,"")</f>
        <v/>
      </c>
      <c r="AK60" s="134" t="str">
        <f>_xlfn.IFNA(MATCH(K60,Achievements[[#All],[Column113]],0)+10,"")</f>
        <v/>
      </c>
      <c r="AL60" s="134" t="str">
        <f>_xlfn.IFNA(MATCH(L60,Achievements[[#All],[Column114]],0)+10,"")</f>
        <v/>
      </c>
      <c r="AM60" s="134" t="str">
        <f>_xlfn.IFNA(MATCH(M60,Achievements[[#All],[Column114]],0)+10,"")</f>
        <v/>
      </c>
      <c r="AN60" s="134" t="str">
        <f>_xlfn.IFNA(MATCH(N60,Achievements[[#All],[Column115]],0)+10,"")</f>
        <v/>
      </c>
      <c r="AO60" s="134" t="str">
        <f>_xlfn.IFNA(MATCH(O60,Achievements[[#All],[Column115]],0)+10,"")</f>
        <v/>
      </c>
      <c r="AP60" s="134" t="str">
        <f>_xlfn.IFNA(MATCH(P60,Achievements[[#All],[Column116]],0)+10,"")</f>
        <v/>
      </c>
      <c r="AQ60" s="134" t="str">
        <f>_xlfn.IFNA(MATCH(Q60,Achievements[[#All],[Column116]],0)+10,"")</f>
        <v/>
      </c>
      <c r="AR60" s="134" t="str">
        <f>_xlfn.IFNA(MATCH(R60,Achievements[[#All],[Column117]],0)+10,"")</f>
        <v/>
      </c>
      <c r="AS60" s="134" t="str">
        <f>_xlfn.IFNA(MATCH(S60,Achievements[[#All],[Column117]],0)+10,"")</f>
        <v/>
      </c>
      <c r="AT60" s="134" t="str">
        <f>_xlfn.IFNA(MATCH(T60,Achievements[[#All],[Column118]],0)+10,"")</f>
        <v/>
      </c>
      <c r="AU60" s="134" t="str">
        <f>_xlfn.IFNA(MATCH(U60,Achievements[[#All],[Column118]],0)+10,"")</f>
        <v/>
      </c>
      <c r="AV60" s="134" t="str">
        <f>_xlfn.IFNA(MATCH(V60,Achievements[[#All],[Column119]],0)+10,"")</f>
        <v/>
      </c>
      <c r="AW60" s="134" t="str">
        <f>_xlfn.IFNA(MATCH(W60,Achievements[[#All],[Column119]],0)+10,"")</f>
        <v/>
      </c>
      <c r="AX60" s="134" t="str">
        <f>_xlfn.IFNA(MATCH(X60,Achievements[[#All],[Column120]],0)+10,"")</f>
        <v/>
      </c>
      <c r="AY60" s="134" t="str">
        <f>_xlfn.IFNA(MATCH(Y60,Achievements[[#All],[Column120]],0)+10,"")</f>
        <v/>
      </c>
      <c r="AZ60" s="116" t="e">
        <f t="shared" ca="1" si="0"/>
        <v>#NAME?</v>
      </c>
      <c r="BA60" s="134" t="e" cm="1">
        <f t="array" aca="1" ref="BA60" ca="1">SplitValues("; ",Persons[[#This Row],[Column1]])</f>
        <v>#NAME?</v>
      </c>
      <c r="CA60" s="134" t="e">
        <f ca="1">_xlfn.IFNA(MATCH(BA60,Achievements[[#All],[Column1]],0)+10,"")</f>
        <v>#NAME?</v>
      </c>
      <c r="CB60" s="134" t="str">
        <f>_xlfn.IFNA(MATCH(BB60,Achievements[[#All],[Column1]],0)+10,"")</f>
        <v/>
      </c>
      <c r="CC60" s="134" t="str">
        <f>_xlfn.IFNA(MATCH(BC60,Achievements[[#All],[Column110]],0)+10,"")</f>
        <v/>
      </c>
      <c r="CD60" s="134" t="str">
        <f>_xlfn.IFNA(MATCH(BD60,Achievements[[#All],[Column110]],0)+10,"")</f>
        <v/>
      </c>
      <c r="CE60" s="134" t="str">
        <f>_xlfn.IFNA(MATCH(BE60,Achievements[[#All],[Column111]],0)+10,"")</f>
        <v/>
      </c>
      <c r="CF60" s="134" t="str">
        <f>_xlfn.IFNA(MATCH(BF60,Achievements[[#All],[Column111]],0)+10,"")</f>
        <v/>
      </c>
      <c r="CG60" s="134" t="str">
        <f>_xlfn.IFNA(MATCH(BG60,Achievements[[#All],[Column112]],0)+10,"")</f>
        <v/>
      </c>
      <c r="CH60" s="134" t="str">
        <f>_xlfn.IFNA(MATCH(BH60,Achievements[[#All],[Column112]],0)+10,"")</f>
        <v/>
      </c>
      <c r="CI60" s="134" t="str">
        <f>_xlfn.IFNA(MATCH(BI60,Achievements[[#All],[Column113]],0)+10,"")</f>
        <v/>
      </c>
      <c r="CJ60" s="134" t="str">
        <f>_xlfn.IFNA(MATCH(BJ60,Achievements[[#All],[Column113]],0)+10,"")</f>
        <v/>
      </c>
      <c r="CK60" s="134" t="str">
        <f>_xlfn.IFNA(MATCH(BK60,Achievements[[#All],[Column114]],0)+10,"")</f>
        <v/>
      </c>
      <c r="CL60" s="134" t="str">
        <f>_xlfn.IFNA(MATCH(BL60,Achievements[[#All],[Column114]],0)+10,"")</f>
        <v/>
      </c>
      <c r="CM60" s="134" t="str">
        <f>_xlfn.IFNA(MATCH(BM60,Achievements[[#All],[Column115]],0)+10,"")</f>
        <v/>
      </c>
      <c r="CN60" s="134" t="str">
        <f>_xlfn.IFNA(MATCH(BN60,Achievements[[#All],[Column115]],0)+10,"")</f>
        <v/>
      </c>
      <c r="CO60" s="134" t="str">
        <f>_xlfn.IFNA(MATCH(BO60,Achievements[[#All],[Column116]],0)+10,"")</f>
        <v/>
      </c>
      <c r="CP60" s="134" t="str">
        <f>_xlfn.IFNA(MATCH(BP60,Achievements[[#All],[Column116]],0)+10,"")</f>
        <v/>
      </c>
      <c r="CQ60" s="134" t="str">
        <f>_xlfn.IFNA(MATCH(BQ60,Achievements[[#All],[Column117]],0)+10,"")</f>
        <v/>
      </c>
      <c r="CR60" s="134" t="str">
        <f>_xlfn.IFNA(MATCH(BR60,Achievements[[#All],[Column117]],0)+10,"")</f>
        <v/>
      </c>
      <c r="CS60" s="134" t="str">
        <f>_xlfn.IFNA(MATCH(BS60,Achievements[[#All],[Column118]],0)+10,"")</f>
        <v/>
      </c>
      <c r="CT60" s="134" t="str">
        <f>_xlfn.IFNA(MATCH(BT60,Achievements[[#All],[Column118]],0)+10,"")</f>
        <v/>
      </c>
      <c r="CU60" s="134" t="str">
        <f>_xlfn.IFNA(MATCH(BU60,Achievements[[#All],[Column119]],0)+10,"")</f>
        <v/>
      </c>
      <c r="CV60" s="134" t="str">
        <f>_xlfn.IFNA(MATCH(BV60,Achievements[[#All],[Column119]],0)+10,"")</f>
        <v/>
      </c>
      <c r="CW60" s="134" t="str">
        <f>_xlfn.IFNA(MATCH(BW60,Achievements[[#All],[Column120]],0)+10,"")</f>
        <v/>
      </c>
      <c r="CX60" s="134" t="str">
        <f>_xlfn.IFNA(MATCH(BX60,Achievements[[#All],[Column120]],0)+10,"")</f>
        <v/>
      </c>
      <c r="CY60" s="134" t="str">
        <f>_xlfn.IFNA(MATCH(BY60,Achievements[[#All],[Column121]],0)+10,"")</f>
        <v/>
      </c>
      <c r="CZ60" s="118" t="e">
        <f t="shared" ca="1" si="1"/>
        <v>#NAME?</v>
      </c>
    </row>
    <row r="61" spans="1:104" x14ac:dyDescent="0.25">
      <c r="A61" t="e" cm="1">
        <f t="array" aca="1" ref="A61" ca="1">SplitValues("; ",#REF!)</f>
        <v>#NAME?</v>
      </c>
      <c r="AA61" t="e">
        <f ca="1">_xlfn.IFNA(MATCH(A61,Achievements[[#All],[Column1]],0)+11,"")</f>
        <v>#NAME?</v>
      </c>
      <c r="AB61" s="134" t="str">
        <f>_xlfn.IFNA(MATCH(B61,Achievements[[#All],[Column1]],0)+10,"")</f>
        <v/>
      </c>
      <c r="AC61" s="134" t="str">
        <f>_xlfn.IFNA(MATCH(C61,Achievements[[#All],[Column1]],0)+10,"")</f>
        <v/>
      </c>
      <c r="AD61" s="134" t="str">
        <f>_xlfn.IFNA(MATCH(D61,Achievements[[#All],[Column110]],0)+10,"")</f>
        <v/>
      </c>
      <c r="AE61" s="134" t="str">
        <f>_xlfn.IFNA(MATCH(E61,Achievements[[#All],[Column110]],0)+10,"")</f>
        <v/>
      </c>
      <c r="AF61" s="134" t="str">
        <f>_xlfn.IFNA(MATCH(F61,Achievements[[#All],[Column111]],0)+10,"")</f>
        <v/>
      </c>
      <c r="AG61" s="134" t="str">
        <f>_xlfn.IFNA(MATCH(G61,Achievements[[#All],[Column111]],0)+10,"")</f>
        <v/>
      </c>
      <c r="AH61" s="134" t="str">
        <f>_xlfn.IFNA(MATCH(H61,Achievements[[#All],[Column112]],0)+10,"")</f>
        <v/>
      </c>
      <c r="AI61" s="134" t="str">
        <f>_xlfn.IFNA(MATCH(I61,Achievements[[#All],[Column112]],0)+10,"")</f>
        <v/>
      </c>
      <c r="AJ61" s="134" t="str">
        <f>_xlfn.IFNA(MATCH(J61,Achievements[[#All],[Column113]],0)+10,"")</f>
        <v/>
      </c>
      <c r="AK61" s="134" t="str">
        <f>_xlfn.IFNA(MATCH(K61,Achievements[[#All],[Column113]],0)+10,"")</f>
        <v/>
      </c>
      <c r="AL61" s="134" t="str">
        <f>_xlfn.IFNA(MATCH(L61,Achievements[[#All],[Column114]],0)+10,"")</f>
        <v/>
      </c>
      <c r="AM61" s="134" t="str">
        <f>_xlfn.IFNA(MATCH(M61,Achievements[[#All],[Column114]],0)+10,"")</f>
        <v/>
      </c>
      <c r="AN61" s="134" t="str">
        <f>_xlfn.IFNA(MATCH(N61,Achievements[[#All],[Column115]],0)+10,"")</f>
        <v/>
      </c>
      <c r="AO61" s="134" t="str">
        <f>_xlfn.IFNA(MATCH(O61,Achievements[[#All],[Column115]],0)+10,"")</f>
        <v/>
      </c>
      <c r="AP61" s="134" t="str">
        <f>_xlfn.IFNA(MATCH(P61,Achievements[[#All],[Column116]],0)+10,"")</f>
        <v/>
      </c>
      <c r="AQ61" s="134" t="str">
        <f>_xlfn.IFNA(MATCH(Q61,Achievements[[#All],[Column116]],0)+10,"")</f>
        <v/>
      </c>
      <c r="AR61" s="134" t="str">
        <f>_xlfn.IFNA(MATCH(R61,Achievements[[#All],[Column117]],0)+10,"")</f>
        <v/>
      </c>
      <c r="AS61" s="134" t="str">
        <f>_xlfn.IFNA(MATCH(S61,Achievements[[#All],[Column117]],0)+10,"")</f>
        <v/>
      </c>
      <c r="AT61" s="134" t="str">
        <f>_xlfn.IFNA(MATCH(T61,Achievements[[#All],[Column118]],0)+10,"")</f>
        <v/>
      </c>
      <c r="AU61" s="134" t="str">
        <f>_xlfn.IFNA(MATCH(U61,Achievements[[#All],[Column118]],0)+10,"")</f>
        <v/>
      </c>
      <c r="AV61" s="134" t="str">
        <f>_xlfn.IFNA(MATCH(V61,Achievements[[#All],[Column119]],0)+10,"")</f>
        <v/>
      </c>
      <c r="AW61" s="134" t="str">
        <f>_xlfn.IFNA(MATCH(W61,Achievements[[#All],[Column119]],0)+10,"")</f>
        <v/>
      </c>
      <c r="AX61" s="134" t="str">
        <f>_xlfn.IFNA(MATCH(X61,Achievements[[#All],[Column120]],0)+10,"")</f>
        <v/>
      </c>
      <c r="AY61" s="134" t="str">
        <f>_xlfn.IFNA(MATCH(Y61,Achievements[[#All],[Column120]],0)+10,"")</f>
        <v/>
      </c>
      <c r="AZ61" s="116" t="e">
        <f t="shared" ca="1" si="0"/>
        <v>#NAME?</v>
      </c>
      <c r="BA61" s="134" t="e" cm="1">
        <f t="array" aca="1" ref="BA61" ca="1">SplitValues("; ",Persons[[#This Row],[Column1]])</f>
        <v>#NAME?</v>
      </c>
      <c r="CA61" s="134" t="e">
        <f ca="1">_xlfn.IFNA(MATCH(BA61,Achievements[[#All],[Column1]],0)+10,"")</f>
        <v>#NAME?</v>
      </c>
      <c r="CB61" s="134" t="str">
        <f>_xlfn.IFNA(MATCH(BB61,Achievements[[#All],[Column1]],0)+10,"")</f>
        <v/>
      </c>
      <c r="CC61" s="134" t="str">
        <f>_xlfn.IFNA(MATCH(BC61,Achievements[[#All],[Column110]],0)+10,"")</f>
        <v/>
      </c>
      <c r="CD61" s="134" t="str">
        <f>_xlfn.IFNA(MATCH(BD61,Achievements[[#All],[Column110]],0)+10,"")</f>
        <v/>
      </c>
      <c r="CE61" s="134" t="str">
        <f>_xlfn.IFNA(MATCH(BE61,Achievements[[#All],[Column111]],0)+10,"")</f>
        <v/>
      </c>
      <c r="CF61" s="134" t="str">
        <f>_xlfn.IFNA(MATCH(BF61,Achievements[[#All],[Column111]],0)+10,"")</f>
        <v/>
      </c>
      <c r="CG61" s="134" t="str">
        <f>_xlfn.IFNA(MATCH(BG61,Achievements[[#All],[Column112]],0)+10,"")</f>
        <v/>
      </c>
      <c r="CH61" s="134" t="str">
        <f>_xlfn.IFNA(MATCH(BH61,Achievements[[#All],[Column112]],0)+10,"")</f>
        <v/>
      </c>
      <c r="CI61" s="134" t="str">
        <f>_xlfn.IFNA(MATCH(BI61,Achievements[[#All],[Column113]],0)+10,"")</f>
        <v/>
      </c>
      <c r="CJ61" s="134" t="str">
        <f>_xlfn.IFNA(MATCH(BJ61,Achievements[[#All],[Column113]],0)+10,"")</f>
        <v/>
      </c>
      <c r="CK61" s="134" t="str">
        <f>_xlfn.IFNA(MATCH(BK61,Achievements[[#All],[Column114]],0)+10,"")</f>
        <v/>
      </c>
      <c r="CL61" s="134" t="str">
        <f>_xlfn.IFNA(MATCH(BL61,Achievements[[#All],[Column114]],0)+10,"")</f>
        <v/>
      </c>
      <c r="CM61" s="134" t="str">
        <f>_xlfn.IFNA(MATCH(BM61,Achievements[[#All],[Column115]],0)+10,"")</f>
        <v/>
      </c>
      <c r="CN61" s="134" t="str">
        <f>_xlfn.IFNA(MATCH(BN61,Achievements[[#All],[Column115]],0)+10,"")</f>
        <v/>
      </c>
      <c r="CO61" s="134" t="str">
        <f>_xlfn.IFNA(MATCH(BO61,Achievements[[#All],[Column116]],0)+10,"")</f>
        <v/>
      </c>
      <c r="CP61" s="134" t="str">
        <f>_xlfn.IFNA(MATCH(BP61,Achievements[[#All],[Column116]],0)+10,"")</f>
        <v/>
      </c>
      <c r="CQ61" s="134" t="str">
        <f>_xlfn.IFNA(MATCH(BQ61,Achievements[[#All],[Column117]],0)+10,"")</f>
        <v/>
      </c>
      <c r="CR61" s="134" t="str">
        <f>_xlfn.IFNA(MATCH(BR61,Achievements[[#All],[Column117]],0)+10,"")</f>
        <v/>
      </c>
      <c r="CS61" s="134" t="str">
        <f>_xlfn.IFNA(MATCH(BS61,Achievements[[#All],[Column118]],0)+10,"")</f>
        <v/>
      </c>
      <c r="CT61" s="134" t="str">
        <f>_xlfn.IFNA(MATCH(BT61,Achievements[[#All],[Column118]],0)+10,"")</f>
        <v/>
      </c>
      <c r="CU61" s="134" t="str">
        <f>_xlfn.IFNA(MATCH(BU61,Achievements[[#All],[Column119]],0)+10,"")</f>
        <v/>
      </c>
      <c r="CV61" s="134" t="str">
        <f>_xlfn.IFNA(MATCH(BV61,Achievements[[#All],[Column119]],0)+10,"")</f>
        <v/>
      </c>
      <c r="CW61" s="134" t="str">
        <f>_xlfn.IFNA(MATCH(BW61,Achievements[[#All],[Column120]],0)+10,"")</f>
        <v/>
      </c>
      <c r="CX61" s="134" t="str">
        <f>_xlfn.IFNA(MATCH(BX61,Achievements[[#All],[Column120]],0)+10,"")</f>
        <v/>
      </c>
      <c r="CY61" s="134" t="str">
        <f>_xlfn.IFNA(MATCH(BY61,Achievements[[#All],[Column121]],0)+10,"")</f>
        <v/>
      </c>
      <c r="CZ61" s="118" t="e">
        <f t="shared" ca="1" si="1"/>
        <v>#NAME?</v>
      </c>
    </row>
    <row r="62" spans="1:104" x14ac:dyDescent="0.25">
      <c r="A62" t="e" cm="1">
        <f t="array" aca="1" ref="A62" ca="1">SplitValues("; ",#REF!)</f>
        <v>#NAME?</v>
      </c>
      <c r="AA62" t="e">
        <f ca="1">_xlfn.IFNA(MATCH(A62,Achievements[[#All],[Column1]],0)+11,"")</f>
        <v>#NAME?</v>
      </c>
      <c r="AB62" s="134" t="str">
        <f>_xlfn.IFNA(MATCH(B62,Achievements[[#All],[Column1]],0)+10,"")</f>
        <v/>
      </c>
      <c r="AC62" s="134" t="str">
        <f>_xlfn.IFNA(MATCH(C62,Achievements[[#All],[Column1]],0)+10,"")</f>
        <v/>
      </c>
      <c r="AD62" s="134" t="str">
        <f>_xlfn.IFNA(MATCH(D62,Achievements[[#All],[Column110]],0)+10,"")</f>
        <v/>
      </c>
      <c r="AE62" s="134" t="str">
        <f>_xlfn.IFNA(MATCH(E62,Achievements[[#All],[Column110]],0)+10,"")</f>
        <v/>
      </c>
      <c r="AF62" s="134" t="str">
        <f>_xlfn.IFNA(MATCH(F62,Achievements[[#All],[Column111]],0)+10,"")</f>
        <v/>
      </c>
      <c r="AG62" s="134" t="str">
        <f>_xlfn.IFNA(MATCH(G62,Achievements[[#All],[Column111]],0)+10,"")</f>
        <v/>
      </c>
      <c r="AH62" s="134" t="str">
        <f>_xlfn.IFNA(MATCH(H62,Achievements[[#All],[Column112]],0)+10,"")</f>
        <v/>
      </c>
      <c r="AI62" s="134" t="str">
        <f>_xlfn.IFNA(MATCH(I62,Achievements[[#All],[Column112]],0)+10,"")</f>
        <v/>
      </c>
      <c r="AJ62" s="134" t="str">
        <f>_xlfn.IFNA(MATCH(J62,Achievements[[#All],[Column113]],0)+10,"")</f>
        <v/>
      </c>
      <c r="AK62" s="134" t="str">
        <f>_xlfn.IFNA(MATCH(K62,Achievements[[#All],[Column113]],0)+10,"")</f>
        <v/>
      </c>
      <c r="AL62" s="134" t="str">
        <f>_xlfn.IFNA(MATCH(L62,Achievements[[#All],[Column114]],0)+10,"")</f>
        <v/>
      </c>
      <c r="AM62" s="134" t="str">
        <f>_xlfn.IFNA(MATCH(M62,Achievements[[#All],[Column114]],0)+10,"")</f>
        <v/>
      </c>
      <c r="AN62" s="134" t="str">
        <f>_xlfn.IFNA(MATCH(N62,Achievements[[#All],[Column115]],0)+10,"")</f>
        <v/>
      </c>
      <c r="AO62" s="134" t="str">
        <f>_xlfn.IFNA(MATCH(O62,Achievements[[#All],[Column115]],0)+10,"")</f>
        <v/>
      </c>
      <c r="AP62" s="134" t="str">
        <f>_xlfn.IFNA(MATCH(P62,Achievements[[#All],[Column116]],0)+10,"")</f>
        <v/>
      </c>
      <c r="AQ62" s="134" t="str">
        <f>_xlfn.IFNA(MATCH(Q62,Achievements[[#All],[Column116]],0)+10,"")</f>
        <v/>
      </c>
      <c r="AR62" s="134" t="str">
        <f>_xlfn.IFNA(MATCH(R62,Achievements[[#All],[Column117]],0)+10,"")</f>
        <v/>
      </c>
      <c r="AS62" s="134" t="str">
        <f>_xlfn.IFNA(MATCH(S62,Achievements[[#All],[Column117]],0)+10,"")</f>
        <v/>
      </c>
      <c r="AT62" s="134" t="str">
        <f>_xlfn.IFNA(MATCH(T62,Achievements[[#All],[Column118]],0)+10,"")</f>
        <v/>
      </c>
      <c r="AU62" s="134" t="str">
        <f>_xlfn.IFNA(MATCH(U62,Achievements[[#All],[Column118]],0)+10,"")</f>
        <v/>
      </c>
      <c r="AV62" s="134" t="str">
        <f>_xlfn.IFNA(MATCH(V62,Achievements[[#All],[Column119]],0)+10,"")</f>
        <v/>
      </c>
      <c r="AW62" s="134" t="str">
        <f>_xlfn.IFNA(MATCH(W62,Achievements[[#All],[Column119]],0)+10,"")</f>
        <v/>
      </c>
      <c r="AX62" s="134" t="str">
        <f>_xlfn.IFNA(MATCH(X62,Achievements[[#All],[Column120]],0)+10,"")</f>
        <v/>
      </c>
      <c r="AY62" s="134" t="str">
        <f>_xlfn.IFNA(MATCH(Y62,Achievements[[#All],[Column120]],0)+10,"")</f>
        <v/>
      </c>
      <c r="AZ62" s="116" t="e">
        <f t="shared" ca="1" si="0"/>
        <v>#NAME?</v>
      </c>
      <c r="BA62" s="134" t="e" cm="1">
        <f t="array" aca="1" ref="BA62" ca="1">SplitValues("; ",Persons[[#This Row],[Column1]])</f>
        <v>#NAME?</v>
      </c>
      <c r="CA62" s="134" t="e">
        <f ca="1">_xlfn.IFNA(MATCH(BA62,Achievements[[#All],[Column1]],0)+10,"")</f>
        <v>#NAME?</v>
      </c>
      <c r="CB62" s="134" t="str">
        <f>_xlfn.IFNA(MATCH(BB62,Achievements[[#All],[Column1]],0)+10,"")</f>
        <v/>
      </c>
      <c r="CC62" s="134" t="str">
        <f>_xlfn.IFNA(MATCH(BC62,Achievements[[#All],[Column110]],0)+10,"")</f>
        <v/>
      </c>
      <c r="CD62" s="134" t="str">
        <f>_xlfn.IFNA(MATCH(BD62,Achievements[[#All],[Column110]],0)+10,"")</f>
        <v/>
      </c>
      <c r="CE62" s="134" t="str">
        <f>_xlfn.IFNA(MATCH(BE62,Achievements[[#All],[Column111]],0)+10,"")</f>
        <v/>
      </c>
      <c r="CF62" s="134" t="str">
        <f>_xlfn.IFNA(MATCH(BF62,Achievements[[#All],[Column111]],0)+10,"")</f>
        <v/>
      </c>
      <c r="CG62" s="134" t="str">
        <f>_xlfn.IFNA(MATCH(BG62,Achievements[[#All],[Column112]],0)+10,"")</f>
        <v/>
      </c>
      <c r="CH62" s="134" t="str">
        <f>_xlfn.IFNA(MATCH(BH62,Achievements[[#All],[Column112]],0)+10,"")</f>
        <v/>
      </c>
      <c r="CI62" s="134" t="str">
        <f>_xlfn.IFNA(MATCH(BI62,Achievements[[#All],[Column113]],0)+10,"")</f>
        <v/>
      </c>
      <c r="CJ62" s="134" t="str">
        <f>_xlfn.IFNA(MATCH(BJ62,Achievements[[#All],[Column113]],0)+10,"")</f>
        <v/>
      </c>
      <c r="CK62" s="134" t="str">
        <f>_xlfn.IFNA(MATCH(BK62,Achievements[[#All],[Column114]],0)+10,"")</f>
        <v/>
      </c>
      <c r="CL62" s="134" t="str">
        <f>_xlfn.IFNA(MATCH(BL62,Achievements[[#All],[Column114]],0)+10,"")</f>
        <v/>
      </c>
      <c r="CM62" s="134" t="str">
        <f>_xlfn.IFNA(MATCH(BM62,Achievements[[#All],[Column115]],0)+10,"")</f>
        <v/>
      </c>
      <c r="CN62" s="134" t="str">
        <f>_xlfn.IFNA(MATCH(BN62,Achievements[[#All],[Column115]],0)+10,"")</f>
        <v/>
      </c>
      <c r="CO62" s="134" t="str">
        <f>_xlfn.IFNA(MATCH(BO62,Achievements[[#All],[Column116]],0)+10,"")</f>
        <v/>
      </c>
      <c r="CP62" s="134" t="str">
        <f>_xlfn.IFNA(MATCH(BP62,Achievements[[#All],[Column116]],0)+10,"")</f>
        <v/>
      </c>
      <c r="CQ62" s="134" t="str">
        <f>_xlfn.IFNA(MATCH(BQ62,Achievements[[#All],[Column117]],0)+10,"")</f>
        <v/>
      </c>
      <c r="CR62" s="134" t="str">
        <f>_xlfn.IFNA(MATCH(BR62,Achievements[[#All],[Column117]],0)+10,"")</f>
        <v/>
      </c>
      <c r="CS62" s="134" t="str">
        <f>_xlfn.IFNA(MATCH(BS62,Achievements[[#All],[Column118]],0)+10,"")</f>
        <v/>
      </c>
      <c r="CT62" s="134" t="str">
        <f>_xlfn.IFNA(MATCH(BT62,Achievements[[#All],[Column118]],0)+10,"")</f>
        <v/>
      </c>
      <c r="CU62" s="134" t="str">
        <f>_xlfn.IFNA(MATCH(BU62,Achievements[[#All],[Column119]],0)+10,"")</f>
        <v/>
      </c>
      <c r="CV62" s="134" t="str">
        <f>_xlfn.IFNA(MATCH(BV62,Achievements[[#All],[Column119]],0)+10,"")</f>
        <v/>
      </c>
      <c r="CW62" s="134" t="str">
        <f>_xlfn.IFNA(MATCH(BW62,Achievements[[#All],[Column120]],0)+10,"")</f>
        <v/>
      </c>
      <c r="CX62" s="134" t="str">
        <f>_xlfn.IFNA(MATCH(BX62,Achievements[[#All],[Column120]],0)+10,"")</f>
        <v/>
      </c>
      <c r="CY62" s="134" t="str">
        <f>_xlfn.IFNA(MATCH(BY62,Achievements[[#All],[Column121]],0)+10,"")</f>
        <v/>
      </c>
      <c r="CZ62" s="118" t="e">
        <f t="shared" ca="1" si="1"/>
        <v>#NAME?</v>
      </c>
    </row>
    <row r="63" spans="1:104" x14ac:dyDescent="0.25">
      <c r="A63" t="e" cm="1">
        <f t="array" aca="1" ref="A63" ca="1">SplitValues("; ",#REF!)</f>
        <v>#NAME?</v>
      </c>
      <c r="AA63" t="e">
        <f ca="1">_xlfn.IFNA(MATCH(A63,Achievements[[#All],[Column1]],0)+11,"")</f>
        <v>#NAME?</v>
      </c>
      <c r="AB63" s="134" t="str">
        <f>_xlfn.IFNA(MATCH(B63,Achievements[[#All],[Column1]],0)+10,"")</f>
        <v/>
      </c>
      <c r="AC63" s="134" t="str">
        <f>_xlfn.IFNA(MATCH(C63,Achievements[[#All],[Column1]],0)+10,"")</f>
        <v/>
      </c>
      <c r="AD63" s="134" t="str">
        <f>_xlfn.IFNA(MATCH(D63,Achievements[[#All],[Column110]],0)+10,"")</f>
        <v/>
      </c>
      <c r="AE63" s="134" t="str">
        <f>_xlfn.IFNA(MATCH(E63,Achievements[[#All],[Column110]],0)+10,"")</f>
        <v/>
      </c>
      <c r="AF63" s="134" t="str">
        <f>_xlfn.IFNA(MATCH(F63,Achievements[[#All],[Column111]],0)+10,"")</f>
        <v/>
      </c>
      <c r="AG63" s="134" t="str">
        <f>_xlfn.IFNA(MATCH(G63,Achievements[[#All],[Column111]],0)+10,"")</f>
        <v/>
      </c>
      <c r="AH63" s="134" t="str">
        <f>_xlfn.IFNA(MATCH(H63,Achievements[[#All],[Column112]],0)+10,"")</f>
        <v/>
      </c>
      <c r="AI63" s="134" t="str">
        <f>_xlfn.IFNA(MATCH(I63,Achievements[[#All],[Column112]],0)+10,"")</f>
        <v/>
      </c>
      <c r="AJ63" s="134" t="str">
        <f>_xlfn.IFNA(MATCH(J63,Achievements[[#All],[Column113]],0)+10,"")</f>
        <v/>
      </c>
      <c r="AK63" s="134" t="str">
        <f>_xlfn.IFNA(MATCH(K63,Achievements[[#All],[Column113]],0)+10,"")</f>
        <v/>
      </c>
      <c r="AL63" s="134" t="str">
        <f>_xlfn.IFNA(MATCH(L63,Achievements[[#All],[Column114]],0)+10,"")</f>
        <v/>
      </c>
      <c r="AM63" s="134" t="str">
        <f>_xlfn.IFNA(MATCH(M63,Achievements[[#All],[Column114]],0)+10,"")</f>
        <v/>
      </c>
      <c r="AN63" s="134" t="str">
        <f>_xlfn.IFNA(MATCH(N63,Achievements[[#All],[Column115]],0)+10,"")</f>
        <v/>
      </c>
      <c r="AO63" s="134" t="str">
        <f>_xlfn.IFNA(MATCH(O63,Achievements[[#All],[Column115]],0)+10,"")</f>
        <v/>
      </c>
      <c r="AP63" s="134" t="str">
        <f>_xlfn.IFNA(MATCH(P63,Achievements[[#All],[Column116]],0)+10,"")</f>
        <v/>
      </c>
      <c r="AQ63" s="134" t="str">
        <f>_xlfn.IFNA(MATCH(Q63,Achievements[[#All],[Column116]],0)+10,"")</f>
        <v/>
      </c>
      <c r="AR63" s="134" t="str">
        <f>_xlfn.IFNA(MATCH(R63,Achievements[[#All],[Column117]],0)+10,"")</f>
        <v/>
      </c>
      <c r="AS63" s="134" t="str">
        <f>_xlfn.IFNA(MATCH(S63,Achievements[[#All],[Column117]],0)+10,"")</f>
        <v/>
      </c>
      <c r="AT63" s="134" t="str">
        <f>_xlfn.IFNA(MATCH(T63,Achievements[[#All],[Column118]],0)+10,"")</f>
        <v/>
      </c>
      <c r="AU63" s="134" t="str">
        <f>_xlfn.IFNA(MATCH(U63,Achievements[[#All],[Column118]],0)+10,"")</f>
        <v/>
      </c>
      <c r="AV63" s="134" t="str">
        <f>_xlfn.IFNA(MATCH(V63,Achievements[[#All],[Column119]],0)+10,"")</f>
        <v/>
      </c>
      <c r="AW63" s="134" t="str">
        <f>_xlfn.IFNA(MATCH(W63,Achievements[[#All],[Column119]],0)+10,"")</f>
        <v/>
      </c>
      <c r="AX63" s="134" t="str">
        <f>_xlfn.IFNA(MATCH(X63,Achievements[[#All],[Column120]],0)+10,"")</f>
        <v/>
      </c>
      <c r="AY63" s="134" t="str">
        <f>_xlfn.IFNA(MATCH(Y63,Achievements[[#All],[Column120]],0)+10,"")</f>
        <v/>
      </c>
      <c r="AZ63" s="116" t="e">
        <f t="shared" ca="1" si="0"/>
        <v>#NAME?</v>
      </c>
      <c r="BA63" s="134" t="e" cm="1">
        <f t="array" aca="1" ref="BA63" ca="1">SplitValues("; ",Persons[[#This Row],[Column1]])</f>
        <v>#NAME?</v>
      </c>
      <c r="CA63" s="134" t="e">
        <f ca="1">_xlfn.IFNA(MATCH(BA63,Achievements[[#All],[Column1]],0)+10,"")</f>
        <v>#NAME?</v>
      </c>
      <c r="CB63" s="134" t="str">
        <f>_xlfn.IFNA(MATCH(BB63,Achievements[[#All],[Column1]],0)+10,"")</f>
        <v/>
      </c>
      <c r="CC63" s="134" t="str">
        <f>_xlfn.IFNA(MATCH(BC63,Achievements[[#All],[Column110]],0)+10,"")</f>
        <v/>
      </c>
      <c r="CD63" s="134" t="str">
        <f>_xlfn.IFNA(MATCH(BD63,Achievements[[#All],[Column110]],0)+10,"")</f>
        <v/>
      </c>
      <c r="CE63" s="134" t="str">
        <f>_xlfn.IFNA(MATCH(BE63,Achievements[[#All],[Column111]],0)+10,"")</f>
        <v/>
      </c>
      <c r="CF63" s="134" t="str">
        <f>_xlfn.IFNA(MATCH(BF63,Achievements[[#All],[Column111]],0)+10,"")</f>
        <v/>
      </c>
      <c r="CG63" s="134" t="str">
        <f>_xlfn.IFNA(MATCH(BG63,Achievements[[#All],[Column112]],0)+10,"")</f>
        <v/>
      </c>
      <c r="CH63" s="134" t="str">
        <f>_xlfn.IFNA(MATCH(BH63,Achievements[[#All],[Column112]],0)+10,"")</f>
        <v/>
      </c>
      <c r="CI63" s="134" t="str">
        <f>_xlfn.IFNA(MATCH(BI63,Achievements[[#All],[Column113]],0)+10,"")</f>
        <v/>
      </c>
      <c r="CJ63" s="134" t="str">
        <f>_xlfn.IFNA(MATCH(BJ63,Achievements[[#All],[Column113]],0)+10,"")</f>
        <v/>
      </c>
      <c r="CK63" s="134" t="str">
        <f>_xlfn.IFNA(MATCH(BK63,Achievements[[#All],[Column114]],0)+10,"")</f>
        <v/>
      </c>
      <c r="CL63" s="134" t="str">
        <f>_xlfn.IFNA(MATCH(BL63,Achievements[[#All],[Column114]],0)+10,"")</f>
        <v/>
      </c>
      <c r="CM63" s="134" t="str">
        <f>_xlfn.IFNA(MATCH(BM63,Achievements[[#All],[Column115]],0)+10,"")</f>
        <v/>
      </c>
      <c r="CN63" s="134" t="str">
        <f>_xlfn.IFNA(MATCH(BN63,Achievements[[#All],[Column115]],0)+10,"")</f>
        <v/>
      </c>
      <c r="CO63" s="134" t="str">
        <f>_xlfn.IFNA(MATCH(BO63,Achievements[[#All],[Column116]],0)+10,"")</f>
        <v/>
      </c>
      <c r="CP63" s="134" t="str">
        <f>_xlfn.IFNA(MATCH(BP63,Achievements[[#All],[Column116]],0)+10,"")</f>
        <v/>
      </c>
      <c r="CQ63" s="134" t="str">
        <f>_xlfn.IFNA(MATCH(BQ63,Achievements[[#All],[Column117]],0)+10,"")</f>
        <v/>
      </c>
      <c r="CR63" s="134" t="str">
        <f>_xlfn.IFNA(MATCH(BR63,Achievements[[#All],[Column117]],0)+10,"")</f>
        <v/>
      </c>
      <c r="CS63" s="134" t="str">
        <f>_xlfn.IFNA(MATCH(BS63,Achievements[[#All],[Column118]],0)+10,"")</f>
        <v/>
      </c>
      <c r="CT63" s="134" t="str">
        <f>_xlfn.IFNA(MATCH(BT63,Achievements[[#All],[Column118]],0)+10,"")</f>
        <v/>
      </c>
      <c r="CU63" s="134" t="str">
        <f>_xlfn.IFNA(MATCH(BU63,Achievements[[#All],[Column119]],0)+10,"")</f>
        <v/>
      </c>
      <c r="CV63" s="134" t="str">
        <f>_xlfn.IFNA(MATCH(BV63,Achievements[[#All],[Column119]],0)+10,"")</f>
        <v/>
      </c>
      <c r="CW63" s="134" t="str">
        <f>_xlfn.IFNA(MATCH(BW63,Achievements[[#All],[Column120]],0)+10,"")</f>
        <v/>
      </c>
      <c r="CX63" s="134" t="str">
        <f>_xlfn.IFNA(MATCH(BX63,Achievements[[#All],[Column120]],0)+10,"")</f>
        <v/>
      </c>
      <c r="CY63" s="134" t="str">
        <f>_xlfn.IFNA(MATCH(BY63,Achievements[[#All],[Column121]],0)+10,"")</f>
        <v/>
      </c>
      <c r="CZ63" s="118" t="e">
        <f t="shared" ca="1" si="1"/>
        <v>#NAME?</v>
      </c>
    </row>
    <row r="64" spans="1:104" x14ac:dyDescent="0.25">
      <c r="A64" t="e" cm="1">
        <f t="array" aca="1" ref="A64" ca="1">SplitValues("; ",#REF!)</f>
        <v>#NAME?</v>
      </c>
      <c r="AA64" t="e">
        <f ca="1">_xlfn.IFNA(MATCH(A64,Achievements[[#All],[Column1]],0)+11,"")</f>
        <v>#NAME?</v>
      </c>
      <c r="AB64" s="134" t="str">
        <f>_xlfn.IFNA(MATCH(B64,Achievements[[#All],[Column1]],0)+10,"")</f>
        <v/>
      </c>
      <c r="AC64" s="134" t="str">
        <f>_xlfn.IFNA(MATCH(C64,Achievements[[#All],[Column1]],0)+10,"")</f>
        <v/>
      </c>
      <c r="AD64" s="134" t="str">
        <f>_xlfn.IFNA(MATCH(D64,Achievements[[#All],[Column110]],0)+10,"")</f>
        <v/>
      </c>
      <c r="AE64" s="134" t="str">
        <f>_xlfn.IFNA(MATCH(E64,Achievements[[#All],[Column110]],0)+10,"")</f>
        <v/>
      </c>
      <c r="AF64" s="134" t="str">
        <f>_xlfn.IFNA(MATCH(F64,Achievements[[#All],[Column111]],0)+10,"")</f>
        <v/>
      </c>
      <c r="AG64" s="134" t="str">
        <f>_xlfn.IFNA(MATCH(G64,Achievements[[#All],[Column111]],0)+10,"")</f>
        <v/>
      </c>
      <c r="AH64" s="134" t="str">
        <f>_xlfn.IFNA(MATCH(H64,Achievements[[#All],[Column112]],0)+10,"")</f>
        <v/>
      </c>
      <c r="AI64" s="134" t="str">
        <f>_xlfn.IFNA(MATCH(I64,Achievements[[#All],[Column112]],0)+10,"")</f>
        <v/>
      </c>
      <c r="AJ64" s="134" t="str">
        <f>_xlfn.IFNA(MATCH(J64,Achievements[[#All],[Column113]],0)+10,"")</f>
        <v/>
      </c>
      <c r="AK64" s="134" t="str">
        <f>_xlfn.IFNA(MATCH(K64,Achievements[[#All],[Column113]],0)+10,"")</f>
        <v/>
      </c>
      <c r="AL64" s="134" t="str">
        <f>_xlfn.IFNA(MATCH(L64,Achievements[[#All],[Column114]],0)+10,"")</f>
        <v/>
      </c>
      <c r="AM64" s="134" t="str">
        <f>_xlfn.IFNA(MATCH(M64,Achievements[[#All],[Column114]],0)+10,"")</f>
        <v/>
      </c>
      <c r="AN64" s="134" t="str">
        <f>_xlfn.IFNA(MATCH(N64,Achievements[[#All],[Column115]],0)+10,"")</f>
        <v/>
      </c>
      <c r="AO64" s="134" t="str">
        <f>_xlfn.IFNA(MATCH(O64,Achievements[[#All],[Column115]],0)+10,"")</f>
        <v/>
      </c>
      <c r="AP64" s="134" t="str">
        <f>_xlfn.IFNA(MATCH(P64,Achievements[[#All],[Column116]],0)+10,"")</f>
        <v/>
      </c>
      <c r="AQ64" s="134" t="str">
        <f>_xlfn.IFNA(MATCH(Q64,Achievements[[#All],[Column116]],0)+10,"")</f>
        <v/>
      </c>
      <c r="AR64" s="134" t="str">
        <f>_xlfn.IFNA(MATCH(R64,Achievements[[#All],[Column117]],0)+10,"")</f>
        <v/>
      </c>
      <c r="AS64" s="134" t="str">
        <f>_xlfn.IFNA(MATCH(S64,Achievements[[#All],[Column117]],0)+10,"")</f>
        <v/>
      </c>
      <c r="AT64" s="134" t="str">
        <f>_xlfn.IFNA(MATCH(T64,Achievements[[#All],[Column118]],0)+10,"")</f>
        <v/>
      </c>
      <c r="AU64" s="134" t="str">
        <f>_xlfn.IFNA(MATCH(U64,Achievements[[#All],[Column118]],0)+10,"")</f>
        <v/>
      </c>
      <c r="AV64" s="134" t="str">
        <f>_xlfn.IFNA(MATCH(V64,Achievements[[#All],[Column119]],0)+10,"")</f>
        <v/>
      </c>
      <c r="AW64" s="134" t="str">
        <f>_xlfn.IFNA(MATCH(W64,Achievements[[#All],[Column119]],0)+10,"")</f>
        <v/>
      </c>
      <c r="AX64" s="134" t="str">
        <f>_xlfn.IFNA(MATCH(X64,Achievements[[#All],[Column120]],0)+10,"")</f>
        <v/>
      </c>
      <c r="AY64" s="134" t="str">
        <f>_xlfn.IFNA(MATCH(Y64,Achievements[[#All],[Column120]],0)+10,"")</f>
        <v/>
      </c>
      <c r="AZ64" s="116" t="e">
        <f t="shared" ca="1" si="0"/>
        <v>#NAME?</v>
      </c>
      <c r="BA64" s="134" t="e" cm="1">
        <f t="array" aca="1" ref="BA64" ca="1">SplitValues("; ",Persons[[#This Row],[Column1]])</f>
        <v>#NAME?</v>
      </c>
      <c r="CA64" s="134" t="e">
        <f ca="1">_xlfn.IFNA(MATCH(BA64,Achievements[[#All],[Column1]],0)+10,"")</f>
        <v>#NAME?</v>
      </c>
      <c r="CB64" s="134" t="str">
        <f>_xlfn.IFNA(MATCH(BB64,Achievements[[#All],[Column1]],0)+10,"")</f>
        <v/>
      </c>
      <c r="CC64" s="134" t="str">
        <f>_xlfn.IFNA(MATCH(BC64,Achievements[[#All],[Column110]],0)+10,"")</f>
        <v/>
      </c>
      <c r="CD64" s="134" t="str">
        <f>_xlfn.IFNA(MATCH(BD64,Achievements[[#All],[Column110]],0)+10,"")</f>
        <v/>
      </c>
      <c r="CE64" s="134" t="str">
        <f>_xlfn.IFNA(MATCH(BE64,Achievements[[#All],[Column111]],0)+10,"")</f>
        <v/>
      </c>
      <c r="CF64" s="134" t="str">
        <f>_xlfn.IFNA(MATCH(BF64,Achievements[[#All],[Column111]],0)+10,"")</f>
        <v/>
      </c>
      <c r="CG64" s="134" t="str">
        <f>_xlfn.IFNA(MATCH(BG64,Achievements[[#All],[Column112]],0)+10,"")</f>
        <v/>
      </c>
      <c r="CH64" s="134" t="str">
        <f>_xlfn.IFNA(MATCH(BH64,Achievements[[#All],[Column112]],0)+10,"")</f>
        <v/>
      </c>
      <c r="CI64" s="134" t="str">
        <f>_xlfn.IFNA(MATCH(BI64,Achievements[[#All],[Column113]],0)+10,"")</f>
        <v/>
      </c>
      <c r="CJ64" s="134" t="str">
        <f>_xlfn.IFNA(MATCH(BJ64,Achievements[[#All],[Column113]],0)+10,"")</f>
        <v/>
      </c>
      <c r="CK64" s="134" t="str">
        <f>_xlfn.IFNA(MATCH(BK64,Achievements[[#All],[Column114]],0)+10,"")</f>
        <v/>
      </c>
      <c r="CL64" s="134" t="str">
        <f>_xlfn.IFNA(MATCH(BL64,Achievements[[#All],[Column114]],0)+10,"")</f>
        <v/>
      </c>
      <c r="CM64" s="134" t="str">
        <f>_xlfn.IFNA(MATCH(BM64,Achievements[[#All],[Column115]],0)+10,"")</f>
        <v/>
      </c>
      <c r="CN64" s="134" t="str">
        <f>_xlfn.IFNA(MATCH(BN64,Achievements[[#All],[Column115]],0)+10,"")</f>
        <v/>
      </c>
      <c r="CO64" s="134" t="str">
        <f>_xlfn.IFNA(MATCH(BO64,Achievements[[#All],[Column116]],0)+10,"")</f>
        <v/>
      </c>
      <c r="CP64" s="134" t="str">
        <f>_xlfn.IFNA(MATCH(BP64,Achievements[[#All],[Column116]],0)+10,"")</f>
        <v/>
      </c>
      <c r="CQ64" s="134" t="str">
        <f>_xlfn.IFNA(MATCH(BQ64,Achievements[[#All],[Column117]],0)+10,"")</f>
        <v/>
      </c>
      <c r="CR64" s="134" t="str">
        <f>_xlfn.IFNA(MATCH(BR64,Achievements[[#All],[Column117]],0)+10,"")</f>
        <v/>
      </c>
      <c r="CS64" s="134" t="str">
        <f>_xlfn.IFNA(MATCH(BS64,Achievements[[#All],[Column118]],0)+10,"")</f>
        <v/>
      </c>
      <c r="CT64" s="134" t="str">
        <f>_xlfn.IFNA(MATCH(BT64,Achievements[[#All],[Column118]],0)+10,"")</f>
        <v/>
      </c>
      <c r="CU64" s="134" t="str">
        <f>_xlfn.IFNA(MATCH(BU64,Achievements[[#All],[Column119]],0)+10,"")</f>
        <v/>
      </c>
      <c r="CV64" s="134" t="str">
        <f>_xlfn.IFNA(MATCH(BV64,Achievements[[#All],[Column119]],0)+10,"")</f>
        <v/>
      </c>
      <c r="CW64" s="134" t="str">
        <f>_xlfn.IFNA(MATCH(BW64,Achievements[[#All],[Column120]],0)+10,"")</f>
        <v/>
      </c>
      <c r="CX64" s="134" t="str">
        <f>_xlfn.IFNA(MATCH(BX64,Achievements[[#All],[Column120]],0)+10,"")</f>
        <v/>
      </c>
      <c r="CY64" s="134" t="str">
        <f>_xlfn.IFNA(MATCH(BY64,Achievements[[#All],[Column121]],0)+10,"")</f>
        <v/>
      </c>
      <c r="CZ64" s="118" t="e">
        <f t="shared" ca="1" si="1"/>
        <v>#NAME?</v>
      </c>
    </row>
    <row r="65" spans="1:104" x14ac:dyDescent="0.25">
      <c r="A65" t="e" cm="1">
        <f t="array" aca="1" ref="A65" ca="1">SplitValues("; ",#REF!)</f>
        <v>#NAME?</v>
      </c>
      <c r="AA65" t="e">
        <f ca="1">_xlfn.IFNA(MATCH(A65,Achievements[[#All],[Column1]],0)+11,"")</f>
        <v>#NAME?</v>
      </c>
      <c r="AB65" s="134" t="str">
        <f>_xlfn.IFNA(MATCH(B65,Achievements[[#All],[Column1]],0)+10,"")</f>
        <v/>
      </c>
      <c r="AC65" s="134" t="str">
        <f>_xlfn.IFNA(MATCH(C65,Achievements[[#All],[Column1]],0)+10,"")</f>
        <v/>
      </c>
      <c r="AD65" s="134" t="str">
        <f>_xlfn.IFNA(MATCH(D65,Achievements[[#All],[Column110]],0)+10,"")</f>
        <v/>
      </c>
      <c r="AE65" s="134" t="str">
        <f>_xlfn.IFNA(MATCH(E65,Achievements[[#All],[Column110]],0)+10,"")</f>
        <v/>
      </c>
      <c r="AF65" s="134" t="str">
        <f>_xlfn.IFNA(MATCH(F65,Achievements[[#All],[Column111]],0)+10,"")</f>
        <v/>
      </c>
      <c r="AG65" s="134" t="str">
        <f>_xlfn.IFNA(MATCH(G65,Achievements[[#All],[Column111]],0)+10,"")</f>
        <v/>
      </c>
      <c r="AH65" s="134" t="str">
        <f>_xlfn.IFNA(MATCH(H65,Achievements[[#All],[Column112]],0)+10,"")</f>
        <v/>
      </c>
      <c r="AI65" s="134" t="str">
        <f>_xlfn.IFNA(MATCH(I65,Achievements[[#All],[Column112]],0)+10,"")</f>
        <v/>
      </c>
      <c r="AJ65" s="134" t="str">
        <f>_xlfn.IFNA(MATCH(J65,Achievements[[#All],[Column113]],0)+10,"")</f>
        <v/>
      </c>
      <c r="AK65" s="134" t="str">
        <f>_xlfn.IFNA(MATCH(K65,Achievements[[#All],[Column113]],0)+10,"")</f>
        <v/>
      </c>
      <c r="AL65" s="134" t="str">
        <f>_xlfn.IFNA(MATCH(L65,Achievements[[#All],[Column114]],0)+10,"")</f>
        <v/>
      </c>
      <c r="AM65" s="134" t="str">
        <f>_xlfn.IFNA(MATCH(M65,Achievements[[#All],[Column114]],0)+10,"")</f>
        <v/>
      </c>
      <c r="AN65" s="134" t="str">
        <f>_xlfn.IFNA(MATCH(N65,Achievements[[#All],[Column115]],0)+10,"")</f>
        <v/>
      </c>
      <c r="AO65" s="134" t="str">
        <f>_xlfn.IFNA(MATCH(O65,Achievements[[#All],[Column115]],0)+10,"")</f>
        <v/>
      </c>
      <c r="AP65" s="134" t="str">
        <f>_xlfn.IFNA(MATCH(P65,Achievements[[#All],[Column116]],0)+10,"")</f>
        <v/>
      </c>
      <c r="AQ65" s="134" t="str">
        <f>_xlfn.IFNA(MATCH(Q65,Achievements[[#All],[Column116]],0)+10,"")</f>
        <v/>
      </c>
      <c r="AR65" s="134" t="str">
        <f>_xlfn.IFNA(MATCH(R65,Achievements[[#All],[Column117]],0)+10,"")</f>
        <v/>
      </c>
      <c r="AS65" s="134" t="str">
        <f>_xlfn.IFNA(MATCH(S65,Achievements[[#All],[Column117]],0)+10,"")</f>
        <v/>
      </c>
      <c r="AT65" s="134" t="str">
        <f>_xlfn.IFNA(MATCH(T65,Achievements[[#All],[Column118]],0)+10,"")</f>
        <v/>
      </c>
      <c r="AU65" s="134" t="str">
        <f>_xlfn.IFNA(MATCH(U65,Achievements[[#All],[Column118]],0)+10,"")</f>
        <v/>
      </c>
      <c r="AV65" s="134" t="str">
        <f>_xlfn.IFNA(MATCH(V65,Achievements[[#All],[Column119]],0)+10,"")</f>
        <v/>
      </c>
      <c r="AW65" s="134" t="str">
        <f>_xlfn.IFNA(MATCH(W65,Achievements[[#All],[Column119]],0)+10,"")</f>
        <v/>
      </c>
      <c r="AX65" s="134" t="str">
        <f>_xlfn.IFNA(MATCH(X65,Achievements[[#All],[Column120]],0)+10,"")</f>
        <v/>
      </c>
      <c r="AY65" s="134" t="str">
        <f>_xlfn.IFNA(MATCH(Y65,Achievements[[#All],[Column120]],0)+10,"")</f>
        <v/>
      </c>
      <c r="AZ65" s="116" t="e">
        <f t="shared" ca="1" si="0"/>
        <v>#NAME?</v>
      </c>
      <c r="BA65" s="134" t="e" cm="1">
        <f t="array" aca="1" ref="BA65" ca="1">SplitValues("; ",Persons[[#This Row],[Column1]])</f>
        <v>#NAME?</v>
      </c>
      <c r="CA65" s="134" t="e">
        <f ca="1">_xlfn.IFNA(MATCH(BA65,Achievements[[#All],[Column1]],0)+10,"")</f>
        <v>#NAME?</v>
      </c>
      <c r="CB65" s="134" t="str">
        <f>_xlfn.IFNA(MATCH(BB65,Achievements[[#All],[Column1]],0)+10,"")</f>
        <v/>
      </c>
      <c r="CC65" s="134" t="str">
        <f>_xlfn.IFNA(MATCH(BC65,Achievements[[#All],[Column110]],0)+10,"")</f>
        <v/>
      </c>
      <c r="CD65" s="134" t="str">
        <f>_xlfn.IFNA(MATCH(BD65,Achievements[[#All],[Column110]],0)+10,"")</f>
        <v/>
      </c>
      <c r="CE65" s="134" t="str">
        <f>_xlfn.IFNA(MATCH(BE65,Achievements[[#All],[Column111]],0)+10,"")</f>
        <v/>
      </c>
      <c r="CF65" s="134" t="str">
        <f>_xlfn.IFNA(MATCH(BF65,Achievements[[#All],[Column111]],0)+10,"")</f>
        <v/>
      </c>
      <c r="CG65" s="134" t="str">
        <f>_xlfn.IFNA(MATCH(BG65,Achievements[[#All],[Column112]],0)+10,"")</f>
        <v/>
      </c>
      <c r="CH65" s="134" t="str">
        <f>_xlfn.IFNA(MATCH(BH65,Achievements[[#All],[Column112]],0)+10,"")</f>
        <v/>
      </c>
      <c r="CI65" s="134" t="str">
        <f>_xlfn.IFNA(MATCH(BI65,Achievements[[#All],[Column113]],0)+10,"")</f>
        <v/>
      </c>
      <c r="CJ65" s="134" t="str">
        <f>_xlfn.IFNA(MATCH(BJ65,Achievements[[#All],[Column113]],0)+10,"")</f>
        <v/>
      </c>
      <c r="CK65" s="134" t="str">
        <f>_xlfn.IFNA(MATCH(BK65,Achievements[[#All],[Column114]],0)+10,"")</f>
        <v/>
      </c>
      <c r="CL65" s="134" t="str">
        <f>_xlfn.IFNA(MATCH(BL65,Achievements[[#All],[Column114]],0)+10,"")</f>
        <v/>
      </c>
      <c r="CM65" s="134" t="str">
        <f>_xlfn.IFNA(MATCH(BM65,Achievements[[#All],[Column115]],0)+10,"")</f>
        <v/>
      </c>
      <c r="CN65" s="134" t="str">
        <f>_xlfn.IFNA(MATCH(BN65,Achievements[[#All],[Column115]],0)+10,"")</f>
        <v/>
      </c>
      <c r="CO65" s="134" t="str">
        <f>_xlfn.IFNA(MATCH(BO65,Achievements[[#All],[Column116]],0)+10,"")</f>
        <v/>
      </c>
      <c r="CP65" s="134" t="str">
        <f>_xlfn.IFNA(MATCH(BP65,Achievements[[#All],[Column116]],0)+10,"")</f>
        <v/>
      </c>
      <c r="CQ65" s="134" t="str">
        <f>_xlfn.IFNA(MATCH(BQ65,Achievements[[#All],[Column117]],0)+10,"")</f>
        <v/>
      </c>
      <c r="CR65" s="134" t="str">
        <f>_xlfn.IFNA(MATCH(BR65,Achievements[[#All],[Column117]],0)+10,"")</f>
        <v/>
      </c>
      <c r="CS65" s="134" t="str">
        <f>_xlfn.IFNA(MATCH(BS65,Achievements[[#All],[Column118]],0)+10,"")</f>
        <v/>
      </c>
      <c r="CT65" s="134" t="str">
        <f>_xlfn.IFNA(MATCH(BT65,Achievements[[#All],[Column118]],0)+10,"")</f>
        <v/>
      </c>
      <c r="CU65" s="134" t="str">
        <f>_xlfn.IFNA(MATCH(BU65,Achievements[[#All],[Column119]],0)+10,"")</f>
        <v/>
      </c>
      <c r="CV65" s="134" t="str">
        <f>_xlfn.IFNA(MATCH(BV65,Achievements[[#All],[Column119]],0)+10,"")</f>
        <v/>
      </c>
      <c r="CW65" s="134" t="str">
        <f>_xlfn.IFNA(MATCH(BW65,Achievements[[#All],[Column120]],0)+10,"")</f>
        <v/>
      </c>
      <c r="CX65" s="134" t="str">
        <f>_xlfn.IFNA(MATCH(BX65,Achievements[[#All],[Column120]],0)+10,"")</f>
        <v/>
      </c>
      <c r="CY65" s="134" t="str">
        <f>_xlfn.IFNA(MATCH(BY65,Achievements[[#All],[Column121]],0)+10,"")</f>
        <v/>
      </c>
      <c r="CZ65" s="118" t="e">
        <f t="shared" ca="1" si="1"/>
        <v>#NAME?</v>
      </c>
    </row>
    <row r="66" spans="1:104" x14ac:dyDescent="0.25">
      <c r="A66" t="e" cm="1">
        <f t="array" aca="1" ref="A66" ca="1">SplitValues("; ",#REF!)</f>
        <v>#NAME?</v>
      </c>
      <c r="AA66" t="e">
        <f ca="1">_xlfn.IFNA(MATCH(A66,Achievements[[#All],[Column1]],0)+11,"")</f>
        <v>#NAME?</v>
      </c>
      <c r="AB66" s="134" t="str">
        <f>_xlfn.IFNA(MATCH(B66,Achievements[[#All],[Column1]],0)+10,"")</f>
        <v/>
      </c>
      <c r="AC66" s="134" t="str">
        <f>_xlfn.IFNA(MATCH(C66,Achievements[[#All],[Column1]],0)+10,"")</f>
        <v/>
      </c>
      <c r="AD66" s="134" t="str">
        <f>_xlfn.IFNA(MATCH(D66,Achievements[[#All],[Column110]],0)+10,"")</f>
        <v/>
      </c>
      <c r="AE66" s="134" t="str">
        <f>_xlfn.IFNA(MATCH(E66,Achievements[[#All],[Column110]],0)+10,"")</f>
        <v/>
      </c>
      <c r="AF66" s="134" t="str">
        <f>_xlfn.IFNA(MATCH(F66,Achievements[[#All],[Column111]],0)+10,"")</f>
        <v/>
      </c>
      <c r="AG66" s="134" t="str">
        <f>_xlfn.IFNA(MATCH(G66,Achievements[[#All],[Column111]],0)+10,"")</f>
        <v/>
      </c>
      <c r="AH66" s="134" t="str">
        <f>_xlfn.IFNA(MATCH(H66,Achievements[[#All],[Column112]],0)+10,"")</f>
        <v/>
      </c>
      <c r="AI66" s="134" t="str">
        <f>_xlfn.IFNA(MATCH(I66,Achievements[[#All],[Column112]],0)+10,"")</f>
        <v/>
      </c>
      <c r="AJ66" s="134" t="str">
        <f>_xlfn.IFNA(MATCH(J66,Achievements[[#All],[Column113]],0)+10,"")</f>
        <v/>
      </c>
      <c r="AK66" s="134" t="str">
        <f>_xlfn.IFNA(MATCH(K66,Achievements[[#All],[Column113]],0)+10,"")</f>
        <v/>
      </c>
      <c r="AL66" s="134" t="str">
        <f>_xlfn.IFNA(MATCH(L66,Achievements[[#All],[Column114]],0)+10,"")</f>
        <v/>
      </c>
      <c r="AM66" s="134" t="str">
        <f>_xlfn.IFNA(MATCH(M66,Achievements[[#All],[Column114]],0)+10,"")</f>
        <v/>
      </c>
      <c r="AN66" s="134" t="str">
        <f>_xlfn.IFNA(MATCH(N66,Achievements[[#All],[Column115]],0)+10,"")</f>
        <v/>
      </c>
      <c r="AO66" s="134" t="str">
        <f>_xlfn.IFNA(MATCH(O66,Achievements[[#All],[Column115]],0)+10,"")</f>
        <v/>
      </c>
      <c r="AP66" s="134" t="str">
        <f>_xlfn.IFNA(MATCH(P66,Achievements[[#All],[Column116]],0)+10,"")</f>
        <v/>
      </c>
      <c r="AQ66" s="134" t="str">
        <f>_xlfn.IFNA(MATCH(Q66,Achievements[[#All],[Column116]],0)+10,"")</f>
        <v/>
      </c>
      <c r="AR66" s="134" t="str">
        <f>_xlfn.IFNA(MATCH(R66,Achievements[[#All],[Column117]],0)+10,"")</f>
        <v/>
      </c>
      <c r="AS66" s="134" t="str">
        <f>_xlfn.IFNA(MATCH(S66,Achievements[[#All],[Column117]],0)+10,"")</f>
        <v/>
      </c>
      <c r="AT66" s="134" t="str">
        <f>_xlfn.IFNA(MATCH(T66,Achievements[[#All],[Column118]],0)+10,"")</f>
        <v/>
      </c>
      <c r="AU66" s="134" t="str">
        <f>_xlfn.IFNA(MATCH(U66,Achievements[[#All],[Column118]],0)+10,"")</f>
        <v/>
      </c>
      <c r="AV66" s="134" t="str">
        <f>_xlfn.IFNA(MATCH(V66,Achievements[[#All],[Column119]],0)+10,"")</f>
        <v/>
      </c>
      <c r="AW66" s="134" t="str">
        <f>_xlfn.IFNA(MATCH(W66,Achievements[[#All],[Column119]],0)+10,"")</f>
        <v/>
      </c>
      <c r="AX66" s="134" t="str">
        <f>_xlfn.IFNA(MATCH(X66,Achievements[[#All],[Column120]],0)+10,"")</f>
        <v/>
      </c>
      <c r="AY66" s="134" t="str">
        <f>_xlfn.IFNA(MATCH(Y66,Achievements[[#All],[Column120]],0)+10,"")</f>
        <v/>
      </c>
      <c r="AZ66" s="116" t="e">
        <f t="shared" ca="1" si="0"/>
        <v>#NAME?</v>
      </c>
      <c r="BA66" s="134" t="e" cm="1">
        <f t="array" aca="1" ref="BA66" ca="1">SplitValues("; ",Persons[[#This Row],[Column1]])</f>
        <v>#NAME?</v>
      </c>
      <c r="CA66" s="134" t="e">
        <f ca="1">_xlfn.IFNA(MATCH(BA66,Achievements[[#All],[Column1]],0)+10,"")</f>
        <v>#NAME?</v>
      </c>
      <c r="CB66" s="134" t="str">
        <f>_xlfn.IFNA(MATCH(BB66,Achievements[[#All],[Column1]],0)+10,"")</f>
        <v/>
      </c>
      <c r="CC66" s="134" t="str">
        <f>_xlfn.IFNA(MATCH(BC66,Achievements[[#All],[Column110]],0)+10,"")</f>
        <v/>
      </c>
      <c r="CD66" s="134" t="str">
        <f>_xlfn.IFNA(MATCH(BD66,Achievements[[#All],[Column110]],0)+10,"")</f>
        <v/>
      </c>
      <c r="CE66" s="134" t="str">
        <f>_xlfn.IFNA(MATCH(BE66,Achievements[[#All],[Column111]],0)+10,"")</f>
        <v/>
      </c>
      <c r="CF66" s="134" t="str">
        <f>_xlfn.IFNA(MATCH(BF66,Achievements[[#All],[Column111]],0)+10,"")</f>
        <v/>
      </c>
      <c r="CG66" s="134" t="str">
        <f>_xlfn.IFNA(MATCH(BG66,Achievements[[#All],[Column112]],0)+10,"")</f>
        <v/>
      </c>
      <c r="CH66" s="134" t="str">
        <f>_xlfn.IFNA(MATCH(BH66,Achievements[[#All],[Column112]],0)+10,"")</f>
        <v/>
      </c>
      <c r="CI66" s="134" t="str">
        <f>_xlfn.IFNA(MATCH(BI66,Achievements[[#All],[Column113]],0)+10,"")</f>
        <v/>
      </c>
      <c r="CJ66" s="134" t="str">
        <f>_xlfn.IFNA(MATCH(BJ66,Achievements[[#All],[Column113]],0)+10,"")</f>
        <v/>
      </c>
      <c r="CK66" s="134" t="str">
        <f>_xlfn.IFNA(MATCH(BK66,Achievements[[#All],[Column114]],0)+10,"")</f>
        <v/>
      </c>
      <c r="CL66" s="134" t="str">
        <f>_xlfn.IFNA(MATCH(BL66,Achievements[[#All],[Column114]],0)+10,"")</f>
        <v/>
      </c>
      <c r="CM66" s="134" t="str">
        <f>_xlfn.IFNA(MATCH(BM66,Achievements[[#All],[Column115]],0)+10,"")</f>
        <v/>
      </c>
      <c r="CN66" s="134" t="str">
        <f>_xlfn.IFNA(MATCH(BN66,Achievements[[#All],[Column115]],0)+10,"")</f>
        <v/>
      </c>
      <c r="CO66" s="134" t="str">
        <f>_xlfn.IFNA(MATCH(BO66,Achievements[[#All],[Column116]],0)+10,"")</f>
        <v/>
      </c>
      <c r="CP66" s="134" t="str">
        <f>_xlfn.IFNA(MATCH(BP66,Achievements[[#All],[Column116]],0)+10,"")</f>
        <v/>
      </c>
      <c r="CQ66" s="134" t="str">
        <f>_xlfn.IFNA(MATCH(BQ66,Achievements[[#All],[Column117]],0)+10,"")</f>
        <v/>
      </c>
      <c r="CR66" s="134" t="str">
        <f>_xlfn.IFNA(MATCH(BR66,Achievements[[#All],[Column117]],0)+10,"")</f>
        <v/>
      </c>
      <c r="CS66" s="134" t="str">
        <f>_xlfn.IFNA(MATCH(BS66,Achievements[[#All],[Column118]],0)+10,"")</f>
        <v/>
      </c>
      <c r="CT66" s="134" t="str">
        <f>_xlfn.IFNA(MATCH(BT66,Achievements[[#All],[Column118]],0)+10,"")</f>
        <v/>
      </c>
      <c r="CU66" s="134" t="str">
        <f>_xlfn.IFNA(MATCH(BU66,Achievements[[#All],[Column119]],0)+10,"")</f>
        <v/>
      </c>
      <c r="CV66" s="134" t="str">
        <f>_xlfn.IFNA(MATCH(BV66,Achievements[[#All],[Column119]],0)+10,"")</f>
        <v/>
      </c>
      <c r="CW66" s="134" t="str">
        <f>_xlfn.IFNA(MATCH(BW66,Achievements[[#All],[Column120]],0)+10,"")</f>
        <v/>
      </c>
      <c r="CX66" s="134" t="str">
        <f>_xlfn.IFNA(MATCH(BX66,Achievements[[#All],[Column120]],0)+10,"")</f>
        <v/>
      </c>
      <c r="CY66" s="134" t="str">
        <f>_xlfn.IFNA(MATCH(BY66,Achievements[[#All],[Column121]],0)+10,"")</f>
        <v/>
      </c>
      <c r="CZ66" s="118" t="e">
        <f t="shared" ca="1" si="1"/>
        <v>#NAME?</v>
      </c>
    </row>
    <row r="67" spans="1:104" x14ac:dyDescent="0.25">
      <c r="A67" t="e" cm="1">
        <f t="array" aca="1" ref="A67" ca="1">SplitValues("; ",#REF!)</f>
        <v>#NAME?</v>
      </c>
      <c r="AA67" t="e">
        <f ca="1">_xlfn.IFNA(MATCH(A67,Achievements[[#All],[Column1]],0)+11,"")</f>
        <v>#NAME?</v>
      </c>
      <c r="AB67" s="134" t="str">
        <f>_xlfn.IFNA(MATCH(B67,Achievements[[#All],[Column1]],0)+10,"")</f>
        <v/>
      </c>
      <c r="AC67" s="134" t="str">
        <f>_xlfn.IFNA(MATCH(C67,Achievements[[#All],[Column1]],0)+10,"")</f>
        <v/>
      </c>
      <c r="AD67" s="134" t="str">
        <f>_xlfn.IFNA(MATCH(D67,Achievements[[#All],[Column110]],0)+10,"")</f>
        <v/>
      </c>
      <c r="AE67" s="134" t="str">
        <f>_xlfn.IFNA(MATCH(E67,Achievements[[#All],[Column110]],0)+10,"")</f>
        <v/>
      </c>
      <c r="AF67" s="134" t="str">
        <f>_xlfn.IFNA(MATCH(F67,Achievements[[#All],[Column111]],0)+10,"")</f>
        <v/>
      </c>
      <c r="AG67" s="134" t="str">
        <f>_xlfn.IFNA(MATCH(G67,Achievements[[#All],[Column111]],0)+10,"")</f>
        <v/>
      </c>
      <c r="AH67" s="134" t="str">
        <f>_xlfn.IFNA(MATCH(H67,Achievements[[#All],[Column112]],0)+10,"")</f>
        <v/>
      </c>
      <c r="AI67" s="134" t="str">
        <f>_xlfn.IFNA(MATCH(I67,Achievements[[#All],[Column112]],0)+10,"")</f>
        <v/>
      </c>
      <c r="AJ67" s="134" t="str">
        <f>_xlfn.IFNA(MATCH(J67,Achievements[[#All],[Column113]],0)+10,"")</f>
        <v/>
      </c>
      <c r="AK67" s="134" t="str">
        <f>_xlfn.IFNA(MATCH(K67,Achievements[[#All],[Column113]],0)+10,"")</f>
        <v/>
      </c>
      <c r="AL67" s="134" t="str">
        <f>_xlfn.IFNA(MATCH(L67,Achievements[[#All],[Column114]],0)+10,"")</f>
        <v/>
      </c>
      <c r="AM67" s="134" t="str">
        <f>_xlfn.IFNA(MATCH(M67,Achievements[[#All],[Column114]],0)+10,"")</f>
        <v/>
      </c>
      <c r="AN67" s="134" t="str">
        <f>_xlfn.IFNA(MATCH(N67,Achievements[[#All],[Column115]],0)+10,"")</f>
        <v/>
      </c>
      <c r="AO67" s="134" t="str">
        <f>_xlfn.IFNA(MATCH(O67,Achievements[[#All],[Column115]],0)+10,"")</f>
        <v/>
      </c>
      <c r="AP67" s="134" t="str">
        <f>_xlfn.IFNA(MATCH(P67,Achievements[[#All],[Column116]],0)+10,"")</f>
        <v/>
      </c>
      <c r="AQ67" s="134" t="str">
        <f>_xlfn.IFNA(MATCH(Q67,Achievements[[#All],[Column116]],0)+10,"")</f>
        <v/>
      </c>
      <c r="AR67" s="134" t="str">
        <f>_xlfn.IFNA(MATCH(R67,Achievements[[#All],[Column117]],0)+10,"")</f>
        <v/>
      </c>
      <c r="AS67" s="134" t="str">
        <f>_xlfn.IFNA(MATCH(S67,Achievements[[#All],[Column117]],0)+10,"")</f>
        <v/>
      </c>
      <c r="AT67" s="134" t="str">
        <f>_xlfn.IFNA(MATCH(T67,Achievements[[#All],[Column118]],0)+10,"")</f>
        <v/>
      </c>
      <c r="AU67" s="134" t="str">
        <f>_xlfn.IFNA(MATCH(U67,Achievements[[#All],[Column118]],0)+10,"")</f>
        <v/>
      </c>
      <c r="AV67" s="134" t="str">
        <f>_xlfn.IFNA(MATCH(V67,Achievements[[#All],[Column119]],0)+10,"")</f>
        <v/>
      </c>
      <c r="AW67" s="134" t="str">
        <f>_xlfn.IFNA(MATCH(W67,Achievements[[#All],[Column119]],0)+10,"")</f>
        <v/>
      </c>
      <c r="AX67" s="134" t="str">
        <f>_xlfn.IFNA(MATCH(X67,Achievements[[#All],[Column120]],0)+10,"")</f>
        <v/>
      </c>
      <c r="AY67" s="134" t="str">
        <f>_xlfn.IFNA(MATCH(Y67,Achievements[[#All],[Column120]],0)+10,"")</f>
        <v/>
      </c>
      <c r="AZ67" s="116" t="e">
        <f t="shared" ca="1" si="0"/>
        <v>#NAME?</v>
      </c>
      <c r="BA67" s="134" t="e" cm="1">
        <f t="array" aca="1" ref="BA67" ca="1">SplitValues("; ",Persons[[#This Row],[Column1]])</f>
        <v>#NAME?</v>
      </c>
      <c r="CA67" s="134" t="e">
        <f ca="1">_xlfn.IFNA(MATCH(BA67,Achievements[[#All],[Column1]],0)+10,"")</f>
        <v>#NAME?</v>
      </c>
      <c r="CB67" s="134" t="str">
        <f>_xlfn.IFNA(MATCH(BB67,Achievements[[#All],[Column1]],0)+10,"")</f>
        <v/>
      </c>
      <c r="CC67" s="134" t="str">
        <f>_xlfn.IFNA(MATCH(BC67,Achievements[[#All],[Column110]],0)+10,"")</f>
        <v/>
      </c>
      <c r="CD67" s="134" t="str">
        <f>_xlfn.IFNA(MATCH(BD67,Achievements[[#All],[Column110]],0)+10,"")</f>
        <v/>
      </c>
      <c r="CE67" s="134" t="str">
        <f>_xlfn.IFNA(MATCH(BE67,Achievements[[#All],[Column111]],0)+10,"")</f>
        <v/>
      </c>
      <c r="CF67" s="134" t="str">
        <f>_xlfn.IFNA(MATCH(BF67,Achievements[[#All],[Column111]],0)+10,"")</f>
        <v/>
      </c>
      <c r="CG67" s="134" t="str">
        <f>_xlfn.IFNA(MATCH(BG67,Achievements[[#All],[Column112]],0)+10,"")</f>
        <v/>
      </c>
      <c r="CH67" s="134" t="str">
        <f>_xlfn.IFNA(MATCH(BH67,Achievements[[#All],[Column112]],0)+10,"")</f>
        <v/>
      </c>
      <c r="CI67" s="134" t="str">
        <f>_xlfn.IFNA(MATCH(BI67,Achievements[[#All],[Column113]],0)+10,"")</f>
        <v/>
      </c>
      <c r="CJ67" s="134" t="str">
        <f>_xlfn.IFNA(MATCH(BJ67,Achievements[[#All],[Column113]],0)+10,"")</f>
        <v/>
      </c>
      <c r="CK67" s="134" t="str">
        <f>_xlfn.IFNA(MATCH(BK67,Achievements[[#All],[Column114]],0)+10,"")</f>
        <v/>
      </c>
      <c r="CL67" s="134" t="str">
        <f>_xlfn.IFNA(MATCH(BL67,Achievements[[#All],[Column114]],0)+10,"")</f>
        <v/>
      </c>
      <c r="CM67" s="134" t="str">
        <f>_xlfn.IFNA(MATCH(BM67,Achievements[[#All],[Column115]],0)+10,"")</f>
        <v/>
      </c>
      <c r="CN67" s="134" t="str">
        <f>_xlfn.IFNA(MATCH(BN67,Achievements[[#All],[Column115]],0)+10,"")</f>
        <v/>
      </c>
      <c r="CO67" s="134" t="str">
        <f>_xlfn.IFNA(MATCH(BO67,Achievements[[#All],[Column116]],0)+10,"")</f>
        <v/>
      </c>
      <c r="CP67" s="134" t="str">
        <f>_xlfn.IFNA(MATCH(BP67,Achievements[[#All],[Column116]],0)+10,"")</f>
        <v/>
      </c>
      <c r="CQ67" s="134" t="str">
        <f>_xlfn.IFNA(MATCH(BQ67,Achievements[[#All],[Column117]],0)+10,"")</f>
        <v/>
      </c>
      <c r="CR67" s="134" t="str">
        <f>_xlfn.IFNA(MATCH(BR67,Achievements[[#All],[Column117]],0)+10,"")</f>
        <v/>
      </c>
      <c r="CS67" s="134" t="str">
        <f>_xlfn.IFNA(MATCH(BS67,Achievements[[#All],[Column118]],0)+10,"")</f>
        <v/>
      </c>
      <c r="CT67" s="134" t="str">
        <f>_xlfn.IFNA(MATCH(BT67,Achievements[[#All],[Column118]],0)+10,"")</f>
        <v/>
      </c>
      <c r="CU67" s="134" t="str">
        <f>_xlfn.IFNA(MATCH(BU67,Achievements[[#All],[Column119]],0)+10,"")</f>
        <v/>
      </c>
      <c r="CV67" s="134" t="str">
        <f>_xlfn.IFNA(MATCH(BV67,Achievements[[#All],[Column119]],0)+10,"")</f>
        <v/>
      </c>
      <c r="CW67" s="134" t="str">
        <f>_xlfn.IFNA(MATCH(BW67,Achievements[[#All],[Column120]],0)+10,"")</f>
        <v/>
      </c>
      <c r="CX67" s="134" t="str">
        <f>_xlfn.IFNA(MATCH(BX67,Achievements[[#All],[Column120]],0)+10,"")</f>
        <v/>
      </c>
      <c r="CY67" s="134" t="str">
        <f>_xlfn.IFNA(MATCH(BY67,Achievements[[#All],[Column121]],0)+10,"")</f>
        <v/>
      </c>
      <c r="CZ67" s="118" t="e">
        <f t="shared" ca="1" si="1"/>
        <v>#NAME?</v>
      </c>
    </row>
    <row r="68" spans="1:104" x14ac:dyDescent="0.25">
      <c r="A68" t="e" cm="1">
        <f t="array" aca="1" ref="A68" ca="1">SplitValues("; ",#REF!)</f>
        <v>#NAME?</v>
      </c>
      <c r="AA68" t="e">
        <f ca="1">_xlfn.IFNA(MATCH(A68,Achievements[[#All],[Column1]],0)+11,"")</f>
        <v>#NAME?</v>
      </c>
      <c r="AB68" s="134" t="str">
        <f>_xlfn.IFNA(MATCH(B68,Achievements[[#All],[Column1]],0)+10,"")</f>
        <v/>
      </c>
      <c r="AC68" s="134" t="str">
        <f>_xlfn.IFNA(MATCH(C68,Achievements[[#All],[Column1]],0)+10,"")</f>
        <v/>
      </c>
      <c r="AD68" s="134" t="str">
        <f>_xlfn.IFNA(MATCH(D68,Achievements[[#All],[Column110]],0)+10,"")</f>
        <v/>
      </c>
      <c r="AE68" s="134" t="str">
        <f>_xlfn.IFNA(MATCH(E68,Achievements[[#All],[Column110]],0)+10,"")</f>
        <v/>
      </c>
      <c r="AF68" s="134" t="str">
        <f>_xlfn.IFNA(MATCH(F68,Achievements[[#All],[Column111]],0)+10,"")</f>
        <v/>
      </c>
      <c r="AG68" s="134" t="str">
        <f>_xlfn.IFNA(MATCH(G68,Achievements[[#All],[Column111]],0)+10,"")</f>
        <v/>
      </c>
      <c r="AH68" s="134" t="str">
        <f>_xlfn.IFNA(MATCH(H68,Achievements[[#All],[Column112]],0)+10,"")</f>
        <v/>
      </c>
      <c r="AI68" s="134" t="str">
        <f>_xlfn.IFNA(MATCH(I68,Achievements[[#All],[Column112]],0)+10,"")</f>
        <v/>
      </c>
      <c r="AJ68" s="134" t="str">
        <f>_xlfn.IFNA(MATCH(J68,Achievements[[#All],[Column113]],0)+10,"")</f>
        <v/>
      </c>
      <c r="AK68" s="134" t="str">
        <f>_xlfn.IFNA(MATCH(K68,Achievements[[#All],[Column113]],0)+10,"")</f>
        <v/>
      </c>
      <c r="AL68" s="134" t="str">
        <f>_xlfn.IFNA(MATCH(L68,Achievements[[#All],[Column114]],0)+10,"")</f>
        <v/>
      </c>
      <c r="AM68" s="134" t="str">
        <f>_xlfn.IFNA(MATCH(M68,Achievements[[#All],[Column114]],0)+10,"")</f>
        <v/>
      </c>
      <c r="AN68" s="134" t="str">
        <f>_xlfn.IFNA(MATCH(N68,Achievements[[#All],[Column115]],0)+10,"")</f>
        <v/>
      </c>
      <c r="AO68" s="134" t="str">
        <f>_xlfn.IFNA(MATCH(O68,Achievements[[#All],[Column115]],0)+10,"")</f>
        <v/>
      </c>
      <c r="AP68" s="134" t="str">
        <f>_xlfn.IFNA(MATCH(P68,Achievements[[#All],[Column116]],0)+10,"")</f>
        <v/>
      </c>
      <c r="AQ68" s="134" t="str">
        <f>_xlfn.IFNA(MATCH(Q68,Achievements[[#All],[Column116]],0)+10,"")</f>
        <v/>
      </c>
      <c r="AR68" s="134" t="str">
        <f>_xlfn.IFNA(MATCH(R68,Achievements[[#All],[Column117]],0)+10,"")</f>
        <v/>
      </c>
      <c r="AS68" s="134" t="str">
        <f>_xlfn.IFNA(MATCH(S68,Achievements[[#All],[Column117]],0)+10,"")</f>
        <v/>
      </c>
      <c r="AT68" s="134" t="str">
        <f>_xlfn.IFNA(MATCH(T68,Achievements[[#All],[Column118]],0)+10,"")</f>
        <v/>
      </c>
      <c r="AU68" s="134" t="str">
        <f>_xlfn.IFNA(MATCH(U68,Achievements[[#All],[Column118]],0)+10,"")</f>
        <v/>
      </c>
      <c r="AV68" s="134" t="str">
        <f>_xlfn.IFNA(MATCH(V68,Achievements[[#All],[Column119]],0)+10,"")</f>
        <v/>
      </c>
      <c r="AW68" s="134" t="str">
        <f>_xlfn.IFNA(MATCH(W68,Achievements[[#All],[Column119]],0)+10,"")</f>
        <v/>
      </c>
      <c r="AX68" s="134" t="str">
        <f>_xlfn.IFNA(MATCH(X68,Achievements[[#All],[Column120]],0)+10,"")</f>
        <v/>
      </c>
      <c r="AY68" s="134" t="str">
        <f>_xlfn.IFNA(MATCH(Y68,Achievements[[#All],[Column120]],0)+10,"")</f>
        <v/>
      </c>
      <c r="AZ68" s="116" t="e">
        <f t="shared" ca="1" si="0"/>
        <v>#NAME?</v>
      </c>
      <c r="BA68" s="134" t="e" cm="1">
        <f t="array" aca="1" ref="BA68" ca="1">SplitValues("; ",Persons[[#This Row],[Column1]])</f>
        <v>#NAME?</v>
      </c>
      <c r="CA68" s="134" t="e">
        <f ca="1">_xlfn.IFNA(MATCH(BA68,Achievements[[#All],[Column1]],0)+10,"")</f>
        <v>#NAME?</v>
      </c>
      <c r="CB68" s="134" t="str">
        <f>_xlfn.IFNA(MATCH(BB68,Achievements[[#All],[Column1]],0)+10,"")</f>
        <v/>
      </c>
      <c r="CC68" s="134" t="str">
        <f>_xlfn.IFNA(MATCH(BC68,Achievements[[#All],[Column110]],0)+10,"")</f>
        <v/>
      </c>
      <c r="CD68" s="134" t="str">
        <f>_xlfn.IFNA(MATCH(BD68,Achievements[[#All],[Column110]],0)+10,"")</f>
        <v/>
      </c>
      <c r="CE68" s="134" t="str">
        <f>_xlfn.IFNA(MATCH(BE68,Achievements[[#All],[Column111]],0)+10,"")</f>
        <v/>
      </c>
      <c r="CF68" s="134" t="str">
        <f>_xlfn.IFNA(MATCH(BF68,Achievements[[#All],[Column111]],0)+10,"")</f>
        <v/>
      </c>
      <c r="CG68" s="134" t="str">
        <f>_xlfn.IFNA(MATCH(BG68,Achievements[[#All],[Column112]],0)+10,"")</f>
        <v/>
      </c>
      <c r="CH68" s="134" t="str">
        <f>_xlfn.IFNA(MATCH(BH68,Achievements[[#All],[Column112]],0)+10,"")</f>
        <v/>
      </c>
      <c r="CI68" s="134" t="str">
        <f>_xlfn.IFNA(MATCH(BI68,Achievements[[#All],[Column113]],0)+10,"")</f>
        <v/>
      </c>
      <c r="CJ68" s="134" t="str">
        <f>_xlfn.IFNA(MATCH(BJ68,Achievements[[#All],[Column113]],0)+10,"")</f>
        <v/>
      </c>
      <c r="CK68" s="134" t="str">
        <f>_xlfn.IFNA(MATCH(BK68,Achievements[[#All],[Column114]],0)+10,"")</f>
        <v/>
      </c>
      <c r="CL68" s="134" t="str">
        <f>_xlfn.IFNA(MATCH(BL68,Achievements[[#All],[Column114]],0)+10,"")</f>
        <v/>
      </c>
      <c r="CM68" s="134" t="str">
        <f>_xlfn.IFNA(MATCH(BM68,Achievements[[#All],[Column115]],0)+10,"")</f>
        <v/>
      </c>
      <c r="CN68" s="134" t="str">
        <f>_xlfn.IFNA(MATCH(BN68,Achievements[[#All],[Column115]],0)+10,"")</f>
        <v/>
      </c>
      <c r="CO68" s="134" t="str">
        <f>_xlfn.IFNA(MATCH(BO68,Achievements[[#All],[Column116]],0)+10,"")</f>
        <v/>
      </c>
      <c r="CP68" s="134" t="str">
        <f>_xlfn.IFNA(MATCH(BP68,Achievements[[#All],[Column116]],0)+10,"")</f>
        <v/>
      </c>
      <c r="CQ68" s="134" t="str">
        <f>_xlfn.IFNA(MATCH(BQ68,Achievements[[#All],[Column117]],0)+10,"")</f>
        <v/>
      </c>
      <c r="CR68" s="134" t="str">
        <f>_xlfn.IFNA(MATCH(BR68,Achievements[[#All],[Column117]],0)+10,"")</f>
        <v/>
      </c>
      <c r="CS68" s="134" t="str">
        <f>_xlfn.IFNA(MATCH(BS68,Achievements[[#All],[Column118]],0)+10,"")</f>
        <v/>
      </c>
      <c r="CT68" s="134" t="str">
        <f>_xlfn.IFNA(MATCH(BT68,Achievements[[#All],[Column118]],0)+10,"")</f>
        <v/>
      </c>
      <c r="CU68" s="134" t="str">
        <f>_xlfn.IFNA(MATCH(BU68,Achievements[[#All],[Column119]],0)+10,"")</f>
        <v/>
      </c>
      <c r="CV68" s="134" t="str">
        <f>_xlfn.IFNA(MATCH(BV68,Achievements[[#All],[Column119]],0)+10,"")</f>
        <v/>
      </c>
      <c r="CW68" s="134" t="str">
        <f>_xlfn.IFNA(MATCH(BW68,Achievements[[#All],[Column120]],0)+10,"")</f>
        <v/>
      </c>
      <c r="CX68" s="134" t="str">
        <f>_xlfn.IFNA(MATCH(BX68,Achievements[[#All],[Column120]],0)+10,"")</f>
        <v/>
      </c>
      <c r="CY68" s="134" t="str">
        <f>_xlfn.IFNA(MATCH(BY68,Achievements[[#All],[Column121]],0)+10,"")</f>
        <v/>
      </c>
      <c r="CZ68" s="118" t="e">
        <f t="shared" ca="1" si="1"/>
        <v>#NAME?</v>
      </c>
    </row>
    <row r="69" spans="1:104" x14ac:dyDescent="0.25">
      <c r="A69" t="e" cm="1">
        <f t="array" aca="1" ref="A69" ca="1">SplitValues("; ",#REF!)</f>
        <v>#NAME?</v>
      </c>
      <c r="AA69" t="e">
        <f ca="1">_xlfn.IFNA(MATCH(A69,Achievements[[#All],[Column1]],0)+11,"")</f>
        <v>#NAME?</v>
      </c>
      <c r="AB69" s="134" t="str">
        <f>_xlfn.IFNA(MATCH(B69,Achievements[[#All],[Column1]],0)+10,"")</f>
        <v/>
      </c>
      <c r="AC69" s="134" t="str">
        <f>_xlfn.IFNA(MATCH(C69,Achievements[[#All],[Column1]],0)+10,"")</f>
        <v/>
      </c>
      <c r="AD69" s="134" t="str">
        <f>_xlfn.IFNA(MATCH(D69,Achievements[[#All],[Column110]],0)+10,"")</f>
        <v/>
      </c>
      <c r="AE69" s="134" t="str">
        <f>_xlfn.IFNA(MATCH(E69,Achievements[[#All],[Column110]],0)+10,"")</f>
        <v/>
      </c>
      <c r="AF69" s="134" t="str">
        <f>_xlfn.IFNA(MATCH(F69,Achievements[[#All],[Column111]],0)+10,"")</f>
        <v/>
      </c>
      <c r="AG69" s="134" t="str">
        <f>_xlfn.IFNA(MATCH(G69,Achievements[[#All],[Column111]],0)+10,"")</f>
        <v/>
      </c>
      <c r="AH69" s="134" t="str">
        <f>_xlfn.IFNA(MATCH(H69,Achievements[[#All],[Column112]],0)+10,"")</f>
        <v/>
      </c>
      <c r="AI69" s="134" t="str">
        <f>_xlfn.IFNA(MATCH(I69,Achievements[[#All],[Column112]],0)+10,"")</f>
        <v/>
      </c>
      <c r="AJ69" s="134" t="str">
        <f>_xlfn.IFNA(MATCH(J69,Achievements[[#All],[Column113]],0)+10,"")</f>
        <v/>
      </c>
      <c r="AK69" s="134" t="str">
        <f>_xlfn.IFNA(MATCH(K69,Achievements[[#All],[Column113]],0)+10,"")</f>
        <v/>
      </c>
      <c r="AL69" s="134" t="str">
        <f>_xlfn.IFNA(MATCH(L69,Achievements[[#All],[Column114]],0)+10,"")</f>
        <v/>
      </c>
      <c r="AM69" s="134" t="str">
        <f>_xlfn.IFNA(MATCH(M69,Achievements[[#All],[Column114]],0)+10,"")</f>
        <v/>
      </c>
      <c r="AN69" s="134" t="str">
        <f>_xlfn.IFNA(MATCH(N69,Achievements[[#All],[Column115]],0)+10,"")</f>
        <v/>
      </c>
      <c r="AO69" s="134" t="str">
        <f>_xlfn.IFNA(MATCH(O69,Achievements[[#All],[Column115]],0)+10,"")</f>
        <v/>
      </c>
      <c r="AP69" s="134" t="str">
        <f>_xlfn.IFNA(MATCH(P69,Achievements[[#All],[Column116]],0)+10,"")</f>
        <v/>
      </c>
      <c r="AQ69" s="134" t="str">
        <f>_xlfn.IFNA(MATCH(Q69,Achievements[[#All],[Column116]],0)+10,"")</f>
        <v/>
      </c>
      <c r="AR69" s="134" t="str">
        <f>_xlfn.IFNA(MATCH(R69,Achievements[[#All],[Column117]],0)+10,"")</f>
        <v/>
      </c>
      <c r="AS69" s="134" t="str">
        <f>_xlfn.IFNA(MATCH(S69,Achievements[[#All],[Column117]],0)+10,"")</f>
        <v/>
      </c>
      <c r="AT69" s="134" t="str">
        <f>_xlfn.IFNA(MATCH(T69,Achievements[[#All],[Column118]],0)+10,"")</f>
        <v/>
      </c>
      <c r="AU69" s="134" t="str">
        <f>_xlfn.IFNA(MATCH(U69,Achievements[[#All],[Column118]],0)+10,"")</f>
        <v/>
      </c>
      <c r="AV69" s="134" t="str">
        <f>_xlfn.IFNA(MATCH(V69,Achievements[[#All],[Column119]],0)+10,"")</f>
        <v/>
      </c>
      <c r="AW69" s="134" t="str">
        <f>_xlfn.IFNA(MATCH(W69,Achievements[[#All],[Column119]],0)+10,"")</f>
        <v/>
      </c>
      <c r="AX69" s="134" t="str">
        <f>_xlfn.IFNA(MATCH(X69,Achievements[[#All],[Column120]],0)+10,"")</f>
        <v/>
      </c>
      <c r="AY69" s="134" t="str">
        <f>_xlfn.IFNA(MATCH(Y69,Achievements[[#All],[Column120]],0)+10,"")</f>
        <v/>
      </c>
      <c r="AZ69" s="116" t="e">
        <f t="shared" ca="1" si="0"/>
        <v>#NAME?</v>
      </c>
      <c r="BA69" s="134" t="e" cm="1">
        <f t="array" aca="1" ref="BA69" ca="1">SplitValues("; ",Persons[[#This Row],[Column1]])</f>
        <v>#NAME?</v>
      </c>
      <c r="CA69" s="134" t="e">
        <f ca="1">_xlfn.IFNA(MATCH(BA69,Achievements[[#All],[Column1]],0)+10,"")</f>
        <v>#NAME?</v>
      </c>
      <c r="CB69" s="134" t="str">
        <f>_xlfn.IFNA(MATCH(BB69,Achievements[[#All],[Column1]],0)+10,"")</f>
        <v/>
      </c>
      <c r="CC69" s="134" t="str">
        <f>_xlfn.IFNA(MATCH(BC69,Achievements[[#All],[Column110]],0)+10,"")</f>
        <v/>
      </c>
      <c r="CD69" s="134" t="str">
        <f>_xlfn.IFNA(MATCH(BD69,Achievements[[#All],[Column110]],0)+10,"")</f>
        <v/>
      </c>
      <c r="CE69" s="134" t="str">
        <f>_xlfn.IFNA(MATCH(BE69,Achievements[[#All],[Column111]],0)+10,"")</f>
        <v/>
      </c>
      <c r="CF69" s="134" t="str">
        <f>_xlfn.IFNA(MATCH(BF69,Achievements[[#All],[Column111]],0)+10,"")</f>
        <v/>
      </c>
      <c r="CG69" s="134" t="str">
        <f>_xlfn.IFNA(MATCH(BG69,Achievements[[#All],[Column112]],0)+10,"")</f>
        <v/>
      </c>
      <c r="CH69" s="134" t="str">
        <f>_xlfn.IFNA(MATCH(BH69,Achievements[[#All],[Column112]],0)+10,"")</f>
        <v/>
      </c>
      <c r="CI69" s="134" t="str">
        <f>_xlfn.IFNA(MATCH(BI69,Achievements[[#All],[Column113]],0)+10,"")</f>
        <v/>
      </c>
      <c r="CJ69" s="134" t="str">
        <f>_xlfn.IFNA(MATCH(BJ69,Achievements[[#All],[Column113]],0)+10,"")</f>
        <v/>
      </c>
      <c r="CK69" s="134" t="str">
        <f>_xlfn.IFNA(MATCH(BK69,Achievements[[#All],[Column114]],0)+10,"")</f>
        <v/>
      </c>
      <c r="CL69" s="134" t="str">
        <f>_xlfn.IFNA(MATCH(BL69,Achievements[[#All],[Column114]],0)+10,"")</f>
        <v/>
      </c>
      <c r="CM69" s="134" t="str">
        <f>_xlfn.IFNA(MATCH(BM69,Achievements[[#All],[Column115]],0)+10,"")</f>
        <v/>
      </c>
      <c r="CN69" s="134" t="str">
        <f>_xlfn.IFNA(MATCH(BN69,Achievements[[#All],[Column115]],0)+10,"")</f>
        <v/>
      </c>
      <c r="CO69" s="134" t="str">
        <f>_xlfn.IFNA(MATCH(BO69,Achievements[[#All],[Column116]],0)+10,"")</f>
        <v/>
      </c>
      <c r="CP69" s="134" t="str">
        <f>_xlfn.IFNA(MATCH(BP69,Achievements[[#All],[Column116]],0)+10,"")</f>
        <v/>
      </c>
      <c r="CQ69" s="134" t="str">
        <f>_xlfn.IFNA(MATCH(BQ69,Achievements[[#All],[Column117]],0)+10,"")</f>
        <v/>
      </c>
      <c r="CR69" s="134" t="str">
        <f>_xlfn.IFNA(MATCH(BR69,Achievements[[#All],[Column117]],0)+10,"")</f>
        <v/>
      </c>
      <c r="CS69" s="134" t="str">
        <f>_xlfn.IFNA(MATCH(BS69,Achievements[[#All],[Column118]],0)+10,"")</f>
        <v/>
      </c>
      <c r="CT69" s="134" t="str">
        <f>_xlfn.IFNA(MATCH(BT69,Achievements[[#All],[Column118]],0)+10,"")</f>
        <v/>
      </c>
      <c r="CU69" s="134" t="str">
        <f>_xlfn.IFNA(MATCH(BU69,Achievements[[#All],[Column119]],0)+10,"")</f>
        <v/>
      </c>
      <c r="CV69" s="134" t="str">
        <f>_xlfn.IFNA(MATCH(BV69,Achievements[[#All],[Column119]],0)+10,"")</f>
        <v/>
      </c>
      <c r="CW69" s="134" t="str">
        <f>_xlfn.IFNA(MATCH(BW69,Achievements[[#All],[Column120]],0)+10,"")</f>
        <v/>
      </c>
      <c r="CX69" s="134" t="str">
        <f>_xlfn.IFNA(MATCH(BX69,Achievements[[#All],[Column120]],0)+10,"")</f>
        <v/>
      </c>
      <c r="CY69" s="134" t="str">
        <f>_xlfn.IFNA(MATCH(BY69,Achievements[[#All],[Column121]],0)+10,"")</f>
        <v/>
      </c>
      <c r="CZ69" s="118" t="e">
        <f t="shared" ca="1" si="1"/>
        <v>#NAME?</v>
      </c>
    </row>
    <row r="70" spans="1:104" x14ac:dyDescent="0.25">
      <c r="A70" t="e" cm="1">
        <f t="array" aca="1" ref="A70" ca="1">SplitValues("; ",#REF!)</f>
        <v>#NAME?</v>
      </c>
      <c r="AA70" t="e">
        <f ca="1">_xlfn.IFNA(MATCH(A70,Achievements[[#All],[Column1]],0)+11,"")</f>
        <v>#NAME?</v>
      </c>
      <c r="AB70" s="134" t="str">
        <f>_xlfn.IFNA(MATCH(B70,Achievements[[#All],[Column1]],0)+10,"")</f>
        <v/>
      </c>
      <c r="AC70" s="134" t="str">
        <f>_xlfn.IFNA(MATCH(C70,Achievements[[#All],[Column1]],0)+10,"")</f>
        <v/>
      </c>
      <c r="AD70" s="134" t="str">
        <f>_xlfn.IFNA(MATCH(D70,Achievements[[#All],[Column110]],0)+10,"")</f>
        <v/>
      </c>
      <c r="AE70" s="134" t="str">
        <f>_xlfn.IFNA(MATCH(E70,Achievements[[#All],[Column110]],0)+10,"")</f>
        <v/>
      </c>
      <c r="AF70" s="134" t="str">
        <f>_xlfn.IFNA(MATCH(F70,Achievements[[#All],[Column111]],0)+10,"")</f>
        <v/>
      </c>
      <c r="AG70" s="134" t="str">
        <f>_xlfn.IFNA(MATCH(G70,Achievements[[#All],[Column111]],0)+10,"")</f>
        <v/>
      </c>
      <c r="AH70" s="134" t="str">
        <f>_xlfn.IFNA(MATCH(H70,Achievements[[#All],[Column112]],0)+10,"")</f>
        <v/>
      </c>
      <c r="AI70" s="134" t="str">
        <f>_xlfn.IFNA(MATCH(I70,Achievements[[#All],[Column112]],0)+10,"")</f>
        <v/>
      </c>
      <c r="AJ70" s="134" t="str">
        <f>_xlfn.IFNA(MATCH(J70,Achievements[[#All],[Column113]],0)+10,"")</f>
        <v/>
      </c>
      <c r="AK70" s="134" t="str">
        <f>_xlfn.IFNA(MATCH(K70,Achievements[[#All],[Column113]],0)+10,"")</f>
        <v/>
      </c>
      <c r="AL70" s="134" t="str">
        <f>_xlfn.IFNA(MATCH(L70,Achievements[[#All],[Column114]],0)+10,"")</f>
        <v/>
      </c>
      <c r="AM70" s="134" t="str">
        <f>_xlfn.IFNA(MATCH(M70,Achievements[[#All],[Column114]],0)+10,"")</f>
        <v/>
      </c>
      <c r="AN70" s="134" t="str">
        <f>_xlfn.IFNA(MATCH(N70,Achievements[[#All],[Column115]],0)+10,"")</f>
        <v/>
      </c>
      <c r="AO70" s="134" t="str">
        <f>_xlfn.IFNA(MATCH(O70,Achievements[[#All],[Column115]],0)+10,"")</f>
        <v/>
      </c>
      <c r="AP70" s="134" t="str">
        <f>_xlfn.IFNA(MATCH(P70,Achievements[[#All],[Column116]],0)+10,"")</f>
        <v/>
      </c>
      <c r="AQ70" s="134" t="str">
        <f>_xlfn.IFNA(MATCH(Q70,Achievements[[#All],[Column116]],0)+10,"")</f>
        <v/>
      </c>
      <c r="AR70" s="134" t="str">
        <f>_xlfn.IFNA(MATCH(R70,Achievements[[#All],[Column117]],0)+10,"")</f>
        <v/>
      </c>
      <c r="AS70" s="134" t="str">
        <f>_xlfn.IFNA(MATCH(S70,Achievements[[#All],[Column117]],0)+10,"")</f>
        <v/>
      </c>
      <c r="AT70" s="134" t="str">
        <f>_xlfn.IFNA(MATCH(T70,Achievements[[#All],[Column118]],0)+10,"")</f>
        <v/>
      </c>
      <c r="AU70" s="134" t="str">
        <f>_xlfn.IFNA(MATCH(U70,Achievements[[#All],[Column118]],0)+10,"")</f>
        <v/>
      </c>
      <c r="AV70" s="134" t="str">
        <f>_xlfn.IFNA(MATCH(V70,Achievements[[#All],[Column119]],0)+10,"")</f>
        <v/>
      </c>
      <c r="AW70" s="134" t="str">
        <f>_xlfn.IFNA(MATCH(W70,Achievements[[#All],[Column119]],0)+10,"")</f>
        <v/>
      </c>
      <c r="AX70" s="134" t="str">
        <f>_xlfn.IFNA(MATCH(X70,Achievements[[#All],[Column120]],0)+10,"")</f>
        <v/>
      </c>
      <c r="AY70" s="134" t="str">
        <f>_xlfn.IFNA(MATCH(Y70,Achievements[[#All],[Column120]],0)+10,"")</f>
        <v/>
      </c>
      <c r="AZ70" s="116" t="e">
        <f t="shared" ca="1" si="0"/>
        <v>#NAME?</v>
      </c>
      <c r="BA70" s="134" t="e" cm="1">
        <f t="array" aca="1" ref="BA70" ca="1">SplitValues("; ",Persons[[#This Row],[Column1]])</f>
        <v>#NAME?</v>
      </c>
      <c r="CA70" s="134" t="e">
        <f ca="1">_xlfn.IFNA(MATCH(BA70,Achievements[[#All],[Column1]],0)+10,"")</f>
        <v>#NAME?</v>
      </c>
      <c r="CB70" s="134" t="str">
        <f>_xlfn.IFNA(MATCH(BB70,Achievements[[#All],[Column1]],0)+10,"")</f>
        <v/>
      </c>
      <c r="CC70" s="134" t="str">
        <f>_xlfn.IFNA(MATCH(BC70,Achievements[[#All],[Column110]],0)+10,"")</f>
        <v/>
      </c>
      <c r="CD70" s="134" t="str">
        <f>_xlfn.IFNA(MATCH(BD70,Achievements[[#All],[Column110]],0)+10,"")</f>
        <v/>
      </c>
      <c r="CE70" s="134" t="str">
        <f>_xlfn.IFNA(MATCH(BE70,Achievements[[#All],[Column111]],0)+10,"")</f>
        <v/>
      </c>
      <c r="CF70" s="134" t="str">
        <f>_xlfn.IFNA(MATCH(BF70,Achievements[[#All],[Column111]],0)+10,"")</f>
        <v/>
      </c>
      <c r="CG70" s="134" t="str">
        <f>_xlfn.IFNA(MATCH(BG70,Achievements[[#All],[Column112]],0)+10,"")</f>
        <v/>
      </c>
      <c r="CH70" s="134" t="str">
        <f>_xlfn.IFNA(MATCH(BH70,Achievements[[#All],[Column112]],0)+10,"")</f>
        <v/>
      </c>
      <c r="CI70" s="134" t="str">
        <f>_xlfn.IFNA(MATCH(BI70,Achievements[[#All],[Column113]],0)+10,"")</f>
        <v/>
      </c>
      <c r="CJ70" s="134" t="str">
        <f>_xlfn.IFNA(MATCH(BJ70,Achievements[[#All],[Column113]],0)+10,"")</f>
        <v/>
      </c>
      <c r="CK70" s="134" t="str">
        <f>_xlfn.IFNA(MATCH(BK70,Achievements[[#All],[Column114]],0)+10,"")</f>
        <v/>
      </c>
      <c r="CL70" s="134" t="str">
        <f>_xlfn.IFNA(MATCH(BL70,Achievements[[#All],[Column114]],0)+10,"")</f>
        <v/>
      </c>
      <c r="CM70" s="134" t="str">
        <f>_xlfn.IFNA(MATCH(BM70,Achievements[[#All],[Column115]],0)+10,"")</f>
        <v/>
      </c>
      <c r="CN70" s="134" t="str">
        <f>_xlfn.IFNA(MATCH(BN70,Achievements[[#All],[Column115]],0)+10,"")</f>
        <v/>
      </c>
      <c r="CO70" s="134" t="str">
        <f>_xlfn.IFNA(MATCH(BO70,Achievements[[#All],[Column116]],0)+10,"")</f>
        <v/>
      </c>
      <c r="CP70" s="134" t="str">
        <f>_xlfn.IFNA(MATCH(BP70,Achievements[[#All],[Column116]],0)+10,"")</f>
        <v/>
      </c>
      <c r="CQ70" s="134" t="str">
        <f>_xlfn.IFNA(MATCH(BQ70,Achievements[[#All],[Column117]],0)+10,"")</f>
        <v/>
      </c>
      <c r="CR70" s="134" t="str">
        <f>_xlfn.IFNA(MATCH(BR70,Achievements[[#All],[Column117]],0)+10,"")</f>
        <v/>
      </c>
      <c r="CS70" s="134" t="str">
        <f>_xlfn.IFNA(MATCH(BS70,Achievements[[#All],[Column118]],0)+10,"")</f>
        <v/>
      </c>
      <c r="CT70" s="134" t="str">
        <f>_xlfn.IFNA(MATCH(BT70,Achievements[[#All],[Column118]],0)+10,"")</f>
        <v/>
      </c>
      <c r="CU70" s="134" t="str">
        <f>_xlfn.IFNA(MATCH(BU70,Achievements[[#All],[Column119]],0)+10,"")</f>
        <v/>
      </c>
      <c r="CV70" s="134" t="str">
        <f>_xlfn.IFNA(MATCH(BV70,Achievements[[#All],[Column119]],0)+10,"")</f>
        <v/>
      </c>
      <c r="CW70" s="134" t="str">
        <f>_xlfn.IFNA(MATCH(BW70,Achievements[[#All],[Column120]],0)+10,"")</f>
        <v/>
      </c>
      <c r="CX70" s="134" t="str">
        <f>_xlfn.IFNA(MATCH(BX70,Achievements[[#All],[Column120]],0)+10,"")</f>
        <v/>
      </c>
      <c r="CY70" s="134" t="str">
        <f>_xlfn.IFNA(MATCH(BY70,Achievements[[#All],[Column121]],0)+10,"")</f>
        <v/>
      </c>
      <c r="CZ70" s="118" t="e">
        <f t="shared" ca="1" si="1"/>
        <v>#NAME?</v>
      </c>
    </row>
    <row r="71" spans="1:104" x14ac:dyDescent="0.25">
      <c r="A71" t="e" cm="1">
        <f t="array" aca="1" ref="A71" ca="1">SplitValues("; ",#REF!)</f>
        <v>#NAME?</v>
      </c>
      <c r="AA71" t="e">
        <f ca="1">_xlfn.IFNA(MATCH(A71,Achievements[[#All],[Column1]],0)+11,"")</f>
        <v>#NAME?</v>
      </c>
      <c r="AB71" s="134" t="str">
        <f>_xlfn.IFNA(MATCH(B71,Achievements[[#All],[Column1]],0)+10,"")</f>
        <v/>
      </c>
      <c r="AC71" s="134" t="str">
        <f>_xlfn.IFNA(MATCH(C71,Achievements[[#All],[Column1]],0)+10,"")</f>
        <v/>
      </c>
      <c r="AD71" s="134" t="str">
        <f>_xlfn.IFNA(MATCH(D71,Achievements[[#All],[Column110]],0)+10,"")</f>
        <v/>
      </c>
      <c r="AE71" s="134" t="str">
        <f>_xlfn.IFNA(MATCH(E71,Achievements[[#All],[Column110]],0)+10,"")</f>
        <v/>
      </c>
      <c r="AF71" s="134" t="str">
        <f>_xlfn.IFNA(MATCH(F71,Achievements[[#All],[Column111]],0)+10,"")</f>
        <v/>
      </c>
      <c r="AG71" s="134" t="str">
        <f>_xlfn.IFNA(MATCH(G71,Achievements[[#All],[Column111]],0)+10,"")</f>
        <v/>
      </c>
      <c r="AH71" s="134" t="str">
        <f>_xlfn.IFNA(MATCH(H71,Achievements[[#All],[Column112]],0)+10,"")</f>
        <v/>
      </c>
      <c r="AI71" s="134" t="str">
        <f>_xlfn.IFNA(MATCH(I71,Achievements[[#All],[Column112]],0)+10,"")</f>
        <v/>
      </c>
      <c r="AJ71" s="134" t="str">
        <f>_xlfn.IFNA(MATCH(J71,Achievements[[#All],[Column113]],0)+10,"")</f>
        <v/>
      </c>
      <c r="AK71" s="134" t="str">
        <f>_xlfn.IFNA(MATCH(K71,Achievements[[#All],[Column113]],0)+10,"")</f>
        <v/>
      </c>
      <c r="AL71" s="134" t="str">
        <f>_xlfn.IFNA(MATCH(L71,Achievements[[#All],[Column114]],0)+10,"")</f>
        <v/>
      </c>
      <c r="AM71" s="134" t="str">
        <f>_xlfn.IFNA(MATCH(M71,Achievements[[#All],[Column114]],0)+10,"")</f>
        <v/>
      </c>
      <c r="AN71" s="134" t="str">
        <f>_xlfn.IFNA(MATCH(N71,Achievements[[#All],[Column115]],0)+10,"")</f>
        <v/>
      </c>
      <c r="AO71" s="134" t="str">
        <f>_xlfn.IFNA(MATCH(O71,Achievements[[#All],[Column115]],0)+10,"")</f>
        <v/>
      </c>
      <c r="AP71" s="134" t="str">
        <f>_xlfn.IFNA(MATCH(P71,Achievements[[#All],[Column116]],0)+10,"")</f>
        <v/>
      </c>
      <c r="AQ71" s="134" t="str">
        <f>_xlfn.IFNA(MATCH(Q71,Achievements[[#All],[Column116]],0)+10,"")</f>
        <v/>
      </c>
      <c r="AR71" s="134" t="str">
        <f>_xlfn.IFNA(MATCH(R71,Achievements[[#All],[Column117]],0)+10,"")</f>
        <v/>
      </c>
      <c r="AS71" s="134" t="str">
        <f>_xlfn.IFNA(MATCH(S71,Achievements[[#All],[Column117]],0)+10,"")</f>
        <v/>
      </c>
      <c r="AT71" s="134" t="str">
        <f>_xlfn.IFNA(MATCH(T71,Achievements[[#All],[Column118]],0)+10,"")</f>
        <v/>
      </c>
      <c r="AU71" s="134" t="str">
        <f>_xlfn.IFNA(MATCH(U71,Achievements[[#All],[Column118]],0)+10,"")</f>
        <v/>
      </c>
      <c r="AV71" s="134" t="str">
        <f>_xlfn.IFNA(MATCH(V71,Achievements[[#All],[Column119]],0)+10,"")</f>
        <v/>
      </c>
      <c r="AW71" s="134" t="str">
        <f>_xlfn.IFNA(MATCH(W71,Achievements[[#All],[Column119]],0)+10,"")</f>
        <v/>
      </c>
      <c r="AX71" s="134" t="str">
        <f>_xlfn.IFNA(MATCH(X71,Achievements[[#All],[Column120]],0)+10,"")</f>
        <v/>
      </c>
      <c r="AY71" s="134" t="str">
        <f>_xlfn.IFNA(MATCH(Y71,Achievements[[#All],[Column120]],0)+10,"")</f>
        <v/>
      </c>
      <c r="AZ71" s="116" t="e">
        <f t="shared" ca="1" si="0"/>
        <v>#NAME?</v>
      </c>
      <c r="BA71" s="134" t="e" cm="1">
        <f t="array" aca="1" ref="BA71" ca="1">SplitValues("; ",Persons[[#This Row],[Column1]])</f>
        <v>#NAME?</v>
      </c>
      <c r="CA71" s="134" t="e">
        <f ca="1">_xlfn.IFNA(MATCH(BA71,Achievements[[#All],[Column1]],0)+10,"")</f>
        <v>#NAME?</v>
      </c>
      <c r="CB71" s="134" t="str">
        <f>_xlfn.IFNA(MATCH(BB71,Achievements[[#All],[Column1]],0)+10,"")</f>
        <v/>
      </c>
      <c r="CC71" s="134" t="str">
        <f>_xlfn.IFNA(MATCH(BC71,Achievements[[#All],[Column110]],0)+10,"")</f>
        <v/>
      </c>
      <c r="CD71" s="134" t="str">
        <f>_xlfn.IFNA(MATCH(BD71,Achievements[[#All],[Column110]],0)+10,"")</f>
        <v/>
      </c>
      <c r="CE71" s="134" t="str">
        <f>_xlfn.IFNA(MATCH(BE71,Achievements[[#All],[Column111]],0)+10,"")</f>
        <v/>
      </c>
      <c r="CF71" s="134" t="str">
        <f>_xlfn.IFNA(MATCH(BF71,Achievements[[#All],[Column111]],0)+10,"")</f>
        <v/>
      </c>
      <c r="CG71" s="134" t="str">
        <f>_xlfn.IFNA(MATCH(BG71,Achievements[[#All],[Column112]],0)+10,"")</f>
        <v/>
      </c>
      <c r="CH71" s="134" t="str">
        <f>_xlfn.IFNA(MATCH(BH71,Achievements[[#All],[Column112]],0)+10,"")</f>
        <v/>
      </c>
      <c r="CI71" s="134" t="str">
        <f>_xlfn.IFNA(MATCH(BI71,Achievements[[#All],[Column113]],0)+10,"")</f>
        <v/>
      </c>
      <c r="CJ71" s="134" t="str">
        <f>_xlfn.IFNA(MATCH(BJ71,Achievements[[#All],[Column113]],0)+10,"")</f>
        <v/>
      </c>
      <c r="CK71" s="134" t="str">
        <f>_xlfn.IFNA(MATCH(BK71,Achievements[[#All],[Column114]],0)+10,"")</f>
        <v/>
      </c>
      <c r="CL71" s="134" t="str">
        <f>_xlfn.IFNA(MATCH(BL71,Achievements[[#All],[Column114]],0)+10,"")</f>
        <v/>
      </c>
      <c r="CM71" s="134" t="str">
        <f>_xlfn.IFNA(MATCH(BM71,Achievements[[#All],[Column115]],0)+10,"")</f>
        <v/>
      </c>
      <c r="CN71" s="134" t="str">
        <f>_xlfn.IFNA(MATCH(BN71,Achievements[[#All],[Column115]],0)+10,"")</f>
        <v/>
      </c>
      <c r="CO71" s="134" t="str">
        <f>_xlfn.IFNA(MATCH(BO71,Achievements[[#All],[Column116]],0)+10,"")</f>
        <v/>
      </c>
      <c r="CP71" s="134" t="str">
        <f>_xlfn.IFNA(MATCH(BP71,Achievements[[#All],[Column116]],0)+10,"")</f>
        <v/>
      </c>
      <c r="CQ71" s="134" t="str">
        <f>_xlfn.IFNA(MATCH(BQ71,Achievements[[#All],[Column117]],0)+10,"")</f>
        <v/>
      </c>
      <c r="CR71" s="134" t="str">
        <f>_xlfn.IFNA(MATCH(BR71,Achievements[[#All],[Column117]],0)+10,"")</f>
        <v/>
      </c>
      <c r="CS71" s="134" t="str">
        <f>_xlfn.IFNA(MATCH(BS71,Achievements[[#All],[Column118]],0)+10,"")</f>
        <v/>
      </c>
      <c r="CT71" s="134" t="str">
        <f>_xlfn.IFNA(MATCH(BT71,Achievements[[#All],[Column118]],0)+10,"")</f>
        <v/>
      </c>
      <c r="CU71" s="134" t="str">
        <f>_xlfn.IFNA(MATCH(BU71,Achievements[[#All],[Column119]],0)+10,"")</f>
        <v/>
      </c>
      <c r="CV71" s="134" t="str">
        <f>_xlfn.IFNA(MATCH(BV71,Achievements[[#All],[Column119]],0)+10,"")</f>
        <v/>
      </c>
      <c r="CW71" s="134" t="str">
        <f>_xlfn.IFNA(MATCH(BW71,Achievements[[#All],[Column120]],0)+10,"")</f>
        <v/>
      </c>
      <c r="CX71" s="134" t="str">
        <f>_xlfn.IFNA(MATCH(BX71,Achievements[[#All],[Column120]],0)+10,"")</f>
        <v/>
      </c>
      <c r="CY71" s="134" t="str">
        <f>_xlfn.IFNA(MATCH(BY71,Achievements[[#All],[Column121]],0)+10,"")</f>
        <v/>
      </c>
      <c r="CZ71" s="118" t="e">
        <f t="shared" ca="1" si="1"/>
        <v>#NAME?</v>
      </c>
    </row>
    <row r="72" spans="1:104" x14ac:dyDescent="0.25">
      <c r="A72" t="e" cm="1">
        <f t="array" aca="1" ref="A72" ca="1">SplitValues("; ",#REF!)</f>
        <v>#NAME?</v>
      </c>
      <c r="AA72" t="e">
        <f ca="1">_xlfn.IFNA(MATCH(A72,Achievements[[#All],[Column1]],0)+11,"")</f>
        <v>#NAME?</v>
      </c>
      <c r="AB72" s="134" t="str">
        <f>_xlfn.IFNA(MATCH(B72,Achievements[[#All],[Column1]],0)+10,"")</f>
        <v/>
      </c>
      <c r="AC72" s="134" t="str">
        <f>_xlfn.IFNA(MATCH(C72,Achievements[[#All],[Column1]],0)+10,"")</f>
        <v/>
      </c>
      <c r="AD72" s="134" t="str">
        <f>_xlfn.IFNA(MATCH(D72,Achievements[[#All],[Column110]],0)+10,"")</f>
        <v/>
      </c>
      <c r="AE72" s="134" t="str">
        <f>_xlfn.IFNA(MATCH(E72,Achievements[[#All],[Column110]],0)+10,"")</f>
        <v/>
      </c>
      <c r="AF72" s="134" t="str">
        <f>_xlfn.IFNA(MATCH(F72,Achievements[[#All],[Column111]],0)+10,"")</f>
        <v/>
      </c>
      <c r="AG72" s="134" t="str">
        <f>_xlfn.IFNA(MATCH(G72,Achievements[[#All],[Column111]],0)+10,"")</f>
        <v/>
      </c>
      <c r="AH72" s="134" t="str">
        <f>_xlfn.IFNA(MATCH(H72,Achievements[[#All],[Column112]],0)+10,"")</f>
        <v/>
      </c>
      <c r="AI72" s="134" t="str">
        <f>_xlfn.IFNA(MATCH(I72,Achievements[[#All],[Column112]],0)+10,"")</f>
        <v/>
      </c>
      <c r="AJ72" s="134" t="str">
        <f>_xlfn.IFNA(MATCH(J72,Achievements[[#All],[Column113]],0)+10,"")</f>
        <v/>
      </c>
      <c r="AK72" s="134" t="str">
        <f>_xlfn.IFNA(MATCH(K72,Achievements[[#All],[Column113]],0)+10,"")</f>
        <v/>
      </c>
      <c r="AL72" s="134" t="str">
        <f>_xlfn.IFNA(MATCH(L72,Achievements[[#All],[Column114]],0)+10,"")</f>
        <v/>
      </c>
      <c r="AM72" s="134" t="str">
        <f>_xlfn.IFNA(MATCH(M72,Achievements[[#All],[Column114]],0)+10,"")</f>
        <v/>
      </c>
      <c r="AN72" s="134" t="str">
        <f>_xlfn.IFNA(MATCH(N72,Achievements[[#All],[Column115]],0)+10,"")</f>
        <v/>
      </c>
      <c r="AO72" s="134" t="str">
        <f>_xlfn.IFNA(MATCH(O72,Achievements[[#All],[Column115]],0)+10,"")</f>
        <v/>
      </c>
      <c r="AP72" s="134" t="str">
        <f>_xlfn.IFNA(MATCH(P72,Achievements[[#All],[Column116]],0)+10,"")</f>
        <v/>
      </c>
      <c r="AQ72" s="134" t="str">
        <f>_xlfn.IFNA(MATCH(Q72,Achievements[[#All],[Column116]],0)+10,"")</f>
        <v/>
      </c>
      <c r="AR72" s="134" t="str">
        <f>_xlfn.IFNA(MATCH(R72,Achievements[[#All],[Column117]],0)+10,"")</f>
        <v/>
      </c>
      <c r="AS72" s="134" t="str">
        <f>_xlfn.IFNA(MATCH(S72,Achievements[[#All],[Column117]],0)+10,"")</f>
        <v/>
      </c>
      <c r="AT72" s="134" t="str">
        <f>_xlfn.IFNA(MATCH(T72,Achievements[[#All],[Column118]],0)+10,"")</f>
        <v/>
      </c>
      <c r="AU72" s="134" t="str">
        <f>_xlfn.IFNA(MATCH(U72,Achievements[[#All],[Column118]],0)+10,"")</f>
        <v/>
      </c>
      <c r="AV72" s="134" t="str">
        <f>_xlfn.IFNA(MATCH(V72,Achievements[[#All],[Column119]],0)+10,"")</f>
        <v/>
      </c>
      <c r="AW72" s="134" t="str">
        <f>_xlfn.IFNA(MATCH(W72,Achievements[[#All],[Column119]],0)+10,"")</f>
        <v/>
      </c>
      <c r="AX72" s="134" t="str">
        <f>_xlfn.IFNA(MATCH(X72,Achievements[[#All],[Column120]],0)+10,"")</f>
        <v/>
      </c>
      <c r="AY72" s="134" t="str">
        <f>_xlfn.IFNA(MATCH(Y72,Achievements[[#All],[Column120]],0)+10,"")</f>
        <v/>
      </c>
      <c r="AZ72" s="116" t="e">
        <f t="shared" ca="1" si="0"/>
        <v>#NAME?</v>
      </c>
      <c r="BA72" s="134" t="e" cm="1">
        <f t="array" aca="1" ref="BA72" ca="1">SplitValues("; ",Persons[[#This Row],[Column1]])</f>
        <v>#NAME?</v>
      </c>
      <c r="CA72" s="134" t="e">
        <f ca="1">_xlfn.IFNA(MATCH(BA72,Achievements[[#All],[Column1]],0)+10,"")</f>
        <v>#NAME?</v>
      </c>
      <c r="CB72" s="134" t="str">
        <f>_xlfn.IFNA(MATCH(BB72,Achievements[[#All],[Column1]],0)+10,"")</f>
        <v/>
      </c>
      <c r="CC72" s="134" t="str">
        <f>_xlfn.IFNA(MATCH(BC72,Achievements[[#All],[Column110]],0)+10,"")</f>
        <v/>
      </c>
      <c r="CD72" s="134" t="str">
        <f>_xlfn.IFNA(MATCH(BD72,Achievements[[#All],[Column110]],0)+10,"")</f>
        <v/>
      </c>
      <c r="CE72" s="134" t="str">
        <f>_xlfn.IFNA(MATCH(BE72,Achievements[[#All],[Column111]],0)+10,"")</f>
        <v/>
      </c>
      <c r="CF72" s="134" t="str">
        <f>_xlfn.IFNA(MATCH(BF72,Achievements[[#All],[Column111]],0)+10,"")</f>
        <v/>
      </c>
      <c r="CG72" s="134" t="str">
        <f>_xlfn.IFNA(MATCH(BG72,Achievements[[#All],[Column112]],0)+10,"")</f>
        <v/>
      </c>
      <c r="CH72" s="134" t="str">
        <f>_xlfn.IFNA(MATCH(BH72,Achievements[[#All],[Column112]],0)+10,"")</f>
        <v/>
      </c>
      <c r="CI72" s="134" t="str">
        <f>_xlfn.IFNA(MATCH(BI72,Achievements[[#All],[Column113]],0)+10,"")</f>
        <v/>
      </c>
      <c r="CJ72" s="134" t="str">
        <f>_xlfn.IFNA(MATCH(BJ72,Achievements[[#All],[Column113]],0)+10,"")</f>
        <v/>
      </c>
      <c r="CK72" s="134" t="str">
        <f>_xlfn.IFNA(MATCH(BK72,Achievements[[#All],[Column114]],0)+10,"")</f>
        <v/>
      </c>
      <c r="CL72" s="134" t="str">
        <f>_xlfn.IFNA(MATCH(BL72,Achievements[[#All],[Column114]],0)+10,"")</f>
        <v/>
      </c>
      <c r="CM72" s="134" t="str">
        <f>_xlfn.IFNA(MATCH(BM72,Achievements[[#All],[Column115]],0)+10,"")</f>
        <v/>
      </c>
      <c r="CN72" s="134" t="str">
        <f>_xlfn.IFNA(MATCH(BN72,Achievements[[#All],[Column115]],0)+10,"")</f>
        <v/>
      </c>
      <c r="CO72" s="134" t="str">
        <f>_xlfn.IFNA(MATCH(BO72,Achievements[[#All],[Column116]],0)+10,"")</f>
        <v/>
      </c>
      <c r="CP72" s="134" t="str">
        <f>_xlfn.IFNA(MATCH(BP72,Achievements[[#All],[Column116]],0)+10,"")</f>
        <v/>
      </c>
      <c r="CQ72" s="134" t="str">
        <f>_xlfn.IFNA(MATCH(BQ72,Achievements[[#All],[Column117]],0)+10,"")</f>
        <v/>
      </c>
      <c r="CR72" s="134" t="str">
        <f>_xlfn.IFNA(MATCH(BR72,Achievements[[#All],[Column117]],0)+10,"")</f>
        <v/>
      </c>
      <c r="CS72" s="134" t="str">
        <f>_xlfn.IFNA(MATCH(BS72,Achievements[[#All],[Column118]],0)+10,"")</f>
        <v/>
      </c>
      <c r="CT72" s="134" t="str">
        <f>_xlfn.IFNA(MATCH(BT72,Achievements[[#All],[Column118]],0)+10,"")</f>
        <v/>
      </c>
      <c r="CU72" s="134" t="str">
        <f>_xlfn.IFNA(MATCH(BU72,Achievements[[#All],[Column119]],0)+10,"")</f>
        <v/>
      </c>
      <c r="CV72" s="134" t="str">
        <f>_xlfn.IFNA(MATCH(BV72,Achievements[[#All],[Column119]],0)+10,"")</f>
        <v/>
      </c>
      <c r="CW72" s="134" t="str">
        <f>_xlfn.IFNA(MATCH(BW72,Achievements[[#All],[Column120]],0)+10,"")</f>
        <v/>
      </c>
      <c r="CX72" s="134" t="str">
        <f>_xlfn.IFNA(MATCH(BX72,Achievements[[#All],[Column120]],0)+10,"")</f>
        <v/>
      </c>
      <c r="CY72" s="134" t="str">
        <f>_xlfn.IFNA(MATCH(BY72,Achievements[[#All],[Column121]],0)+10,"")</f>
        <v/>
      </c>
      <c r="CZ72" s="118" t="e">
        <f t="shared" ca="1" si="1"/>
        <v>#NAME?</v>
      </c>
    </row>
    <row r="73" spans="1:104" x14ac:dyDescent="0.25">
      <c r="A73" t="e" cm="1">
        <f t="array" aca="1" ref="A73" ca="1">SplitValues("; ",#REF!)</f>
        <v>#NAME?</v>
      </c>
      <c r="AA73" t="e">
        <f ca="1">_xlfn.IFNA(MATCH(A73,Achievements[[#All],[Column1]],0)+11,"")</f>
        <v>#NAME?</v>
      </c>
      <c r="AB73" s="134" t="str">
        <f>_xlfn.IFNA(MATCH(B73,Achievements[[#All],[Column1]],0)+10,"")</f>
        <v/>
      </c>
      <c r="AC73" s="134" t="str">
        <f>_xlfn.IFNA(MATCH(C73,Achievements[[#All],[Column1]],0)+10,"")</f>
        <v/>
      </c>
      <c r="AD73" s="134" t="str">
        <f>_xlfn.IFNA(MATCH(D73,Achievements[[#All],[Column110]],0)+10,"")</f>
        <v/>
      </c>
      <c r="AE73" s="134" t="str">
        <f>_xlfn.IFNA(MATCH(E73,Achievements[[#All],[Column110]],0)+10,"")</f>
        <v/>
      </c>
      <c r="AF73" s="134" t="str">
        <f>_xlfn.IFNA(MATCH(F73,Achievements[[#All],[Column111]],0)+10,"")</f>
        <v/>
      </c>
      <c r="AG73" s="134" t="str">
        <f>_xlfn.IFNA(MATCH(G73,Achievements[[#All],[Column111]],0)+10,"")</f>
        <v/>
      </c>
      <c r="AH73" s="134" t="str">
        <f>_xlfn.IFNA(MATCH(H73,Achievements[[#All],[Column112]],0)+10,"")</f>
        <v/>
      </c>
      <c r="AI73" s="134" t="str">
        <f>_xlfn.IFNA(MATCH(I73,Achievements[[#All],[Column112]],0)+10,"")</f>
        <v/>
      </c>
      <c r="AJ73" s="134" t="str">
        <f>_xlfn.IFNA(MATCH(J73,Achievements[[#All],[Column113]],0)+10,"")</f>
        <v/>
      </c>
      <c r="AK73" s="134" t="str">
        <f>_xlfn.IFNA(MATCH(K73,Achievements[[#All],[Column113]],0)+10,"")</f>
        <v/>
      </c>
      <c r="AL73" s="134" t="str">
        <f>_xlfn.IFNA(MATCH(L73,Achievements[[#All],[Column114]],0)+10,"")</f>
        <v/>
      </c>
      <c r="AM73" s="134" t="str">
        <f>_xlfn.IFNA(MATCH(M73,Achievements[[#All],[Column114]],0)+10,"")</f>
        <v/>
      </c>
      <c r="AN73" s="134" t="str">
        <f>_xlfn.IFNA(MATCH(N73,Achievements[[#All],[Column115]],0)+10,"")</f>
        <v/>
      </c>
      <c r="AO73" s="134" t="str">
        <f>_xlfn.IFNA(MATCH(O73,Achievements[[#All],[Column115]],0)+10,"")</f>
        <v/>
      </c>
      <c r="AP73" s="134" t="str">
        <f>_xlfn.IFNA(MATCH(P73,Achievements[[#All],[Column116]],0)+10,"")</f>
        <v/>
      </c>
      <c r="AQ73" s="134" t="str">
        <f>_xlfn.IFNA(MATCH(Q73,Achievements[[#All],[Column116]],0)+10,"")</f>
        <v/>
      </c>
      <c r="AR73" s="134" t="str">
        <f>_xlfn.IFNA(MATCH(R73,Achievements[[#All],[Column117]],0)+10,"")</f>
        <v/>
      </c>
      <c r="AS73" s="134" t="str">
        <f>_xlfn.IFNA(MATCH(S73,Achievements[[#All],[Column117]],0)+10,"")</f>
        <v/>
      </c>
      <c r="AT73" s="134" t="str">
        <f>_xlfn.IFNA(MATCH(T73,Achievements[[#All],[Column118]],0)+10,"")</f>
        <v/>
      </c>
      <c r="AU73" s="134" t="str">
        <f>_xlfn.IFNA(MATCH(U73,Achievements[[#All],[Column118]],0)+10,"")</f>
        <v/>
      </c>
      <c r="AV73" s="134" t="str">
        <f>_xlfn.IFNA(MATCH(V73,Achievements[[#All],[Column119]],0)+10,"")</f>
        <v/>
      </c>
      <c r="AW73" s="134" t="str">
        <f>_xlfn.IFNA(MATCH(W73,Achievements[[#All],[Column119]],0)+10,"")</f>
        <v/>
      </c>
      <c r="AX73" s="134" t="str">
        <f>_xlfn.IFNA(MATCH(X73,Achievements[[#All],[Column120]],0)+10,"")</f>
        <v/>
      </c>
      <c r="AY73" s="134" t="str">
        <f>_xlfn.IFNA(MATCH(Y73,Achievements[[#All],[Column120]],0)+10,"")</f>
        <v/>
      </c>
      <c r="AZ73" s="116" t="e">
        <f t="shared" ca="1" si="0"/>
        <v>#NAME?</v>
      </c>
      <c r="BA73" s="134" t="e" cm="1">
        <f t="array" aca="1" ref="BA73" ca="1">SplitValues("; ",Persons[[#This Row],[Column1]])</f>
        <v>#NAME?</v>
      </c>
      <c r="CA73" s="134" t="e">
        <f ca="1">_xlfn.IFNA(MATCH(BA73,Achievements[[#All],[Column1]],0)+10,"")</f>
        <v>#NAME?</v>
      </c>
      <c r="CB73" s="134" t="str">
        <f>_xlfn.IFNA(MATCH(BB73,Achievements[[#All],[Column1]],0)+10,"")</f>
        <v/>
      </c>
      <c r="CC73" s="134" t="str">
        <f>_xlfn.IFNA(MATCH(BC73,Achievements[[#All],[Column110]],0)+10,"")</f>
        <v/>
      </c>
      <c r="CD73" s="134" t="str">
        <f>_xlfn.IFNA(MATCH(BD73,Achievements[[#All],[Column110]],0)+10,"")</f>
        <v/>
      </c>
      <c r="CE73" s="134" t="str">
        <f>_xlfn.IFNA(MATCH(BE73,Achievements[[#All],[Column111]],0)+10,"")</f>
        <v/>
      </c>
      <c r="CF73" s="134" t="str">
        <f>_xlfn.IFNA(MATCH(BF73,Achievements[[#All],[Column111]],0)+10,"")</f>
        <v/>
      </c>
      <c r="CG73" s="134" t="str">
        <f>_xlfn.IFNA(MATCH(BG73,Achievements[[#All],[Column112]],0)+10,"")</f>
        <v/>
      </c>
      <c r="CH73" s="134" t="str">
        <f>_xlfn.IFNA(MATCH(BH73,Achievements[[#All],[Column112]],0)+10,"")</f>
        <v/>
      </c>
      <c r="CI73" s="134" t="str">
        <f>_xlfn.IFNA(MATCH(BI73,Achievements[[#All],[Column113]],0)+10,"")</f>
        <v/>
      </c>
      <c r="CJ73" s="134" t="str">
        <f>_xlfn.IFNA(MATCH(BJ73,Achievements[[#All],[Column113]],0)+10,"")</f>
        <v/>
      </c>
      <c r="CK73" s="134" t="str">
        <f>_xlfn.IFNA(MATCH(BK73,Achievements[[#All],[Column114]],0)+10,"")</f>
        <v/>
      </c>
      <c r="CL73" s="134" t="str">
        <f>_xlfn.IFNA(MATCH(BL73,Achievements[[#All],[Column114]],0)+10,"")</f>
        <v/>
      </c>
      <c r="CM73" s="134" t="str">
        <f>_xlfn.IFNA(MATCH(BM73,Achievements[[#All],[Column115]],0)+10,"")</f>
        <v/>
      </c>
      <c r="CN73" s="134" t="str">
        <f>_xlfn.IFNA(MATCH(BN73,Achievements[[#All],[Column115]],0)+10,"")</f>
        <v/>
      </c>
      <c r="CO73" s="134" t="str">
        <f>_xlfn.IFNA(MATCH(BO73,Achievements[[#All],[Column116]],0)+10,"")</f>
        <v/>
      </c>
      <c r="CP73" s="134" t="str">
        <f>_xlfn.IFNA(MATCH(BP73,Achievements[[#All],[Column116]],0)+10,"")</f>
        <v/>
      </c>
      <c r="CQ73" s="134" t="str">
        <f>_xlfn.IFNA(MATCH(BQ73,Achievements[[#All],[Column117]],0)+10,"")</f>
        <v/>
      </c>
      <c r="CR73" s="134" t="str">
        <f>_xlfn.IFNA(MATCH(BR73,Achievements[[#All],[Column117]],0)+10,"")</f>
        <v/>
      </c>
      <c r="CS73" s="134" t="str">
        <f>_xlfn.IFNA(MATCH(BS73,Achievements[[#All],[Column118]],0)+10,"")</f>
        <v/>
      </c>
      <c r="CT73" s="134" t="str">
        <f>_xlfn.IFNA(MATCH(BT73,Achievements[[#All],[Column118]],0)+10,"")</f>
        <v/>
      </c>
      <c r="CU73" s="134" t="str">
        <f>_xlfn.IFNA(MATCH(BU73,Achievements[[#All],[Column119]],0)+10,"")</f>
        <v/>
      </c>
      <c r="CV73" s="134" t="str">
        <f>_xlfn.IFNA(MATCH(BV73,Achievements[[#All],[Column119]],0)+10,"")</f>
        <v/>
      </c>
      <c r="CW73" s="134" t="str">
        <f>_xlfn.IFNA(MATCH(BW73,Achievements[[#All],[Column120]],0)+10,"")</f>
        <v/>
      </c>
      <c r="CX73" s="134" t="str">
        <f>_xlfn.IFNA(MATCH(BX73,Achievements[[#All],[Column120]],0)+10,"")</f>
        <v/>
      </c>
      <c r="CY73" s="134" t="str">
        <f>_xlfn.IFNA(MATCH(BY73,Achievements[[#All],[Column121]],0)+10,"")</f>
        <v/>
      </c>
      <c r="CZ73" s="118" t="e">
        <f t="shared" ca="1" si="1"/>
        <v>#NAME?</v>
      </c>
    </row>
    <row r="74" spans="1:104" x14ac:dyDescent="0.25">
      <c r="A74" t="e" cm="1">
        <f t="array" aca="1" ref="A74" ca="1">SplitValues("; ",#REF!)</f>
        <v>#NAME?</v>
      </c>
      <c r="AA74" t="e">
        <f ca="1">_xlfn.IFNA(MATCH(A74,Achievements[[#All],[Column1]],0)+11,"")</f>
        <v>#NAME?</v>
      </c>
      <c r="AB74" s="134" t="str">
        <f>_xlfn.IFNA(MATCH(B74,Achievements[[#All],[Column1]],0)+10,"")</f>
        <v/>
      </c>
      <c r="AC74" s="134" t="str">
        <f>_xlfn.IFNA(MATCH(C74,Achievements[[#All],[Column1]],0)+10,"")</f>
        <v/>
      </c>
      <c r="AD74" s="134" t="str">
        <f>_xlfn.IFNA(MATCH(D74,Achievements[[#All],[Column110]],0)+10,"")</f>
        <v/>
      </c>
      <c r="AE74" s="134" t="str">
        <f>_xlfn.IFNA(MATCH(E74,Achievements[[#All],[Column110]],0)+10,"")</f>
        <v/>
      </c>
      <c r="AF74" s="134" t="str">
        <f>_xlfn.IFNA(MATCH(F74,Achievements[[#All],[Column111]],0)+10,"")</f>
        <v/>
      </c>
      <c r="AG74" s="134" t="str">
        <f>_xlfn.IFNA(MATCH(G74,Achievements[[#All],[Column111]],0)+10,"")</f>
        <v/>
      </c>
      <c r="AH74" s="134" t="str">
        <f>_xlfn.IFNA(MATCH(H74,Achievements[[#All],[Column112]],0)+10,"")</f>
        <v/>
      </c>
      <c r="AI74" s="134" t="str">
        <f>_xlfn.IFNA(MATCH(I74,Achievements[[#All],[Column112]],0)+10,"")</f>
        <v/>
      </c>
      <c r="AJ74" s="134" t="str">
        <f>_xlfn.IFNA(MATCH(J74,Achievements[[#All],[Column113]],0)+10,"")</f>
        <v/>
      </c>
      <c r="AK74" s="134" t="str">
        <f>_xlfn.IFNA(MATCH(K74,Achievements[[#All],[Column113]],0)+10,"")</f>
        <v/>
      </c>
      <c r="AL74" s="134" t="str">
        <f>_xlfn.IFNA(MATCH(L74,Achievements[[#All],[Column114]],0)+10,"")</f>
        <v/>
      </c>
      <c r="AM74" s="134" t="str">
        <f>_xlfn.IFNA(MATCH(M74,Achievements[[#All],[Column114]],0)+10,"")</f>
        <v/>
      </c>
      <c r="AN74" s="134" t="str">
        <f>_xlfn.IFNA(MATCH(N74,Achievements[[#All],[Column115]],0)+10,"")</f>
        <v/>
      </c>
      <c r="AO74" s="134" t="str">
        <f>_xlfn.IFNA(MATCH(O74,Achievements[[#All],[Column115]],0)+10,"")</f>
        <v/>
      </c>
      <c r="AP74" s="134" t="str">
        <f>_xlfn.IFNA(MATCH(P74,Achievements[[#All],[Column116]],0)+10,"")</f>
        <v/>
      </c>
      <c r="AQ74" s="134" t="str">
        <f>_xlfn.IFNA(MATCH(Q74,Achievements[[#All],[Column116]],0)+10,"")</f>
        <v/>
      </c>
      <c r="AR74" s="134" t="str">
        <f>_xlfn.IFNA(MATCH(R74,Achievements[[#All],[Column117]],0)+10,"")</f>
        <v/>
      </c>
      <c r="AS74" s="134" t="str">
        <f>_xlfn.IFNA(MATCH(S74,Achievements[[#All],[Column117]],0)+10,"")</f>
        <v/>
      </c>
      <c r="AT74" s="134" t="str">
        <f>_xlfn.IFNA(MATCH(T74,Achievements[[#All],[Column118]],0)+10,"")</f>
        <v/>
      </c>
      <c r="AU74" s="134" t="str">
        <f>_xlfn.IFNA(MATCH(U74,Achievements[[#All],[Column118]],0)+10,"")</f>
        <v/>
      </c>
      <c r="AV74" s="134" t="str">
        <f>_xlfn.IFNA(MATCH(V74,Achievements[[#All],[Column119]],0)+10,"")</f>
        <v/>
      </c>
      <c r="AW74" s="134" t="str">
        <f>_xlfn.IFNA(MATCH(W74,Achievements[[#All],[Column119]],0)+10,"")</f>
        <v/>
      </c>
      <c r="AX74" s="134" t="str">
        <f>_xlfn.IFNA(MATCH(X74,Achievements[[#All],[Column120]],0)+10,"")</f>
        <v/>
      </c>
      <c r="AY74" s="134" t="str">
        <f>_xlfn.IFNA(MATCH(Y74,Achievements[[#All],[Column120]],0)+10,"")</f>
        <v/>
      </c>
      <c r="AZ74" s="116" t="e">
        <f t="shared" ca="1" si="0"/>
        <v>#NAME?</v>
      </c>
      <c r="BA74" s="134" t="e" cm="1">
        <f t="array" aca="1" ref="BA74" ca="1">SplitValues("; ",Persons[[#This Row],[Column1]])</f>
        <v>#NAME?</v>
      </c>
      <c r="CA74" s="134" t="e">
        <f ca="1">_xlfn.IFNA(MATCH(BA74,Achievements[[#All],[Column1]],0)+10,"")</f>
        <v>#NAME?</v>
      </c>
      <c r="CB74" s="134" t="str">
        <f>_xlfn.IFNA(MATCH(BB74,Achievements[[#All],[Column1]],0)+10,"")</f>
        <v/>
      </c>
      <c r="CC74" s="134" t="str">
        <f>_xlfn.IFNA(MATCH(BC74,Achievements[[#All],[Column110]],0)+10,"")</f>
        <v/>
      </c>
      <c r="CD74" s="134" t="str">
        <f>_xlfn.IFNA(MATCH(BD74,Achievements[[#All],[Column110]],0)+10,"")</f>
        <v/>
      </c>
      <c r="CE74" s="134" t="str">
        <f>_xlfn.IFNA(MATCH(BE74,Achievements[[#All],[Column111]],0)+10,"")</f>
        <v/>
      </c>
      <c r="CF74" s="134" t="str">
        <f>_xlfn.IFNA(MATCH(BF74,Achievements[[#All],[Column111]],0)+10,"")</f>
        <v/>
      </c>
      <c r="CG74" s="134" t="str">
        <f>_xlfn.IFNA(MATCH(BG74,Achievements[[#All],[Column112]],0)+10,"")</f>
        <v/>
      </c>
      <c r="CH74" s="134" t="str">
        <f>_xlfn.IFNA(MATCH(BH74,Achievements[[#All],[Column112]],0)+10,"")</f>
        <v/>
      </c>
      <c r="CI74" s="134" t="str">
        <f>_xlfn.IFNA(MATCH(BI74,Achievements[[#All],[Column113]],0)+10,"")</f>
        <v/>
      </c>
      <c r="CJ74" s="134" t="str">
        <f>_xlfn.IFNA(MATCH(BJ74,Achievements[[#All],[Column113]],0)+10,"")</f>
        <v/>
      </c>
      <c r="CK74" s="134" t="str">
        <f>_xlfn.IFNA(MATCH(BK74,Achievements[[#All],[Column114]],0)+10,"")</f>
        <v/>
      </c>
      <c r="CL74" s="134" t="str">
        <f>_xlfn.IFNA(MATCH(BL74,Achievements[[#All],[Column114]],0)+10,"")</f>
        <v/>
      </c>
      <c r="CM74" s="134" t="str">
        <f>_xlfn.IFNA(MATCH(BM74,Achievements[[#All],[Column115]],0)+10,"")</f>
        <v/>
      </c>
      <c r="CN74" s="134" t="str">
        <f>_xlfn.IFNA(MATCH(BN74,Achievements[[#All],[Column115]],0)+10,"")</f>
        <v/>
      </c>
      <c r="CO74" s="134" t="str">
        <f>_xlfn.IFNA(MATCH(BO74,Achievements[[#All],[Column116]],0)+10,"")</f>
        <v/>
      </c>
      <c r="CP74" s="134" t="str">
        <f>_xlfn.IFNA(MATCH(BP74,Achievements[[#All],[Column116]],0)+10,"")</f>
        <v/>
      </c>
      <c r="CQ74" s="134" t="str">
        <f>_xlfn.IFNA(MATCH(BQ74,Achievements[[#All],[Column117]],0)+10,"")</f>
        <v/>
      </c>
      <c r="CR74" s="134" t="str">
        <f>_xlfn.IFNA(MATCH(BR74,Achievements[[#All],[Column117]],0)+10,"")</f>
        <v/>
      </c>
      <c r="CS74" s="134" t="str">
        <f>_xlfn.IFNA(MATCH(BS74,Achievements[[#All],[Column118]],0)+10,"")</f>
        <v/>
      </c>
      <c r="CT74" s="134" t="str">
        <f>_xlfn.IFNA(MATCH(BT74,Achievements[[#All],[Column118]],0)+10,"")</f>
        <v/>
      </c>
      <c r="CU74" s="134" t="str">
        <f>_xlfn.IFNA(MATCH(BU74,Achievements[[#All],[Column119]],0)+10,"")</f>
        <v/>
      </c>
      <c r="CV74" s="134" t="str">
        <f>_xlfn.IFNA(MATCH(BV74,Achievements[[#All],[Column119]],0)+10,"")</f>
        <v/>
      </c>
      <c r="CW74" s="134" t="str">
        <f>_xlfn.IFNA(MATCH(BW74,Achievements[[#All],[Column120]],0)+10,"")</f>
        <v/>
      </c>
      <c r="CX74" s="134" t="str">
        <f>_xlfn.IFNA(MATCH(BX74,Achievements[[#All],[Column120]],0)+10,"")</f>
        <v/>
      </c>
      <c r="CY74" s="134" t="str">
        <f>_xlfn.IFNA(MATCH(BY74,Achievements[[#All],[Column121]],0)+10,"")</f>
        <v/>
      </c>
      <c r="CZ74" s="118" t="e">
        <f t="shared" ca="1" si="1"/>
        <v>#NAME?</v>
      </c>
    </row>
    <row r="75" spans="1:104" x14ac:dyDescent="0.25">
      <c r="A75" t="e" cm="1">
        <f t="array" aca="1" ref="A75" ca="1">SplitValues("; ",#REF!)</f>
        <v>#NAME?</v>
      </c>
      <c r="AA75" t="e">
        <f ca="1">_xlfn.IFNA(MATCH(A75,Achievements[[#All],[Column1]],0)+11,"")</f>
        <v>#NAME?</v>
      </c>
      <c r="AB75" s="134" t="str">
        <f>_xlfn.IFNA(MATCH(B75,Achievements[[#All],[Column1]],0)+10,"")</f>
        <v/>
      </c>
      <c r="AC75" s="134" t="str">
        <f>_xlfn.IFNA(MATCH(C75,Achievements[[#All],[Column1]],0)+10,"")</f>
        <v/>
      </c>
      <c r="AD75" s="134" t="str">
        <f>_xlfn.IFNA(MATCH(D75,Achievements[[#All],[Column110]],0)+10,"")</f>
        <v/>
      </c>
      <c r="AE75" s="134" t="str">
        <f>_xlfn.IFNA(MATCH(E75,Achievements[[#All],[Column110]],0)+10,"")</f>
        <v/>
      </c>
      <c r="AF75" s="134" t="str">
        <f>_xlfn.IFNA(MATCH(F75,Achievements[[#All],[Column111]],0)+10,"")</f>
        <v/>
      </c>
      <c r="AG75" s="134" t="str">
        <f>_xlfn.IFNA(MATCH(G75,Achievements[[#All],[Column111]],0)+10,"")</f>
        <v/>
      </c>
      <c r="AH75" s="134" t="str">
        <f>_xlfn.IFNA(MATCH(H75,Achievements[[#All],[Column112]],0)+10,"")</f>
        <v/>
      </c>
      <c r="AI75" s="134" t="str">
        <f>_xlfn.IFNA(MATCH(I75,Achievements[[#All],[Column112]],0)+10,"")</f>
        <v/>
      </c>
      <c r="AJ75" s="134" t="str">
        <f>_xlfn.IFNA(MATCH(J75,Achievements[[#All],[Column113]],0)+10,"")</f>
        <v/>
      </c>
      <c r="AK75" s="134" t="str">
        <f>_xlfn.IFNA(MATCH(K75,Achievements[[#All],[Column113]],0)+10,"")</f>
        <v/>
      </c>
      <c r="AL75" s="134" t="str">
        <f>_xlfn.IFNA(MATCH(L75,Achievements[[#All],[Column114]],0)+10,"")</f>
        <v/>
      </c>
      <c r="AM75" s="134" t="str">
        <f>_xlfn.IFNA(MATCH(M75,Achievements[[#All],[Column114]],0)+10,"")</f>
        <v/>
      </c>
      <c r="AN75" s="134" t="str">
        <f>_xlfn.IFNA(MATCH(N75,Achievements[[#All],[Column115]],0)+10,"")</f>
        <v/>
      </c>
      <c r="AO75" s="134" t="str">
        <f>_xlfn.IFNA(MATCH(O75,Achievements[[#All],[Column115]],0)+10,"")</f>
        <v/>
      </c>
      <c r="AP75" s="134" t="str">
        <f>_xlfn.IFNA(MATCH(P75,Achievements[[#All],[Column116]],0)+10,"")</f>
        <v/>
      </c>
      <c r="AQ75" s="134" t="str">
        <f>_xlfn.IFNA(MATCH(Q75,Achievements[[#All],[Column116]],0)+10,"")</f>
        <v/>
      </c>
      <c r="AR75" s="134" t="str">
        <f>_xlfn.IFNA(MATCH(R75,Achievements[[#All],[Column117]],0)+10,"")</f>
        <v/>
      </c>
      <c r="AS75" s="134" t="str">
        <f>_xlfn.IFNA(MATCH(S75,Achievements[[#All],[Column117]],0)+10,"")</f>
        <v/>
      </c>
      <c r="AT75" s="134" t="str">
        <f>_xlfn.IFNA(MATCH(T75,Achievements[[#All],[Column118]],0)+10,"")</f>
        <v/>
      </c>
      <c r="AU75" s="134" t="str">
        <f>_xlfn.IFNA(MATCH(U75,Achievements[[#All],[Column118]],0)+10,"")</f>
        <v/>
      </c>
      <c r="AV75" s="134" t="str">
        <f>_xlfn.IFNA(MATCH(V75,Achievements[[#All],[Column119]],0)+10,"")</f>
        <v/>
      </c>
      <c r="AW75" s="134" t="str">
        <f>_xlfn.IFNA(MATCH(W75,Achievements[[#All],[Column119]],0)+10,"")</f>
        <v/>
      </c>
      <c r="AX75" s="134" t="str">
        <f>_xlfn.IFNA(MATCH(X75,Achievements[[#All],[Column120]],0)+10,"")</f>
        <v/>
      </c>
      <c r="AY75" s="134" t="str">
        <f>_xlfn.IFNA(MATCH(Y75,Achievements[[#All],[Column120]],0)+10,"")</f>
        <v/>
      </c>
      <c r="AZ75" s="116" t="e">
        <f t="shared" ca="1" si="0"/>
        <v>#NAME?</v>
      </c>
      <c r="BA75" s="134" t="e" cm="1">
        <f t="array" aca="1" ref="BA75" ca="1">SplitValues("; ",Persons[[#This Row],[Column1]])</f>
        <v>#NAME?</v>
      </c>
      <c r="CA75" s="134" t="e">
        <f ca="1">_xlfn.IFNA(MATCH(BA75,Achievements[[#All],[Column1]],0)+10,"")</f>
        <v>#NAME?</v>
      </c>
      <c r="CB75" s="134" t="str">
        <f>_xlfn.IFNA(MATCH(BB75,Achievements[[#All],[Column1]],0)+10,"")</f>
        <v/>
      </c>
      <c r="CC75" s="134" t="str">
        <f>_xlfn.IFNA(MATCH(BC75,Achievements[[#All],[Column110]],0)+10,"")</f>
        <v/>
      </c>
      <c r="CD75" s="134" t="str">
        <f>_xlfn.IFNA(MATCH(BD75,Achievements[[#All],[Column110]],0)+10,"")</f>
        <v/>
      </c>
      <c r="CE75" s="134" t="str">
        <f>_xlfn.IFNA(MATCH(BE75,Achievements[[#All],[Column111]],0)+10,"")</f>
        <v/>
      </c>
      <c r="CF75" s="134" t="str">
        <f>_xlfn.IFNA(MATCH(BF75,Achievements[[#All],[Column111]],0)+10,"")</f>
        <v/>
      </c>
      <c r="CG75" s="134" t="str">
        <f>_xlfn.IFNA(MATCH(BG75,Achievements[[#All],[Column112]],0)+10,"")</f>
        <v/>
      </c>
      <c r="CH75" s="134" t="str">
        <f>_xlfn.IFNA(MATCH(BH75,Achievements[[#All],[Column112]],0)+10,"")</f>
        <v/>
      </c>
      <c r="CI75" s="134" t="str">
        <f>_xlfn.IFNA(MATCH(BI75,Achievements[[#All],[Column113]],0)+10,"")</f>
        <v/>
      </c>
      <c r="CJ75" s="134" t="str">
        <f>_xlfn.IFNA(MATCH(BJ75,Achievements[[#All],[Column113]],0)+10,"")</f>
        <v/>
      </c>
      <c r="CK75" s="134" t="str">
        <f>_xlfn.IFNA(MATCH(BK75,Achievements[[#All],[Column114]],0)+10,"")</f>
        <v/>
      </c>
      <c r="CL75" s="134" t="str">
        <f>_xlfn.IFNA(MATCH(BL75,Achievements[[#All],[Column114]],0)+10,"")</f>
        <v/>
      </c>
      <c r="CM75" s="134" t="str">
        <f>_xlfn.IFNA(MATCH(BM75,Achievements[[#All],[Column115]],0)+10,"")</f>
        <v/>
      </c>
      <c r="CN75" s="134" t="str">
        <f>_xlfn.IFNA(MATCH(BN75,Achievements[[#All],[Column115]],0)+10,"")</f>
        <v/>
      </c>
      <c r="CO75" s="134" t="str">
        <f>_xlfn.IFNA(MATCH(BO75,Achievements[[#All],[Column116]],0)+10,"")</f>
        <v/>
      </c>
      <c r="CP75" s="134" t="str">
        <f>_xlfn.IFNA(MATCH(BP75,Achievements[[#All],[Column116]],0)+10,"")</f>
        <v/>
      </c>
      <c r="CQ75" s="134" t="str">
        <f>_xlfn.IFNA(MATCH(BQ75,Achievements[[#All],[Column117]],0)+10,"")</f>
        <v/>
      </c>
      <c r="CR75" s="134" t="str">
        <f>_xlfn.IFNA(MATCH(BR75,Achievements[[#All],[Column117]],0)+10,"")</f>
        <v/>
      </c>
      <c r="CS75" s="134" t="str">
        <f>_xlfn.IFNA(MATCH(BS75,Achievements[[#All],[Column118]],0)+10,"")</f>
        <v/>
      </c>
      <c r="CT75" s="134" t="str">
        <f>_xlfn.IFNA(MATCH(BT75,Achievements[[#All],[Column118]],0)+10,"")</f>
        <v/>
      </c>
      <c r="CU75" s="134" t="str">
        <f>_xlfn.IFNA(MATCH(BU75,Achievements[[#All],[Column119]],0)+10,"")</f>
        <v/>
      </c>
      <c r="CV75" s="134" t="str">
        <f>_xlfn.IFNA(MATCH(BV75,Achievements[[#All],[Column119]],0)+10,"")</f>
        <v/>
      </c>
      <c r="CW75" s="134" t="str">
        <f>_xlfn.IFNA(MATCH(BW75,Achievements[[#All],[Column120]],0)+10,"")</f>
        <v/>
      </c>
      <c r="CX75" s="134" t="str">
        <f>_xlfn.IFNA(MATCH(BX75,Achievements[[#All],[Column120]],0)+10,"")</f>
        <v/>
      </c>
      <c r="CY75" s="134" t="str">
        <f>_xlfn.IFNA(MATCH(BY75,Achievements[[#All],[Column121]],0)+10,"")</f>
        <v/>
      </c>
      <c r="CZ75" s="118" t="e">
        <f t="shared" ca="1" si="1"/>
        <v>#NAME?</v>
      </c>
    </row>
    <row r="76" spans="1:104" x14ac:dyDescent="0.25">
      <c r="A76" t="e" cm="1">
        <f t="array" aca="1" ref="A76" ca="1">SplitValues("; ",#REF!)</f>
        <v>#NAME?</v>
      </c>
      <c r="AA76" t="e">
        <f ca="1">_xlfn.IFNA(MATCH(A76,Achievements[[#All],[Column1]],0)+11,"")</f>
        <v>#NAME?</v>
      </c>
      <c r="AB76" s="134" t="str">
        <f>_xlfn.IFNA(MATCH(B76,Achievements[[#All],[Column1]],0)+10,"")</f>
        <v/>
      </c>
      <c r="AC76" s="134" t="str">
        <f>_xlfn.IFNA(MATCH(C76,Achievements[[#All],[Column1]],0)+10,"")</f>
        <v/>
      </c>
      <c r="AD76" s="134" t="str">
        <f>_xlfn.IFNA(MATCH(D76,Achievements[[#All],[Column110]],0)+10,"")</f>
        <v/>
      </c>
      <c r="AE76" s="134" t="str">
        <f>_xlfn.IFNA(MATCH(E76,Achievements[[#All],[Column110]],0)+10,"")</f>
        <v/>
      </c>
      <c r="AF76" s="134" t="str">
        <f>_xlfn.IFNA(MATCH(F76,Achievements[[#All],[Column111]],0)+10,"")</f>
        <v/>
      </c>
      <c r="AG76" s="134" t="str">
        <f>_xlfn.IFNA(MATCH(G76,Achievements[[#All],[Column111]],0)+10,"")</f>
        <v/>
      </c>
      <c r="AH76" s="134" t="str">
        <f>_xlfn.IFNA(MATCH(H76,Achievements[[#All],[Column112]],0)+10,"")</f>
        <v/>
      </c>
      <c r="AI76" s="134" t="str">
        <f>_xlfn.IFNA(MATCH(I76,Achievements[[#All],[Column112]],0)+10,"")</f>
        <v/>
      </c>
      <c r="AJ76" s="134" t="str">
        <f>_xlfn.IFNA(MATCH(J76,Achievements[[#All],[Column113]],0)+10,"")</f>
        <v/>
      </c>
      <c r="AK76" s="134" t="str">
        <f>_xlfn.IFNA(MATCH(K76,Achievements[[#All],[Column113]],0)+10,"")</f>
        <v/>
      </c>
      <c r="AL76" s="134" t="str">
        <f>_xlfn.IFNA(MATCH(L76,Achievements[[#All],[Column114]],0)+10,"")</f>
        <v/>
      </c>
      <c r="AM76" s="134" t="str">
        <f>_xlfn.IFNA(MATCH(M76,Achievements[[#All],[Column114]],0)+10,"")</f>
        <v/>
      </c>
      <c r="AN76" s="134" t="str">
        <f>_xlfn.IFNA(MATCH(N76,Achievements[[#All],[Column115]],0)+10,"")</f>
        <v/>
      </c>
      <c r="AO76" s="134" t="str">
        <f>_xlfn.IFNA(MATCH(O76,Achievements[[#All],[Column115]],0)+10,"")</f>
        <v/>
      </c>
      <c r="AP76" s="134" t="str">
        <f>_xlfn.IFNA(MATCH(P76,Achievements[[#All],[Column116]],0)+10,"")</f>
        <v/>
      </c>
      <c r="AQ76" s="134" t="str">
        <f>_xlfn.IFNA(MATCH(Q76,Achievements[[#All],[Column116]],0)+10,"")</f>
        <v/>
      </c>
      <c r="AR76" s="134" t="str">
        <f>_xlfn.IFNA(MATCH(R76,Achievements[[#All],[Column117]],0)+10,"")</f>
        <v/>
      </c>
      <c r="AS76" s="134" t="str">
        <f>_xlfn.IFNA(MATCH(S76,Achievements[[#All],[Column117]],0)+10,"")</f>
        <v/>
      </c>
      <c r="AT76" s="134" t="str">
        <f>_xlfn.IFNA(MATCH(T76,Achievements[[#All],[Column118]],0)+10,"")</f>
        <v/>
      </c>
      <c r="AU76" s="134" t="str">
        <f>_xlfn.IFNA(MATCH(U76,Achievements[[#All],[Column118]],0)+10,"")</f>
        <v/>
      </c>
      <c r="AV76" s="134" t="str">
        <f>_xlfn.IFNA(MATCH(V76,Achievements[[#All],[Column119]],0)+10,"")</f>
        <v/>
      </c>
      <c r="AW76" s="134" t="str">
        <f>_xlfn.IFNA(MATCH(W76,Achievements[[#All],[Column119]],0)+10,"")</f>
        <v/>
      </c>
      <c r="AX76" s="134" t="str">
        <f>_xlfn.IFNA(MATCH(X76,Achievements[[#All],[Column120]],0)+10,"")</f>
        <v/>
      </c>
      <c r="AY76" s="134" t="str">
        <f>_xlfn.IFNA(MATCH(Y76,Achievements[[#All],[Column120]],0)+10,"")</f>
        <v/>
      </c>
      <c r="AZ76" s="116" t="e">
        <f t="shared" ca="1" si="0"/>
        <v>#NAME?</v>
      </c>
      <c r="BA76" s="134" t="e" cm="1">
        <f t="array" aca="1" ref="BA76" ca="1">SplitValues("; ",Persons[[#This Row],[Column1]])</f>
        <v>#NAME?</v>
      </c>
      <c r="CA76" s="134" t="e">
        <f ca="1">_xlfn.IFNA(MATCH(BA76,Achievements[[#All],[Column1]],0)+10,"")</f>
        <v>#NAME?</v>
      </c>
      <c r="CB76" s="134" t="str">
        <f>_xlfn.IFNA(MATCH(BB76,Achievements[[#All],[Column1]],0)+10,"")</f>
        <v/>
      </c>
      <c r="CC76" s="134" t="str">
        <f>_xlfn.IFNA(MATCH(BC76,Achievements[[#All],[Column110]],0)+10,"")</f>
        <v/>
      </c>
      <c r="CD76" s="134" t="str">
        <f>_xlfn.IFNA(MATCH(BD76,Achievements[[#All],[Column110]],0)+10,"")</f>
        <v/>
      </c>
      <c r="CE76" s="134" t="str">
        <f>_xlfn.IFNA(MATCH(BE76,Achievements[[#All],[Column111]],0)+10,"")</f>
        <v/>
      </c>
      <c r="CF76" s="134" t="str">
        <f>_xlfn.IFNA(MATCH(BF76,Achievements[[#All],[Column111]],0)+10,"")</f>
        <v/>
      </c>
      <c r="CG76" s="134" t="str">
        <f>_xlfn.IFNA(MATCH(BG76,Achievements[[#All],[Column112]],0)+10,"")</f>
        <v/>
      </c>
      <c r="CH76" s="134" t="str">
        <f>_xlfn.IFNA(MATCH(BH76,Achievements[[#All],[Column112]],0)+10,"")</f>
        <v/>
      </c>
      <c r="CI76" s="134" t="str">
        <f>_xlfn.IFNA(MATCH(BI76,Achievements[[#All],[Column113]],0)+10,"")</f>
        <v/>
      </c>
      <c r="CJ76" s="134" t="str">
        <f>_xlfn.IFNA(MATCH(BJ76,Achievements[[#All],[Column113]],0)+10,"")</f>
        <v/>
      </c>
      <c r="CK76" s="134" t="str">
        <f>_xlfn.IFNA(MATCH(BK76,Achievements[[#All],[Column114]],0)+10,"")</f>
        <v/>
      </c>
      <c r="CL76" s="134" t="str">
        <f>_xlfn.IFNA(MATCH(BL76,Achievements[[#All],[Column114]],0)+10,"")</f>
        <v/>
      </c>
      <c r="CM76" s="134" t="str">
        <f>_xlfn.IFNA(MATCH(BM76,Achievements[[#All],[Column115]],0)+10,"")</f>
        <v/>
      </c>
      <c r="CN76" s="134" t="str">
        <f>_xlfn.IFNA(MATCH(BN76,Achievements[[#All],[Column115]],0)+10,"")</f>
        <v/>
      </c>
      <c r="CO76" s="134" t="str">
        <f>_xlfn.IFNA(MATCH(BO76,Achievements[[#All],[Column116]],0)+10,"")</f>
        <v/>
      </c>
      <c r="CP76" s="134" t="str">
        <f>_xlfn.IFNA(MATCH(BP76,Achievements[[#All],[Column116]],0)+10,"")</f>
        <v/>
      </c>
      <c r="CQ76" s="134" t="str">
        <f>_xlfn.IFNA(MATCH(BQ76,Achievements[[#All],[Column117]],0)+10,"")</f>
        <v/>
      </c>
      <c r="CR76" s="134" t="str">
        <f>_xlfn.IFNA(MATCH(BR76,Achievements[[#All],[Column117]],0)+10,"")</f>
        <v/>
      </c>
      <c r="CS76" s="134" t="str">
        <f>_xlfn.IFNA(MATCH(BS76,Achievements[[#All],[Column118]],0)+10,"")</f>
        <v/>
      </c>
      <c r="CT76" s="134" t="str">
        <f>_xlfn.IFNA(MATCH(BT76,Achievements[[#All],[Column118]],0)+10,"")</f>
        <v/>
      </c>
      <c r="CU76" s="134" t="str">
        <f>_xlfn.IFNA(MATCH(BU76,Achievements[[#All],[Column119]],0)+10,"")</f>
        <v/>
      </c>
      <c r="CV76" s="134" t="str">
        <f>_xlfn.IFNA(MATCH(BV76,Achievements[[#All],[Column119]],0)+10,"")</f>
        <v/>
      </c>
      <c r="CW76" s="134" t="str">
        <f>_xlfn.IFNA(MATCH(BW76,Achievements[[#All],[Column120]],0)+10,"")</f>
        <v/>
      </c>
      <c r="CX76" s="134" t="str">
        <f>_xlfn.IFNA(MATCH(BX76,Achievements[[#All],[Column120]],0)+10,"")</f>
        <v/>
      </c>
      <c r="CY76" s="134" t="str">
        <f>_xlfn.IFNA(MATCH(BY76,Achievements[[#All],[Column121]],0)+10,"")</f>
        <v/>
      </c>
      <c r="CZ76" s="118" t="e">
        <f t="shared" ca="1" si="1"/>
        <v>#NAME?</v>
      </c>
    </row>
    <row r="77" spans="1:104" x14ac:dyDescent="0.25">
      <c r="A77" t="e" cm="1">
        <f t="array" aca="1" ref="A77" ca="1">SplitValues("; ",#REF!)</f>
        <v>#NAME?</v>
      </c>
      <c r="AA77" t="e">
        <f ca="1">_xlfn.IFNA(MATCH(A77,Achievements[[#All],[Column1]],0)+11,"")</f>
        <v>#NAME?</v>
      </c>
      <c r="AB77" s="134" t="str">
        <f>_xlfn.IFNA(MATCH(B77,Achievements[[#All],[Column1]],0)+10,"")</f>
        <v/>
      </c>
      <c r="AC77" s="134" t="str">
        <f>_xlfn.IFNA(MATCH(C77,Achievements[[#All],[Column1]],0)+10,"")</f>
        <v/>
      </c>
      <c r="AD77" s="134" t="str">
        <f>_xlfn.IFNA(MATCH(D77,Achievements[[#All],[Column110]],0)+10,"")</f>
        <v/>
      </c>
      <c r="AE77" s="134" t="str">
        <f>_xlfn.IFNA(MATCH(E77,Achievements[[#All],[Column110]],0)+10,"")</f>
        <v/>
      </c>
      <c r="AF77" s="134" t="str">
        <f>_xlfn.IFNA(MATCH(F77,Achievements[[#All],[Column111]],0)+10,"")</f>
        <v/>
      </c>
      <c r="AG77" s="134" t="str">
        <f>_xlfn.IFNA(MATCH(G77,Achievements[[#All],[Column111]],0)+10,"")</f>
        <v/>
      </c>
      <c r="AH77" s="134" t="str">
        <f>_xlfn.IFNA(MATCH(H77,Achievements[[#All],[Column112]],0)+10,"")</f>
        <v/>
      </c>
      <c r="AI77" s="134" t="str">
        <f>_xlfn.IFNA(MATCH(I77,Achievements[[#All],[Column112]],0)+10,"")</f>
        <v/>
      </c>
      <c r="AJ77" s="134" t="str">
        <f>_xlfn.IFNA(MATCH(J77,Achievements[[#All],[Column113]],0)+10,"")</f>
        <v/>
      </c>
      <c r="AK77" s="134" t="str">
        <f>_xlfn.IFNA(MATCH(K77,Achievements[[#All],[Column113]],0)+10,"")</f>
        <v/>
      </c>
      <c r="AL77" s="134" t="str">
        <f>_xlfn.IFNA(MATCH(L77,Achievements[[#All],[Column114]],0)+10,"")</f>
        <v/>
      </c>
      <c r="AM77" s="134" t="str">
        <f>_xlfn.IFNA(MATCH(M77,Achievements[[#All],[Column114]],0)+10,"")</f>
        <v/>
      </c>
      <c r="AN77" s="134" t="str">
        <f>_xlfn.IFNA(MATCH(N77,Achievements[[#All],[Column115]],0)+10,"")</f>
        <v/>
      </c>
      <c r="AO77" s="134" t="str">
        <f>_xlfn.IFNA(MATCH(O77,Achievements[[#All],[Column115]],0)+10,"")</f>
        <v/>
      </c>
      <c r="AP77" s="134" t="str">
        <f>_xlfn.IFNA(MATCH(P77,Achievements[[#All],[Column116]],0)+10,"")</f>
        <v/>
      </c>
      <c r="AQ77" s="134" t="str">
        <f>_xlfn.IFNA(MATCH(Q77,Achievements[[#All],[Column116]],0)+10,"")</f>
        <v/>
      </c>
      <c r="AR77" s="134" t="str">
        <f>_xlfn.IFNA(MATCH(R77,Achievements[[#All],[Column117]],0)+10,"")</f>
        <v/>
      </c>
      <c r="AS77" s="134" t="str">
        <f>_xlfn.IFNA(MATCH(S77,Achievements[[#All],[Column117]],0)+10,"")</f>
        <v/>
      </c>
      <c r="AT77" s="134" t="str">
        <f>_xlfn.IFNA(MATCH(T77,Achievements[[#All],[Column118]],0)+10,"")</f>
        <v/>
      </c>
      <c r="AU77" s="134" t="str">
        <f>_xlfn.IFNA(MATCH(U77,Achievements[[#All],[Column118]],0)+10,"")</f>
        <v/>
      </c>
      <c r="AV77" s="134" t="str">
        <f>_xlfn.IFNA(MATCH(V77,Achievements[[#All],[Column119]],0)+10,"")</f>
        <v/>
      </c>
      <c r="AW77" s="134" t="str">
        <f>_xlfn.IFNA(MATCH(W77,Achievements[[#All],[Column119]],0)+10,"")</f>
        <v/>
      </c>
      <c r="AX77" s="134" t="str">
        <f>_xlfn.IFNA(MATCH(X77,Achievements[[#All],[Column120]],0)+10,"")</f>
        <v/>
      </c>
      <c r="AY77" s="134" t="str">
        <f>_xlfn.IFNA(MATCH(Y77,Achievements[[#All],[Column120]],0)+10,"")</f>
        <v/>
      </c>
      <c r="AZ77" s="116" t="e">
        <f t="shared" ref="AZ77:AZ140" ca="1" si="2">SUBSTITUTE(TRIM(AA77&amp;" "&amp;AB77&amp;" "&amp;AC77&amp;" "&amp;AD77&amp;" "&amp;AE77&amp;" "&amp;AF77&amp;" "&amp;AG77&amp;" "&amp;AH77&amp;" "&amp;AI77&amp;" "&amp;AJ77&amp;" "&amp;AK77&amp;" "&amp;AL77&amp;" "&amp;AM77&amp;" "&amp;AN77&amp;" "&amp;AO77&amp;" "&amp;AP77&amp;" "&amp;AQ77&amp;" "&amp;AR77&amp;" "&amp;AS77&amp;" "&amp;AT77&amp;" "&amp;AU77&amp;" "&amp;AV77&amp;" "&amp;AW77&amp;" "&amp;AX77&amp;" "&amp;AY77)," ",", ")</f>
        <v>#NAME?</v>
      </c>
      <c r="BA77" s="134" t="e" cm="1">
        <f t="array" aca="1" ref="BA77" ca="1">SplitValues("; ",Persons[[#This Row],[Column1]])</f>
        <v>#NAME?</v>
      </c>
      <c r="CA77" s="134" t="e">
        <f ca="1">_xlfn.IFNA(MATCH(BA77,Achievements[[#All],[Column1]],0)+10,"")</f>
        <v>#NAME?</v>
      </c>
      <c r="CB77" s="134" t="str">
        <f>_xlfn.IFNA(MATCH(BB77,Achievements[[#All],[Column1]],0)+10,"")</f>
        <v/>
      </c>
      <c r="CC77" s="134" t="str">
        <f>_xlfn.IFNA(MATCH(BC77,Achievements[[#All],[Column110]],0)+10,"")</f>
        <v/>
      </c>
      <c r="CD77" s="134" t="str">
        <f>_xlfn.IFNA(MATCH(BD77,Achievements[[#All],[Column110]],0)+10,"")</f>
        <v/>
      </c>
      <c r="CE77" s="134" t="str">
        <f>_xlfn.IFNA(MATCH(BE77,Achievements[[#All],[Column111]],0)+10,"")</f>
        <v/>
      </c>
      <c r="CF77" s="134" t="str">
        <f>_xlfn.IFNA(MATCH(BF77,Achievements[[#All],[Column111]],0)+10,"")</f>
        <v/>
      </c>
      <c r="CG77" s="134" t="str">
        <f>_xlfn.IFNA(MATCH(BG77,Achievements[[#All],[Column112]],0)+10,"")</f>
        <v/>
      </c>
      <c r="CH77" s="134" t="str">
        <f>_xlfn.IFNA(MATCH(BH77,Achievements[[#All],[Column112]],0)+10,"")</f>
        <v/>
      </c>
      <c r="CI77" s="134" t="str">
        <f>_xlfn.IFNA(MATCH(BI77,Achievements[[#All],[Column113]],0)+10,"")</f>
        <v/>
      </c>
      <c r="CJ77" s="134" t="str">
        <f>_xlfn.IFNA(MATCH(BJ77,Achievements[[#All],[Column113]],0)+10,"")</f>
        <v/>
      </c>
      <c r="CK77" s="134" t="str">
        <f>_xlfn.IFNA(MATCH(BK77,Achievements[[#All],[Column114]],0)+10,"")</f>
        <v/>
      </c>
      <c r="CL77" s="134" t="str">
        <f>_xlfn.IFNA(MATCH(BL77,Achievements[[#All],[Column114]],0)+10,"")</f>
        <v/>
      </c>
      <c r="CM77" s="134" t="str">
        <f>_xlfn.IFNA(MATCH(BM77,Achievements[[#All],[Column115]],0)+10,"")</f>
        <v/>
      </c>
      <c r="CN77" s="134" t="str">
        <f>_xlfn.IFNA(MATCH(BN77,Achievements[[#All],[Column115]],0)+10,"")</f>
        <v/>
      </c>
      <c r="CO77" s="134" t="str">
        <f>_xlfn.IFNA(MATCH(BO77,Achievements[[#All],[Column116]],0)+10,"")</f>
        <v/>
      </c>
      <c r="CP77" s="134" t="str">
        <f>_xlfn.IFNA(MATCH(BP77,Achievements[[#All],[Column116]],0)+10,"")</f>
        <v/>
      </c>
      <c r="CQ77" s="134" t="str">
        <f>_xlfn.IFNA(MATCH(BQ77,Achievements[[#All],[Column117]],0)+10,"")</f>
        <v/>
      </c>
      <c r="CR77" s="134" t="str">
        <f>_xlfn.IFNA(MATCH(BR77,Achievements[[#All],[Column117]],0)+10,"")</f>
        <v/>
      </c>
      <c r="CS77" s="134" t="str">
        <f>_xlfn.IFNA(MATCH(BS77,Achievements[[#All],[Column118]],0)+10,"")</f>
        <v/>
      </c>
      <c r="CT77" s="134" t="str">
        <f>_xlfn.IFNA(MATCH(BT77,Achievements[[#All],[Column118]],0)+10,"")</f>
        <v/>
      </c>
      <c r="CU77" s="134" t="str">
        <f>_xlfn.IFNA(MATCH(BU77,Achievements[[#All],[Column119]],0)+10,"")</f>
        <v/>
      </c>
      <c r="CV77" s="134" t="str">
        <f>_xlfn.IFNA(MATCH(BV77,Achievements[[#All],[Column119]],0)+10,"")</f>
        <v/>
      </c>
      <c r="CW77" s="134" t="str">
        <f>_xlfn.IFNA(MATCH(BW77,Achievements[[#All],[Column120]],0)+10,"")</f>
        <v/>
      </c>
      <c r="CX77" s="134" t="str">
        <f>_xlfn.IFNA(MATCH(BX77,Achievements[[#All],[Column120]],0)+10,"")</f>
        <v/>
      </c>
      <c r="CY77" s="134" t="str">
        <f>_xlfn.IFNA(MATCH(BY77,Achievements[[#All],[Column121]],0)+10,"")</f>
        <v/>
      </c>
      <c r="CZ77" s="118" t="e">
        <f t="shared" ref="CZ77:CZ140" ca="1" si="3">SUBSTITUTE(TRIM(CA77&amp;" "&amp;CB77&amp;" "&amp;CC77&amp;" "&amp;CD77&amp;" "&amp;CE77&amp;" "&amp;CF77&amp;" "&amp;CG77&amp;" "&amp;CH77&amp;" "&amp;CI77&amp;" "&amp;CJ77&amp;" "&amp;CK77&amp;" "&amp;CL77&amp;" "&amp;CM77&amp;" "&amp;CN77&amp;" "&amp;CO77&amp;" "&amp;CP77&amp;" "&amp;CQ77&amp;" "&amp;CR77&amp;" "&amp;CS77&amp;" "&amp;CT77&amp;" "&amp;CU77&amp;" "&amp;CV77&amp;" "&amp;CW77&amp;" "&amp;CX77&amp;" "&amp;CY77)," ",", ")</f>
        <v>#NAME?</v>
      </c>
    </row>
    <row r="78" spans="1:104" x14ac:dyDescent="0.25">
      <c r="A78" t="e" cm="1">
        <f t="array" aca="1" ref="A78" ca="1">SplitValues("; ",#REF!)</f>
        <v>#NAME?</v>
      </c>
      <c r="AA78" t="e">
        <f ca="1">_xlfn.IFNA(MATCH(A78,Achievements[[#All],[Column1]],0)+11,"")</f>
        <v>#NAME?</v>
      </c>
      <c r="AB78" s="134" t="str">
        <f>_xlfn.IFNA(MATCH(B78,Achievements[[#All],[Column1]],0)+10,"")</f>
        <v/>
      </c>
      <c r="AC78" s="134" t="str">
        <f>_xlfn.IFNA(MATCH(C78,Achievements[[#All],[Column1]],0)+10,"")</f>
        <v/>
      </c>
      <c r="AD78" s="134" t="str">
        <f>_xlfn.IFNA(MATCH(D78,Achievements[[#All],[Column110]],0)+10,"")</f>
        <v/>
      </c>
      <c r="AE78" s="134" t="str">
        <f>_xlfn.IFNA(MATCH(E78,Achievements[[#All],[Column110]],0)+10,"")</f>
        <v/>
      </c>
      <c r="AF78" s="134" t="str">
        <f>_xlfn.IFNA(MATCH(F78,Achievements[[#All],[Column111]],0)+10,"")</f>
        <v/>
      </c>
      <c r="AG78" s="134" t="str">
        <f>_xlfn.IFNA(MATCH(G78,Achievements[[#All],[Column111]],0)+10,"")</f>
        <v/>
      </c>
      <c r="AH78" s="134" t="str">
        <f>_xlfn.IFNA(MATCH(H78,Achievements[[#All],[Column112]],0)+10,"")</f>
        <v/>
      </c>
      <c r="AI78" s="134" t="str">
        <f>_xlfn.IFNA(MATCH(I78,Achievements[[#All],[Column112]],0)+10,"")</f>
        <v/>
      </c>
      <c r="AJ78" s="134" t="str">
        <f>_xlfn.IFNA(MATCH(J78,Achievements[[#All],[Column113]],0)+10,"")</f>
        <v/>
      </c>
      <c r="AK78" s="134" t="str">
        <f>_xlfn.IFNA(MATCH(K78,Achievements[[#All],[Column113]],0)+10,"")</f>
        <v/>
      </c>
      <c r="AL78" s="134" t="str">
        <f>_xlfn.IFNA(MATCH(L78,Achievements[[#All],[Column114]],0)+10,"")</f>
        <v/>
      </c>
      <c r="AM78" s="134" t="str">
        <f>_xlfn.IFNA(MATCH(M78,Achievements[[#All],[Column114]],0)+10,"")</f>
        <v/>
      </c>
      <c r="AN78" s="134" t="str">
        <f>_xlfn.IFNA(MATCH(N78,Achievements[[#All],[Column115]],0)+10,"")</f>
        <v/>
      </c>
      <c r="AO78" s="134" t="str">
        <f>_xlfn.IFNA(MATCH(O78,Achievements[[#All],[Column115]],0)+10,"")</f>
        <v/>
      </c>
      <c r="AP78" s="134" t="str">
        <f>_xlfn.IFNA(MATCH(P78,Achievements[[#All],[Column116]],0)+10,"")</f>
        <v/>
      </c>
      <c r="AQ78" s="134" t="str">
        <f>_xlfn.IFNA(MATCH(Q78,Achievements[[#All],[Column116]],0)+10,"")</f>
        <v/>
      </c>
      <c r="AR78" s="134" t="str">
        <f>_xlfn.IFNA(MATCH(R78,Achievements[[#All],[Column117]],0)+10,"")</f>
        <v/>
      </c>
      <c r="AS78" s="134" t="str">
        <f>_xlfn.IFNA(MATCH(S78,Achievements[[#All],[Column117]],0)+10,"")</f>
        <v/>
      </c>
      <c r="AT78" s="134" t="str">
        <f>_xlfn.IFNA(MATCH(T78,Achievements[[#All],[Column118]],0)+10,"")</f>
        <v/>
      </c>
      <c r="AU78" s="134" t="str">
        <f>_xlfn.IFNA(MATCH(U78,Achievements[[#All],[Column118]],0)+10,"")</f>
        <v/>
      </c>
      <c r="AV78" s="134" t="str">
        <f>_xlfn.IFNA(MATCH(V78,Achievements[[#All],[Column119]],0)+10,"")</f>
        <v/>
      </c>
      <c r="AW78" s="134" t="str">
        <f>_xlfn.IFNA(MATCH(W78,Achievements[[#All],[Column119]],0)+10,"")</f>
        <v/>
      </c>
      <c r="AX78" s="134" t="str">
        <f>_xlfn.IFNA(MATCH(X78,Achievements[[#All],[Column120]],0)+10,"")</f>
        <v/>
      </c>
      <c r="AY78" s="134" t="str">
        <f>_xlfn.IFNA(MATCH(Y78,Achievements[[#All],[Column120]],0)+10,"")</f>
        <v/>
      </c>
      <c r="AZ78" s="116" t="e">
        <f t="shared" ca="1" si="2"/>
        <v>#NAME?</v>
      </c>
      <c r="BA78" s="134" t="e" cm="1">
        <f t="array" aca="1" ref="BA78" ca="1">SplitValues("; ",Persons[[#This Row],[Column1]])</f>
        <v>#NAME?</v>
      </c>
      <c r="CA78" s="134" t="e">
        <f ca="1">_xlfn.IFNA(MATCH(BA78,Achievements[[#All],[Column1]],0)+10,"")</f>
        <v>#NAME?</v>
      </c>
      <c r="CB78" s="134" t="str">
        <f>_xlfn.IFNA(MATCH(BB78,Achievements[[#All],[Column1]],0)+10,"")</f>
        <v/>
      </c>
      <c r="CC78" s="134" t="str">
        <f>_xlfn.IFNA(MATCH(BC78,Achievements[[#All],[Column110]],0)+10,"")</f>
        <v/>
      </c>
      <c r="CD78" s="134" t="str">
        <f>_xlfn.IFNA(MATCH(BD78,Achievements[[#All],[Column110]],0)+10,"")</f>
        <v/>
      </c>
      <c r="CE78" s="134" t="str">
        <f>_xlfn.IFNA(MATCH(BE78,Achievements[[#All],[Column111]],0)+10,"")</f>
        <v/>
      </c>
      <c r="CF78" s="134" t="str">
        <f>_xlfn.IFNA(MATCH(BF78,Achievements[[#All],[Column111]],0)+10,"")</f>
        <v/>
      </c>
      <c r="CG78" s="134" t="str">
        <f>_xlfn.IFNA(MATCH(BG78,Achievements[[#All],[Column112]],0)+10,"")</f>
        <v/>
      </c>
      <c r="CH78" s="134" t="str">
        <f>_xlfn.IFNA(MATCH(BH78,Achievements[[#All],[Column112]],0)+10,"")</f>
        <v/>
      </c>
      <c r="CI78" s="134" t="str">
        <f>_xlfn.IFNA(MATCH(BI78,Achievements[[#All],[Column113]],0)+10,"")</f>
        <v/>
      </c>
      <c r="CJ78" s="134" t="str">
        <f>_xlfn.IFNA(MATCH(BJ78,Achievements[[#All],[Column113]],0)+10,"")</f>
        <v/>
      </c>
      <c r="CK78" s="134" t="str">
        <f>_xlfn.IFNA(MATCH(BK78,Achievements[[#All],[Column114]],0)+10,"")</f>
        <v/>
      </c>
      <c r="CL78" s="134" t="str">
        <f>_xlfn.IFNA(MATCH(BL78,Achievements[[#All],[Column114]],0)+10,"")</f>
        <v/>
      </c>
      <c r="CM78" s="134" t="str">
        <f>_xlfn.IFNA(MATCH(BM78,Achievements[[#All],[Column115]],0)+10,"")</f>
        <v/>
      </c>
      <c r="CN78" s="134" t="str">
        <f>_xlfn.IFNA(MATCH(BN78,Achievements[[#All],[Column115]],0)+10,"")</f>
        <v/>
      </c>
      <c r="CO78" s="134" t="str">
        <f>_xlfn.IFNA(MATCH(BO78,Achievements[[#All],[Column116]],0)+10,"")</f>
        <v/>
      </c>
      <c r="CP78" s="134" t="str">
        <f>_xlfn.IFNA(MATCH(BP78,Achievements[[#All],[Column116]],0)+10,"")</f>
        <v/>
      </c>
      <c r="CQ78" s="134" t="str">
        <f>_xlfn.IFNA(MATCH(BQ78,Achievements[[#All],[Column117]],0)+10,"")</f>
        <v/>
      </c>
      <c r="CR78" s="134" t="str">
        <f>_xlfn.IFNA(MATCH(BR78,Achievements[[#All],[Column117]],0)+10,"")</f>
        <v/>
      </c>
      <c r="CS78" s="134" t="str">
        <f>_xlfn.IFNA(MATCH(BS78,Achievements[[#All],[Column118]],0)+10,"")</f>
        <v/>
      </c>
      <c r="CT78" s="134" t="str">
        <f>_xlfn.IFNA(MATCH(BT78,Achievements[[#All],[Column118]],0)+10,"")</f>
        <v/>
      </c>
      <c r="CU78" s="134" t="str">
        <f>_xlfn.IFNA(MATCH(BU78,Achievements[[#All],[Column119]],0)+10,"")</f>
        <v/>
      </c>
      <c r="CV78" s="134" t="str">
        <f>_xlfn.IFNA(MATCH(BV78,Achievements[[#All],[Column119]],0)+10,"")</f>
        <v/>
      </c>
      <c r="CW78" s="134" t="str">
        <f>_xlfn.IFNA(MATCH(BW78,Achievements[[#All],[Column120]],0)+10,"")</f>
        <v/>
      </c>
      <c r="CX78" s="134" t="str">
        <f>_xlfn.IFNA(MATCH(BX78,Achievements[[#All],[Column120]],0)+10,"")</f>
        <v/>
      </c>
      <c r="CY78" s="134" t="str">
        <f>_xlfn.IFNA(MATCH(BY78,Achievements[[#All],[Column121]],0)+10,"")</f>
        <v/>
      </c>
      <c r="CZ78" s="118" t="e">
        <f t="shared" ca="1" si="3"/>
        <v>#NAME?</v>
      </c>
    </row>
    <row r="79" spans="1:104" x14ac:dyDescent="0.25">
      <c r="A79" t="e" cm="1">
        <f t="array" aca="1" ref="A79" ca="1">SplitValues("; ",#REF!)</f>
        <v>#NAME?</v>
      </c>
      <c r="AA79" t="e">
        <f ca="1">_xlfn.IFNA(MATCH(A79,Achievements[[#All],[Column1]],0)+11,"")</f>
        <v>#NAME?</v>
      </c>
      <c r="AB79" s="134" t="str">
        <f>_xlfn.IFNA(MATCH(B79,Achievements[[#All],[Column1]],0)+10,"")</f>
        <v/>
      </c>
      <c r="AC79" s="134" t="str">
        <f>_xlfn.IFNA(MATCH(C79,Achievements[[#All],[Column1]],0)+10,"")</f>
        <v/>
      </c>
      <c r="AD79" s="134" t="str">
        <f>_xlfn.IFNA(MATCH(D79,Achievements[[#All],[Column110]],0)+10,"")</f>
        <v/>
      </c>
      <c r="AE79" s="134" t="str">
        <f>_xlfn.IFNA(MATCH(E79,Achievements[[#All],[Column110]],0)+10,"")</f>
        <v/>
      </c>
      <c r="AF79" s="134" t="str">
        <f>_xlfn.IFNA(MATCH(F79,Achievements[[#All],[Column111]],0)+10,"")</f>
        <v/>
      </c>
      <c r="AG79" s="134" t="str">
        <f>_xlfn.IFNA(MATCH(G79,Achievements[[#All],[Column111]],0)+10,"")</f>
        <v/>
      </c>
      <c r="AH79" s="134" t="str">
        <f>_xlfn.IFNA(MATCH(H79,Achievements[[#All],[Column112]],0)+10,"")</f>
        <v/>
      </c>
      <c r="AI79" s="134" t="str">
        <f>_xlfn.IFNA(MATCH(I79,Achievements[[#All],[Column112]],0)+10,"")</f>
        <v/>
      </c>
      <c r="AJ79" s="134" t="str">
        <f>_xlfn.IFNA(MATCH(J79,Achievements[[#All],[Column113]],0)+10,"")</f>
        <v/>
      </c>
      <c r="AK79" s="134" t="str">
        <f>_xlfn.IFNA(MATCH(K79,Achievements[[#All],[Column113]],0)+10,"")</f>
        <v/>
      </c>
      <c r="AL79" s="134" t="str">
        <f>_xlfn.IFNA(MATCH(L79,Achievements[[#All],[Column114]],0)+10,"")</f>
        <v/>
      </c>
      <c r="AM79" s="134" t="str">
        <f>_xlfn.IFNA(MATCH(M79,Achievements[[#All],[Column114]],0)+10,"")</f>
        <v/>
      </c>
      <c r="AN79" s="134" t="str">
        <f>_xlfn.IFNA(MATCH(N79,Achievements[[#All],[Column115]],0)+10,"")</f>
        <v/>
      </c>
      <c r="AO79" s="134" t="str">
        <f>_xlfn.IFNA(MATCH(O79,Achievements[[#All],[Column115]],0)+10,"")</f>
        <v/>
      </c>
      <c r="AP79" s="134" t="str">
        <f>_xlfn.IFNA(MATCH(P79,Achievements[[#All],[Column116]],0)+10,"")</f>
        <v/>
      </c>
      <c r="AQ79" s="134" t="str">
        <f>_xlfn.IFNA(MATCH(Q79,Achievements[[#All],[Column116]],0)+10,"")</f>
        <v/>
      </c>
      <c r="AR79" s="134" t="str">
        <f>_xlfn.IFNA(MATCH(R79,Achievements[[#All],[Column117]],0)+10,"")</f>
        <v/>
      </c>
      <c r="AS79" s="134" t="str">
        <f>_xlfn.IFNA(MATCH(S79,Achievements[[#All],[Column117]],0)+10,"")</f>
        <v/>
      </c>
      <c r="AT79" s="134" t="str">
        <f>_xlfn.IFNA(MATCH(T79,Achievements[[#All],[Column118]],0)+10,"")</f>
        <v/>
      </c>
      <c r="AU79" s="134" t="str">
        <f>_xlfn.IFNA(MATCH(U79,Achievements[[#All],[Column118]],0)+10,"")</f>
        <v/>
      </c>
      <c r="AV79" s="134" t="str">
        <f>_xlfn.IFNA(MATCH(V79,Achievements[[#All],[Column119]],0)+10,"")</f>
        <v/>
      </c>
      <c r="AW79" s="134" t="str">
        <f>_xlfn.IFNA(MATCH(W79,Achievements[[#All],[Column119]],0)+10,"")</f>
        <v/>
      </c>
      <c r="AX79" s="134" t="str">
        <f>_xlfn.IFNA(MATCH(X79,Achievements[[#All],[Column120]],0)+10,"")</f>
        <v/>
      </c>
      <c r="AY79" s="134" t="str">
        <f>_xlfn.IFNA(MATCH(Y79,Achievements[[#All],[Column120]],0)+10,"")</f>
        <v/>
      </c>
      <c r="AZ79" s="116" t="e">
        <f t="shared" ca="1" si="2"/>
        <v>#NAME?</v>
      </c>
      <c r="BA79" s="134" t="e" cm="1">
        <f t="array" aca="1" ref="BA79" ca="1">SplitValues("; ",Persons[[#This Row],[Column1]])</f>
        <v>#NAME?</v>
      </c>
      <c r="CA79" s="134" t="e">
        <f ca="1">_xlfn.IFNA(MATCH(BA79,Achievements[[#All],[Column1]],0)+10,"")</f>
        <v>#NAME?</v>
      </c>
      <c r="CB79" s="134" t="str">
        <f>_xlfn.IFNA(MATCH(BB79,Achievements[[#All],[Column1]],0)+10,"")</f>
        <v/>
      </c>
      <c r="CC79" s="134" t="str">
        <f>_xlfn.IFNA(MATCH(BC79,Achievements[[#All],[Column110]],0)+10,"")</f>
        <v/>
      </c>
      <c r="CD79" s="134" t="str">
        <f>_xlfn.IFNA(MATCH(BD79,Achievements[[#All],[Column110]],0)+10,"")</f>
        <v/>
      </c>
      <c r="CE79" s="134" t="str">
        <f>_xlfn.IFNA(MATCH(BE79,Achievements[[#All],[Column111]],0)+10,"")</f>
        <v/>
      </c>
      <c r="CF79" s="134" t="str">
        <f>_xlfn.IFNA(MATCH(BF79,Achievements[[#All],[Column111]],0)+10,"")</f>
        <v/>
      </c>
      <c r="CG79" s="134" t="str">
        <f>_xlfn.IFNA(MATCH(BG79,Achievements[[#All],[Column112]],0)+10,"")</f>
        <v/>
      </c>
      <c r="CH79" s="134" t="str">
        <f>_xlfn.IFNA(MATCH(BH79,Achievements[[#All],[Column112]],0)+10,"")</f>
        <v/>
      </c>
      <c r="CI79" s="134" t="str">
        <f>_xlfn.IFNA(MATCH(BI79,Achievements[[#All],[Column113]],0)+10,"")</f>
        <v/>
      </c>
      <c r="CJ79" s="134" t="str">
        <f>_xlfn.IFNA(MATCH(BJ79,Achievements[[#All],[Column113]],0)+10,"")</f>
        <v/>
      </c>
      <c r="CK79" s="134" t="str">
        <f>_xlfn.IFNA(MATCH(BK79,Achievements[[#All],[Column114]],0)+10,"")</f>
        <v/>
      </c>
      <c r="CL79" s="134" t="str">
        <f>_xlfn.IFNA(MATCH(BL79,Achievements[[#All],[Column114]],0)+10,"")</f>
        <v/>
      </c>
      <c r="CM79" s="134" t="str">
        <f>_xlfn.IFNA(MATCH(BM79,Achievements[[#All],[Column115]],0)+10,"")</f>
        <v/>
      </c>
      <c r="CN79" s="134" t="str">
        <f>_xlfn.IFNA(MATCH(BN79,Achievements[[#All],[Column115]],0)+10,"")</f>
        <v/>
      </c>
      <c r="CO79" s="134" t="str">
        <f>_xlfn.IFNA(MATCH(BO79,Achievements[[#All],[Column116]],0)+10,"")</f>
        <v/>
      </c>
      <c r="CP79" s="134" t="str">
        <f>_xlfn.IFNA(MATCH(BP79,Achievements[[#All],[Column116]],0)+10,"")</f>
        <v/>
      </c>
      <c r="CQ79" s="134" t="str">
        <f>_xlfn.IFNA(MATCH(BQ79,Achievements[[#All],[Column117]],0)+10,"")</f>
        <v/>
      </c>
      <c r="CR79" s="134" t="str">
        <f>_xlfn.IFNA(MATCH(BR79,Achievements[[#All],[Column117]],0)+10,"")</f>
        <v/>
      </c>
      <c r="CS79" s="134" t="str">
        <f>_xlfn.IFNA(MATCH(BS79,Achievements[[#All],[Column118]],0)+10,"")</f>
        <v/>
      </c>
      <c r="CT79" s="134" t="str">
        <f>_xlfn.IFNA(MATCH(BT79,Achievements[[#All],[Column118]],0)+10,"")</f>
        <v/>
      </c>
      <c r="CU79" s="134" t="str">
        <f>_xlfn.IFNA(MATCH(BU79,Achievements[[#All],[Column119]],0)+10,"")</f>
        <v/>
      </c>
      <c r="CV79" s="134" t="str">
        <f>_xlfn.IFNA(MATCH(BV79,Achievements[[#All],[Column119]],0)+10,"")</f>
        <v/>
      </c>
      <c r="CW79" s="134" t="str">
        <f>_xlfn.IFNA(MATCH(BW79,Achievements[[#All],[Column120]],0)+10,"")</f>
        <v/>
      </c>
      <c r="CX79" s="134" t="str">
        <f>_xlfn.IFNA(MATCH(BX79,Achievements[[#All],[Column120]],0)+10,"")</f>
        <v/>
      </c>
      <c r="CY79" s="134" t="str">
        <f>_xlfn.IFNA(MATCH(BY79,Achievements[[#All],[Column121]],0)+10,"")</f>
        <v/>
      </c>
      <c r="CZ79" s="118" t="e">
        <f t="shared" ca="1" si="3"/>
        <v>#NAME?</v>
      </c>
    </row>
    <row r="80" spans="1:104" x14ac:dyDescent="0.25">
      <c r="A80" t="e" cm="1">
        <f t="array" aca="1" ref="A80" ca="1">SplitValues("; ",#REF!)</f>
        <v>#NAME?</v>
      </c>
      <c r="AA80" t="e">
        <f ca="1">_xlfn.IFNA(MATCH(A80,Achievements[[#All],[Column1]],0)+11,"")</f>
        <v>#NAME?</v>
      </c>
      <c r="AB80" s="134" t="str">
        <f>_xlfn.IFNA(MATCH(B80,Achievements[[#All],[Column1]],0)+10,"")</f>
        <v/>
      </c>
      <c r="AC80" s="134" t="str">
        <f>_xlfn.IFNA(MATCH(C80,Achievements[[#All],[Column1]],0)+10,"")</f>
        <v/>
      </c>
      <c r="AD80" s="134" t="str">
        <f>_xlfn.IFNA(MATCH(D80,Achievements[[#All],[Column110]],0)+10,"")</f>
        <v/>
      </c>
      <c r="AE80" s="134" t="str">
        <f>_xlfn.IFNA(MATCH(E80,Achievements[[#All],[Column110]],0)+10,"")</f>
        <v/>
      </c>
      <c r="AF80" s="134" t="str">
        <f>_xlfn.IFNA(MATCH(F80,Achievements[[#All],[Column111]],0)+10,"")</f>
        <v/>
      </c>
      <c r="AG80" s="134" t="str">
        <f>_xlfn.IFNA(MATCH(G80,Achievements[[#All],[Column111]],0)+10,"")</f>
        <v/>
      </c>
      <c r="AH80" s="134" t="str">
        <f>_xlfn.IFNA(MATCH(H80,Achievements[[#All],[Column112]],0)+10,"")</f>
        <v/>
      </c>
      <c r="AI80" s="134" t="str">
        <f>_xlfn.IFNA(MATCH(I80,Achievements[[#All],[Column112]],0)+10,"")</f>
        <v/>
      </c>
      <c r="AJ80" s="134" t="str">
        <f>_xlfn.IFNA(MATCH(J80,Achievements[[#All],[Column113]],0)+10,"")</f>
        <v/>
      </c>
      <c r="AK80" s="134" t="str">
        <f>_xlfn.IFNA(MATCH(K80,Achievements[[#All],[Column113]],0)+10,"")</f>
        <v/>
      </c>
      <c r="AL80" s="134" t="str">
        <f>_xlfn.IFNA(MATCH(L80,Achievements[[#All],[Column114]],0)+10,"")</f>
        <v/>
      </c>
      <c r="AM80" s="134" t="str">
        <f>_xlfn.IFNA(MATCH(M80,Achievements[[#All],[Column114]],0)+10,"")</f>
        <v/>
      </c>
      <c r="AN80" s="134" t="str">
        <f>_xlfn.IFNA(MATCH(N80,Achievements[[#All],[Column115]],0)+10,"")</f>
        <v/>
      </c>
      <c r="AO80" s="134" t="str">
        <f>_xlfn.IFNA(MATCH(O80,Achievements[[#All],[Column115]],0)+10,"")</f>
        <v/>
      </c>
      <c r="AP80" s="134" t="str">
        <f>_xlfn.IFNA(MATCH(P80,Achievements[[#All],[Column116]],0)+10,"")</f>
        <v/>
      </c>
      <c r="AQ80" s="134" t="str">
        <f>_xlfn.IFNA(MATCH(Q80,Achievements[[#All],[Column116]],0)+10,"")</f>
        <v/>
      </c>
      <c r="AR80" s="134" t="str">
        <f>_xlfn.IFNA(MATCH(R80,Achievements[[#All],[Column117]],0)+10,"")</f>
        <v/>
      </c>
      <c r="AS80" s="134" t="str">
        <f>_xlfn.IFNA(MATCH(S80,Achievements[[#All],[Column117]],0)+10,"")</f>
        <v/>
      </c>
      <c r="AT80" s="134" t="str">
        <f>_xlfn.IFNA(MATCH(T80,Achievements[[#All],[Column118]],0)+10,"")</f>
        <v/>
      </c>
      <c r="AU80" s="134" t="str">
        <f>_xlfn.IFNA(MATCH(U80,Achievements[[#All],[Column118]],0)+10,"")</f>
        <v/>
      </c>
      <c r="AV80" s="134" t="str">
        <f>_xlfn.IFNA(MATCH(V80,Achievements[[#All],[Column119]],0)+10,"")</f>
        <v/>
      </c>
      <c r="AW80" s="134" t="str">
        <f>_xlfn.IFNA(MATCH(W80,Achievements[[#All],[Column119]],0)+10,"")</f>
        <v/>
      </c>
      <c r="AX80" s="134" t="str">
        <f>_xlfn.IFNA(MATCH(X80,Achievements[[#All],[Column120]],0)+10,"")</f>
        <v/>
      </c>
      <c r="AY80" s="134" t="str">
        <f>_xlfn.IFNA(MATCH(Y80,Achievements[[#All],[Column120]],0)+10,"")</f>
        <v/>
      </c>
      <c r="AZ80" s="116" t="e">
        <f t="shared" ca="1" si="2"/>
        <v>#NAME?</v>
      </c>
      <c r="BA80" s="134" t="e" cm="1">
        <f t="array" aca="1" ref="BA80" ca="1">SplitValues("; ",Persons[[#This Row],[Column1]])</f>
        <v>#NAME?</v>
      </c>
      <c r="CA80" s="134" t="e">
        <f ca="1">_xlfn.IFNA(MATCH(BA80,Achievements[[#All],[Column1]],0)+10,"")</f>
        <v>#NAME?</v>
      </c>
      <c r="CB80" s="134" t="str">
        <f>_xlfn.IFNA(MATCH(BB80,Achievements[[#All],[Column1]],0)+10,"")</f>
        <v/>
      </c>
      <c r="CC80" s="134" t="str">
        <f>_xlfn.IFNA(MATCH(BC80,Achievements[[#All],[Column110]],0)+10,"")</f>
        <v/>
      </c>
      <c r="CD80" s="134" t="str">
        <f>_xlfn.IFNA(MATCH(BD80,Achievements[[#All],[Column110]],0)+10,"")</f>
        <v/>
      </c>
      <c r="CE80" s="134" t="str">
        <f>_xlfn.IFNA(MATCH(BE80,Achievements[[#All],[Column111]],0)+10,"")</f>
        <v/>
      </c>
      <c r="CF80" s="134" t="str">
        <f>_xlfn.IFNA(MATCH(BF80,Achievements[[#All],[Column111]],0)+10,"")</f>
        <v/>
      </c>
      <c r="CG80" s="134" t="str">
        <f>_xlfn.IFNA(MATCH(BG80,Achievements[[#All],[Column112]],0)+10,"")</f>
        <v/>
      </c>
      <c r="CH80" s="134" t="str">
        <f>_xlfn.IFNA(MATCH(BH80,Achievements[[#All],[Column112]],0)+10,"")</f>
        <v/>
      </c>
      <c r="CI80" s="134" t="str">
        <f>_xlfn.IFNA(MATCH(BI80,Achievements[[#All],[Column113]],0)+10,"")</f>
        <v/>
      </c>
      <c r="CJ80" s="134" t="str">
        <f>_xlfn.IFNA(MATCH(BJ80,Achievements[[#All],[Column113]],0)+10,"")</f>
        <v/>
      </c>
      <c r="CK80" s="134" t="str">
        <f>_xlfn.IFNA(MATCH(BK80,Achievements[[#All],[Column114]],0)+10,"")</f>
        <v/>
      </c>
      <c r="CL80" s="134" t="str">
        <f>_xlfn.IFNA(MATCH(BL80,Achievements[[#All],[Column114]],0)+10,"")</f>
        <v/>
      </c>
      <c r="CM80" s="134" t="str">
        <f>_xlfn.IFNA(MATCH(BM80,Achievements[[#All],[Column115]],0)+10,"")</f>
        <v/>
      </c>
      <c r="CN80" s="134" t="str">
        <f>_xlfn.IFNA(MATCH(BN80,Achievements[[#All],[Column115]],0)+10,"")</f>
        <v/>
      </c>
      <c r="CO80" s="134" t="str">
        <f>_xlfn.IFNA(MATCH(BO80,Achievements[[#All],[Column116]],0)+10,"")</f>
        <v/>
      </c>
      <c r="CP80" s="134" t="str">
        <f>_xlfn.IFNA(MATCH(BP80,Achievements[[#All],[Column116]],0)+10,"")</f>
        <v/>
      </c>
      <c r="CQ80" s="134" t="str">
        <f>_xlfn.IFNA(MATCH(BQ80,Achievements[[#All],[Column117]],0)+10,"")</f>
        <v/>
      </c>
      <c r="CR80" s="134" t="str">
        <f>_xlfn.IFNA(MATCH(BR80,Achievements[[#All],[Column117]],0)+10,"")</f>
        <v/>
      </c>
      <c r="CS80" s="134" t="str">
        <f>_xlfn.IFNA(MATCH(BS80,Achievements[[#All],[Column118]],0)+10,"")</f>
        <v/>
      </c>
      <c r="CT80" s="134" t="str">
        <f>_xlfn.IFNA(MATCH(BT80,Achievements[[#All],[Column118]],0)+10,"")</f>
        <v/>
      </c>
      <c r="CU80" s="134" t="str">
        <f>_xlfn.IFNA(MATCH(BU80,Achievements[[#All],[Column119]],0)+10,"")</f>
        <v/>
      </c>
      <c r="CV80" s="134" t="str">
        <f>_xlfn.IFNA(MATCH(BV80,Achievements[[#All],[Column119]],0)+10,"")</f>
        <v/>
      </c>
      <c r="CW80" s="134" t="str">
        <f>_xlfn.IFNA(MATCH(BW80,Achievements[[#All],[Column120]],0)+10,"")</f>
        <v/>
      </c>
      <c r="CX80" s="134" t="str">
        <f>_xlfn.IFNA(MATCH(BX80,Achievements[[#All],[Column120]],0)+10,"")</f>
        <v/>
      </c>
      <c r="CY80" s="134" t="str">
        <f>_xlfn.IFNA(MATCH(BY80,Achievements[[#All],[Column121]],0)+10,"")</f>
        <v/>
      </c>
      <c r="CZ80" s="118" t="e">
        <f t="shared" ca="1" si="3"/>
        <v>#NAME?</v>
      </c>
    </row>
    <row r="81" spans="1:104" x14ac:dyDescent="0.25">
      <c r="A81" t="e" cm="1">
        <f t="array" aca="1" ref="A81" ca="1">SplitValues("; ",#REF!)</f>
        <v>#NAME?</v>
      </c>
      <c r="AA81" t="e">
        <f ca="1">_xlfn.IFNA(MATCH(A81,Achievements[[#All],[Column1]],0)+11,"")</f>
        <v>#NAME?</v>
      </c>
      <c r="AB81" s="134" t="str">
        <f>_xlfn.IFNA(MATCH(B81,Achievements[[#All],[Column1]],0)+10,"")</f>
        <v/>
      </c>
      <c r="AC81" s="134" t="str">
        <f>_xlfn.IFNA(MATCH(C81,Achievements[[#All],[Column1]],0)+10,"")</f>
        <v/>
      </c>
      <c r="AD81" s="134" t="str">
        <f>_xlfn.IFNA(MATCH(D81,Achievements[[#All],[Column110]],0)+10,"")</f>
        <v/>
      </c>
      <c r="AE81" s="134" t="str">
        <f>_xlfn.IFNA(MATCH(E81,Achievements[[#All],[Column110]],0)+10,"")</f>
        <v/>
      </c>
      <c r="AF81" s="134" t="str">
        <f>_xlfn.IFNA(MATCH(F81,Achievements[[#All],[Column111]],0)+10,"")</f>
        <v/>
      </c>
      <c r="AG81" s="134" t="str">
        <f>_xlfn.IFNA(MATCH(G81,Achievements[[#All],[Column111]],0)+10,"")</f>
        <v/>
      </c>
      <c r="AH81" s="134" t="str">
        <f>_xlfn.IFNA(MATCH(H81,Achievements[[#All],[Column112]],0)+10,"")</f>
        <v/>
      </c>
      <c r="AI81" s="134" t="str">
        <f>_xlfn.IFNA(MATCH(I81,Achievements[[#All],[Column112]],0)+10,"")</f>
        <v/>
      </c>
      <c r="AJ81" s="134" t="str">
        <f>_xlfn.IFNA(MATCH(J81,Achievements[[#All],[Column113]],0)+10,"")</f>
        <v/>
      </c>
      <c r="AK81" s="134" t="str">
        <f>_xlfn.IFNA(MATCH(K81,Achievements[[#All],[Column113]],0)+10,"")</f>
        <v/>
      </c>
      <c r="AL81" s="134" t="str">
        <f>_xlfn.IFNA(MATCH(L81,Achievements[[#All],[Column114]],0)+10,"")</f>
        <v/>
      </c>
      <c r="AM81" s="134" t="str">
        <f>_xlfn.IFNA(MATCH(M81,Achievements[[#All],[Column114]],0)+10,"")</f>
        <v/>
      </c>
      <c r="AN81" s="134" t="str">
        <f>_xlfn.IFNA(MATCH(N81,Achievements[[#All],[Column115]],0)+10,"")</f>
        <v/>
      </c>
      <c r="AO81" s="134" t="str">
        <f>_xlfn.IFNA(MATCH(O81,Achievements[[#All],[Column115]],0)+10,"")</f>
        <v/>
      </c>
      <c r="AP81" s="134" t="str">
        <f>_xlfn.IFNA(MATCH(P81,Achievements[[#All],[Column116]],0)+10,"")</f>
        <v/>
      </c>
      <c r="AQ81" s="134" t="str">
        <f>_xlfn.IFNA(MATCH(Q81,Achievements[[#All],[Column116]],0)+10,"")</f>
        <v/>
      </c>
      <c r="AR81" s="134" t="str">
        <f>_xlfn.IFNA(MATCH(R81,Achievements[[#All],[Column117]],0)+10,"")</f>
        <v/>
      </c>
      <c r="AS81" s="134" t="str">
        <f>_xlfn.IFNA(MATCH(S81,Achievements[[#All],[Column117]],0)+10,"")</f>
        <v/>
      </c>
      <c r="AT81" s="134" t="str">
        <f>_xlfn.IFNA(MATCH(T81,Achievements[[#All],[Column118]],0)+10,"")</f>
        <v/>
      </c>
      <c r="AU81" s="134" t="str">
        <f>_xlfn.IFNA(MATCH(U81,Achievements[[#All],[Column118]],0)+10,"")</f>
        <v/>
      </c>
      <c r="AV81" s="134" t="str">
        <f>_xlfn.IFNA(MATCH(V81,Achievements[[#All],[Column119]],0)+10,"")</f>
        <v/>
      </c>
      <c r="AW81" s="134" t="str">
        <f>_xlfn.IFNA(MATCH(W81,Achievements[[#All],[Column119]],0)+10,"")</f>
        <v/>
      </c>
      <c r="AX81" s="134" t="str">
        <f>_xlfn.IFNA(MATCH(X81,Achievements[[#All],[Column120]],0)+10,"")</f>
        <v/>
      </c>
      <c r="AY81" s="134" t="str">
        <f>_xlfn.IFNA(MATCH(Y81,Achievements[[#All],[Column120]],0)+10,"")</f>
        <v/>
      </c>
      <c r="AZ81" s="116" t="e">
        <f t="shared" ca="1" si="2"/>
        <v>#NAME?</v>
      </c>
      <c r="BA81" s="134" t="e" cm="1">
        <f t="array" aca="1" ref="BA81" ca="1">SplitValues("; ",Persons[[#This Row],[Column1]])</f>
        <v>#NAME?</v>
      </c>
      <c r="CA81" s="134" t="e">
        <f ca="1">_xlfn.IFNA(MATCH(BA81,Achievements[[#All],[Column1]],0)+10,"")</f>
        <v>#NAME?</v>
      </c>
      <c r="CB81" s="134" t="str">
        <f>_xlfn.IFNA(MATCH(BB81,Achievements[[#All],[Column1]],0)+10,"")</f>
        <v/>
      </c>
      <c r="CC81" s="134" t="str">
        <f>_xlfn.IFNA(MATCH(BC81,Achievements[[#All],[Column110]],0)+10,"")</f>
        <v/>
      </c>
      <c r="CD81" s="134" t="str">
        <f>_xlfn.IFNA(MATCH(BD81,Achievements[[#All],[Column110]],0)+10,"")</f>
        <v/>
      </c>
      <c r="CE81" s="134" t="str">
        <f>_xlfn.IFNA(MATCH(BE81,Achievements[[#All],[Column111]],0)+10,"")</f>
        <v/>
      </c>
      <c r="CF81" s="134" t="str">
        <f>_xlfn.IFNA(MATCH(BF81,Achievements[[#All],[Column111]],0)+10,"")</f>
        <v/>
      </c>
      <c r="CG81" s="134" t="str">
        <f>_xlfn.IFNA(MATCH(BG81,Achievements[[#All],[Column112]],0)+10,"")</f>
        <v/>
      </c>
      <c r="CH81" s="134" t="str">
        <f>_xlfn.IFNA(MATCH(BH81,Achievements[[#All],[Column112]],0)+10,"")</f>
        <v/>
      </c>
      <c r="CI81" s="134" t="str">
        <f>_xlfn.IFNA(MATCH(BI81,Achievements[[#All],[Column113]],0)+10,"")</f>
        <v/>
      </c>
      <c r="CJ81" s="134" t="str">
        <f>_xlfn.IFNA(MATCH(BJ81,Achievements[[#All],[Column113]],0)+10,"")</f>
        <v/>
      </c>
      <c r="CK81" s="134" t="str">
        <f>_xlfn.IFNA(MATCH(BK81,Achievements[[#All],[Column114]],0)+10,"")</f>
        <v/>
      </c>
      <c r="CL81" s="134" t="str">
        <f>_xlfn.IFNA(MATCH(BL81,Achievements[[#All],[Column114]],0)+10,"")</f>
        <v/>
      </c>
      <c r="CM81" s="134" t="str">
        <f>_xlfn.IFNA(MATCH(BM81,Achievements[[#All],[Column115]],0)+10,"")</f>
        <v/>
      </c>
      <c r="CN81" s="134" t="str">
        <f>_xlfn.IFNA(MATCH(BN81,Achievements[[#All],[Column115]],0)+10,"")</f>
        <v/>
      </c>
      <c r="CO81" s="134" t="str">
        <f>_xlfn.IFNA(MATCH(BO81,Achievements[[#All],[Column116]],0)+10,"")</f>
        <v/>
      </c>
      <c r="CP81" s="134" t="str">
        <f>_xlfn.IFNA(MATCH(BP81,Achievements[[#All],[Column116]],0)+10,"")</f>
        <v/>
      </c>
      <c r="CQ81" s="134" t="str">
        <f>_xlfn.IFNA(MATCH(BQ81,Achievements[[#All],[Column117]],0)+10,"")</f>
        <v/>
      </c>
      <c r="CR81" s="134" t="str">
        <f>_xlfn.IFNA(MATCH(BR81,Achievements[[#All],[Column117]],0)+10,"")</f>
        <v/>
      </c>
      <c r="CS81" s="134" t="str">
        <f>_xlfn.IFNA(MATCH(BS81,Achievements[[#All],[Column118]],0)+10,"")</f>
        <v/>
      </c>
      <c r="CT81" s="134" t="str">
        <f>_xlfn.IFNA(MATCH(BT81,Achievements[[#All],[Column118]],0)+10,"")</f>
        <v/>
      </c>
      <c r="CU81" s="134" t="str">
        <f>_xlfn.IFNA(MATCH(BU81,Achievements[[#All],[Column119]],0)+10,"")</f>
        <v/>
      </c>
      <c r="CV81" s="134" t="str">
        <f>_xlfn.IFNA(MATCH(BV81,Achievements[[#All],[Column119]],0)+10,"")</f>
        <v/>
      </c>
      <c r="CW81" s="134" t="str">
        <f>_xlfn.IFNA(MATCH(BW81,Achievements[[#All],[Column120]],0)+10,"")</f>
        <v/>
      </c>
      <c r="CX81" s="134" t="str">
        <f>_xlfn.IFNA(MATCH(BX81,Achievements[[#All],[Column120]],0)+10,"")</f>
        <v/>
      </c>
      <c r="CY81" s="134" t="str">
        <f>_xlfn.IFNA(MATCH(BY81,Achievements[[#All],[Column121]],0)+10,"")</f>
        <v/>
      </c>
      <c r="CZ81" s="118" t="e">
        <f t="shared" ca="1" si="3"/>
        <v>#NAME?</v>
      </c>
    </row>
    <row r="82" spans="1:104" x14ac:dyDescent="0.25">
      <c r="A82" t="e" cm="1">
        <f t="array" aca="1" ref="A82" ca="1">SplitValues("; ",#REF!)</f>
        <v>#NAME?</v>
      </c>
      <c r="AA82" t="e">
        <f ca="1">_xlfn.IFNA(MATCH(A82,Achievements[[#All],[Column1]],0)+11,"")</f>
        <v>#NAME?</v>
      </c>
      <c r="AB82" s="134" t="str">
        <f>_xlfn.IFNA(MATCH(B82,Achievements[[#All],[Column1]],0)+10,"")</f>
        <v/>
      </c>
      <c r="AC82" s="134" t="str">
        <f>_xlfn.IFNA(MATCH(C82,Achievements[[#All],[Column1]],0)+10,"")</f>
        <v/>
      </c>
      <c r="AD82" s="134" t="str">
        <f>_xlfn.IFNA(MATCH(D82,Achievements[[#All],[Column110]],0)+10,"")</f>
        <v/>
      </c>
      <c r="AE82" s="134" t="str">
        <f>_xlfn.IFNA(MATCH(E82,Achievements[[#All],[Column110]],0)+10,"")</f>
        <v/>
      </c>
      <c r="AF82" s="134" t="str">
        <f>_xlfn.IFNA(MATCH(F82,Achievements[[#All],[Column111]],0)+10,"")</f>
        <v/>
      </c>
      <c r="AG82" s="134" t="str">
        <f>_xlfn.IFNA(MATCH(G82,Achievements[[#All],[Column111]],0)+10,"")</f>
        <v/>
      </c>
      <c r="AH82" s="134" t="str">
        <f>_xlfn.IFNA(MATCH(H82,Achievements[[#All],[Column112]],0)+10,"")</f>
        <v/>
      </c>
      <c r="AI82" s="134" t="str">
        <f>_xlfn.IFNA(MATCH(I82,Achievements[[#All],[Column112]],0)+10,"")</f>
        <v/>
      </c>
      <c r="AJ82" s="134" t="str">
        <f>_xlfn.IFNA(MATCH(J82,Achievements[[#All],[Column113]],0)+10,"")</f>
        <v/>
      </c>
      <c r="AK82" s="134" t="str">
        <f>_xlfn.IFNA(MATCH(K82,Achievements[[#All],[Column113]],0)+10,"")</f>
        <v/>
      </c>
      <c r="AL82" s="134" t="str">
        <f>_xlfn.IFNA(MATCH(L82,Achievements[[#All],[Column114]],0)+10,"")</f>
        <v/>
      </c>
      <c r="AM82" s="134" t="str">
        <f>_xlfn.IFNA(MATCH(M82,Achievements[[#All],[Column114]],0)+10,"")</f>
        <v/>
      </c>
      <c r="AN82" s="134" t="str">
        <f>_xlfn.IFNA(MATCH(N82,Achievements[[#All],[Column115]],0)+10,"")</f>
        <v/>
      </c>
      <c r="AO82" s="134" t="str">
        <f>_xlfn.IFNA(MATCH(O82,Achievements[[#All],[Column115]],0)+10,"")</f>
        <v/>
      </c>
      <c r="AP82" s="134" t="str">
        <f>_xlfn.IFNA(MATCH(P82,Achievements[[#All],[Column116]],0)+10,"")</f>
        <v/>
      </c>
      <c r="AQ82" s="134" t="str">
        <f>_xlfn.IFNA(MATCH(Q82,Achievements[[#All],[Column116]],0)+10,"")</f>
        <v/>
      </c>
      <c r="AR82" s="134" t="str">
        <f>_xlfn.IFNA(MATCH(R82,Achievements[[#All],[Column117]],0)+10,"")</f>
        <v/>
      </c>
      <c r="AS82" s="134" t="str">
        <f>_xlfn.IFNA(MATCH(S82,Achievements[[#All],[Column117]],0)+10,"")</f>
        <v/>
      </c>
      <c r="AT82" s="134" t="str">
        <f>_xlfn.IFNA(MATCH(T82,Achievements[[#All],[Column118]],0)+10,"")</f>
        <v/>
      </c>
      <c r="AU82" s="134" t="str">
        <f>_xlfn.IFNA(MATCH(U82,Achievements[[#All],[Column118]],0)+10,"")</f>
        <v/>
      </c>
      <c r="AV82" s="134" t="str">
        <f>_xlfn.IFNA(MATCH(V82,Achievements[[#All],[Column119]],0)+10,"")</f>
        <v/>
      </c>
      <c r="AW82" s="134" t="str">
        <f>_xlfn.IFNA(MATCH(W82,Achievements[[#All],[Column119]],0)+10,"")</f>
        <v/>
      </c>
      <c r="AX82" s="134" t="str">
        <f>_xlfn.IFNA(MATCH(X82,Achievements[[#All],[Column120]],0)+10,"")</f>
        <v/>
      </c>
      <c r="AY82" s="134" t="str">
        <f>_xlfn.IFNA(MATCH(Y82,Achievements[[#All],[Column120]],0)+10,"")</f>
        <v/>
      </c>
      <c r="AZ82" s="116" t="e">
        <f t="shared" ca="1" si="2"/>
        <v>#NAME?</v>
      </c>
      <c r="BA82" s="134" t="e" cm="1">
        <f t="array" aca="1" ref="BA82" ca="1">SplitValues("; ",Persons[[#This Row],[Column1]])</f>
        <v>#NAME?</v>
      </c>
      <c r="CA82" s="134" t="e">
        <f ca="1">_xlfn.IFNA(MATCH(BA82,Achievements[[#All],[Column1]],0)+10,"")</f>
        <v>#NAME?</v>
      </c>
      <c r="CB82" s="134" t="str">
        <f>_xlfn.IFNA(MATCH(BB82,Achievements[[#All],[Column1]],0)+10,"")</f>
        <v/>
      </c>
      <c r="CC82" s="134" t="str">
        <f>_xlfn.IFNA(MATCH(BC82,Achievements[[#All],[Column110]],0)+10,"")</f>
        <v/>
      </c>
      <c r="CD82" s="134" t="str">
        <f>_xlfn.IFNA(MATCH(BD82,Achievements[[#All],[Column110]],0)+10,"")</f>
        <v/>
      </c>
      <c r="CE82" s="134" t="str">
        <f>_xlfn.IFNA(MATCH(BE82,Achievements[[#All],[Column111]],0)+10,"")</f>
        <v/>
      </c>
      <c r="CF82" s="134" t="str">
        <f>_xlfn.IFNA(MATCH(BF82,Achievements[[#All],[Column111]],0)+10,"")</f>
        <v/>
      </c>
      <c r="CG82" s="134" t="str">
        <f>_xlfn.IFNA(MATCH(BG82,Achievements[[#All],[Column112]],0)+10,"")</f>
        <v/>
      </c>
      <c r="CH82" s="134" t="str">
        <f>_xlfn.IFNA(MATCH(BH82,Achievements[[#All],[Column112]],0)+10,"")</f>
        <v/>
      </c>
      <c r="CI82" s="134" t="str">
        <f>_xlfn.IFNA(MATCH(BI82,Achievements[[#All],[Column113]],0)+10,"")</f>
        <v/>
      </c>
      <c r="CJ82" s="134" t="str">
        <f>_xlfn.IFNA(MATCH(BJ82,Achievements[[#All],[Column113]],0)+10,"")</f>
        <v/>
      </c>
      <c r="CK82" s="134" t="str">
        <f>_xlfn.IFNA(MATCH(BK82,Achievements[[#All],[Column114]],0)+10,"")</f>
        <v/>
      </c>
      <c r="CL82" s="134" t="str">
        <f>_xlfn.IFNA(MATCH(BL82,Achievements[[#All],[Column114]],0)+10,"")</f>
        <v/>
      </c>
      <c r="CM82" s="134" t="str">
        <f>_xlfn.IFNA(MATCH(BM82,Achievements[[#All],[Column115]],0)+10,"")</f>
        <v/>
      </c>
      <c r="CN82" s="134" t="str">
        <f>_xlfn.IFNA(MATCH(BN82,Achievements[[#All],[Column115]],0)+10,"")</f>
        <v/>
      </c>
      <c r="CO82" s="134" t="str">
        <f>_xlfn.IFNA(MATCH(BO82,Achievements[[#All],[Column116]],0)+10,"")</f>
        <v/>
      </c>
      <c r="CP82" s="134" t="str">
        <f>_xlfn.IFNA(MATCH(BP82,Achievements[[#All],[Column116]],0)+10,"")</f>
        <v/>
      </c>
      <c r="CQ82" s="134" t="str">
        <f>_xlfn.IFNA(MATCH(BQ82,Achievements[[#All],[Column117]],0)+10,"")</f>
        <v/>
      </c>
      <c r="CR82" s="134" t="str">
        <f>_xlfn.IFNA(MATCH(BR82,Achievements[[#All],[Column117]],0)+10,"")</f>
        <v/>
      </c>
      <c r="CS82" s="134" t="str">
        <f>_xlfn.IFNA(MATCH(BS82,Achievements[[#All],[Column118]],0)+10,"")</f>
        <v/>
      </c>
      <c r="CT82" s="134" t="str">
        <f>_xlfn.IFNA(MATCH(BT82,Achievements[[#All],[Column118]],0)+10,"")</f>
        <v/>
      </c>
      <c r="CU82" s="134" t="str">
        <f>_xlfn.IFNA(MATCH(BU82,Achievements[[#All],[Column119]],0)+10,"")</f>
        <v/>
      </c>
      <c r="CV82" s="134" t="str">
        <f>_xlfn.IFNA(MATCH(BV82,Achievements[[#All],[Column119]],0)+10,"")</f>
        <v/>
      </c>
      <c r="CW82" s="134" t="str">
        <f>_xlfn.IFNA(MATCH(BW82,Achievements[[#All],[Column120]],0)+10,"")</f>
        <v/>
      </c>
      <c r="CX82" s="134" t="str">
        <f>_xlfn.IFNA(MATCH(BX82,Achievements[[#All],[Column120]],0)+10,"")</f>
        <v/>
      </c>
      <c r="CY82" s="134" t="str">
        <f>_xlfn.IFNA(MATCH(BY82,Achievements[[#All],[Column121]],0)+10,"")</f>
        <v/>
      </c>
      <c r="CZ82" s="118" t="e">
        <f t="shared" ca="1" si="3"/>
        <v>#NAME?</v>
      </c>
    </row>
    <row r="83" spans="1:104" x14ac:dyDescent="0.25">
      <c r="A83" t="e" cm="1">
        <f t="array" aca="1" ref="A83" ca="1">SplitValues("; ",#REF!)</f>
        <v>#NAME?</v>
      </c>
      <c r="AA83" t="e">
        <f ca="1">_xlfn.IFNA(MATCH(A83,Achievements[[#All],[Column1]],0)+11,"")</f>
        <v>#NAME?</v>
      </c>
      <c r="AB83" s="134" t="str">
        <f>_xlfn.IFNA(MATCH(B83,Achievements[[#All],[Column1]],0)+10,"")</f>
        <v/>
      </c>
      <c r="AC83" s="134" t="str">
        <f>_xlfn.IFNA(MATCH(C83,Achievements[[#All],[Column1]],0)+10,"")</f>
        <v/>
      </c>
      <c r="AD83" s="134" t="str">
        <f>_xlfn.IFNA(MATCH(D83,Achievements[[#All],[Column110]],0)+10,"")</f>
        <v/>
      </c>
      <c r="AE83" s="134" t="str">
        <f>_xlfn.IFNA(MATCH(E83,Achievements[[#All],[Column110]],0)+10,"")</f>
        <v/>
      </c>
      <c r="AF83" s="134" t="str">
        <f>_xlfn.IFNA(MATCH(F83,Achievements[[#All],[Column111]],0)+10,"")</f>
        <v/>
      </c>
      <c r="AG83" s="134" t="str">
        <f>_xlfn.IFNA(MATCH(G83,Achievements[[#All],[Column111]],0)+10,"")</f>
        <v/>
      </c>
      <c r="AH83" s="134" t="str">
        <f>_xlfn.IFNA(MATCH(H83,Achievements[[#All],[Column112]],0)+10,"")</f>
        <v/>
      </c>
      <c r="AI83" s="134" t="str">
        <f>_xlfn.IFNA(MATCH(I83,Achievements[[#All],[Column112]],0)+10,"")</f>
        <v/>
      </c>
      <c r="AJ83" s="134" t="str">
        <f>_xlfn.IFNA(MATCH(J83,Achievements[[#All],[Column113]],0)+10,"")</f>
        <v/>
      </c>
      <c r="AK83" s="134" t="str">
        <f>_xlfn.IFNA(MATCH(K83,Achievements[[#All],[Column113]],0)+10,"")</f>
        <v/>
      </c>
      <c r="AL83" s="134" t="str">
        <f>_xlfn.IFNA(MATCH(L83,Achievements[[#All],[Column114]],0)+10,"")</f>
        <v/>
      </c>
      <c r="AM83" s="134" t="str">
        <f>_xlfn.IFNA(MATCH(M83,Achievements[[#All],[Column114]],0)+10,"")</f>
        <v/>
      </c>
      <c r="AN83" s="134" t="str">
        <f>_xlfn.IFNA(MATCH(N83,Achievements[[#All],[Column115]],0)+10,"")</f>
        <v/>
      </c>
      <c r="AO83" s="134" t="str">
        <f>_xlfn.IFNA(MATCH(O83,Achievements[[#All],[Column115]],0)+10,"")</f>
        <v/>
      </c>
      <c r="AP83" s="134" t="str">
        <f>_xlfn.IFNA(MATCH(P83,Achievements[[#All],[Column116]],0)+10,"")</f>
        <v/>
      </c>
      <c r="AQ83" s="134" t="str">
        <f>_xlfn.IFNA(MATCH(Q83,Achievements[[#All],[Column116]],0)+10,"")</f>
        <v/>
      </c>
      <c r="AR83" s="134" t="str">
        <f>_xlfn.IFNA(MATCH(R83,Achievements[[#All],[Column117]],0)+10,"")</f>
        <v/>
      </c>
      <c r="AS83" s="134" t="str">
        <f>_xlfn.IFNA(MATCH(S83,Achievements[[#All],[Column117]],0)+10,"")</f>
        <v/>
      </c>
      <c r="AT83" s="134" t="str">
        <f>_xlfn.IFNA(MATCH(T83,Achievements[[#All],[Column118]],0)+10,"")</f>
        <v/>
      </c>
      <c r="AU83" s="134" t="str">
        <f>_xlfn.IFNA(MATCH(U83,Achievements[[#All],[Column118]],0)+10,"")</f>
        <v/>
      </c>
      <c r="AV83" s="134" t="str">
        <f>_xlfn.IFNA(MATCH(V83,Achievements[[#All],[Column119]],0)+10,"")</f>
        <v/>
      </c>
      <c r="AW83" s="134" t="str">
        <f>_xlfn.IFNA(MATCH(W83,Achievements[[#All],[Column119]],0)+10,"")</f>
        <v/>
      </c>
      <c r="AX83" s="134" t="str">
        <f>_xlfn.IFNA(MATCH(X83,Achievements[[#All],[Column120]],0)+10,"")</f>
        <v/>
      </c>
      <c r="AY83" s="134" t="str">
        <f>_xlfn.IFNA(MATCH(Y83,Achievements[[#All],[Column120]],0)+10,"")</f>
        <v/>
      </c>
      <c r="AZ83" s="116" t="e">
        <f t="shared" ca="1" si="2"/>
        <v>#NAME?</v>
      </c>
      <c r="BA83" s="134" t="e" cm="1">
        <f t="array" aca="1" ref="BA83" ca="1">SplitValues("; ",Persons[[#This Row],[Column1]])</f>
        <v>#NAME?</v>
      </c>
      <c r="CA83" s="134" t="e">
        <f ca="1">_xlfn.IFNA(MATCH(BA83,Achievements[[#All],[Column1]],0)+10,"")</f>
        <v>#NAME?</v>
      </c>
      <c r="CB83" s="134" t="str">
        <f>_xlfn.IFNA(MATCH(BB83,Achievements[[#All],[Column1]],0)+10,"")</f>
        <v/>
      </c>
      <c r="CC83" s="134" t="str">
        <f>_xlfn.IFNA(MATCH(BC83,Achievements[[#All],[Column110]],0)+10,"")</f>
        <v/>
      </c>
      <c r="CD83" s="134" t="str">
        <f>_xlfn.IFNA(MATCH(BD83,Achievements[[#All],[Column110]],0)+10,"")</f>
        <v/>
      </c>
      <c r="CE83" s="134" t="str">
        <f>_xlfn.IFNA(MATCH(BE83,Achievements[[#All],[Column111]],0)+10,"")</f>
        <v/>
      </c>
      <c r="CF83" s="134" t="str">
        <f>_xlfn.IFNA(MATCH(BF83,Achievements[[#All],[Column111]],0)+10,"")</f>
        <v/>
      </c>
      <c r="CG83" s="134" t="str">
        <f>_xlfn.IFNA(MATCH(BG83,Achievements[[#All],[Column112]],0)+10,"")</f>
        <v/>
      </c>
      <c r="CH83" s="134" t="str">
        <f>_xlfn.IFNA(MATCH(BH83,Achievements[[#All],[Column112]],0)+10,"")</f>
        <v/>
      </c>
      <c r="CI83" s="134" t="str">
        <f>_xlfn.IFNA(MATCH(BI83,Achievements[[#All],[Column113]],0)+10,"")</f>
        <v/>
      </c>
      <c r="CJ83" s="134" t="str">
        <f>_xlfn.IFNA(MATCH(BJ83,Achievements[[#All],[Column113]],0)+10,"")</f>
        <v/>
      </c>
      <c r="CK83" s="134" t="str">
        <f>_xlfn.IFNA(MATCH(BK83,Achievements[[#All],[Column114]],0)+10,"")</f>
        <v/>
      </c>
      <c r="CL83" s="134" t="str">
        <f>_xlfn.IFNA(MATCH(BL83,Achievements[[#All],[Column114]],0)+10,"")</f>
        <v/>
      </c>
      <c r="CM83" s="134" t="str">
        <f>_xlfn.IFNA(MATCH(BM83,Achievements[[#All],[Column115]],0)+10,"")</f>
        <v/>
      </c>
      <c r="CN83" s="134" t="str">
        <f>_xlfn.IFNA(MATCH(BN83,Achievements[[#All],[Column115]],0)+10,"")</f>
        <v/>
      </c>
      <c r="CO83" s="134" t="str">
        <f>_xlfn.IFNA(MATCH(BO83,Achievements[[#All],[Column116]],0)+10,"")</f>
        <v/>
      </c>
      <c r="CP83" s="134" t="str">
        <f>_xlfn.IFNA(MATCH(BP83,Achievements[[#All],[Column116]],0)+10,"")</f>
        <v/>
      </c>
      <c r="CQ83" s="134" t="str">
        <f>_xlfn.IFNA(MATCH(BQ83,Achievements[[#All],[Column117]],0)+10,"")</f>
        <v/>
      </c>
      <c r="CR83" s="134" t="str">
        <f>_xlfn.IFNA(MATCH(BR83,Achievements[[#All],[Column117]],0)+10,"")</f>
        <v/>
      </c>
      <c r="CS83" s="134" t="str">
        <f>_xlfn.IFNA(MATCH(BS83,Achievements[[#All],[Column118]],0)+10,"")</f>
        <v/>
      </c>
      <c r="CT83" s="134" t="str">
        <f>_xlfn.IFNA(MATCH(BT83,Achievements[[#All],[Column118]],0)+10,"")</f>
        <v/>
      </c>
      <c r="CU83" s="134" t="str">
        <f>_xlfn.IFNA(MATCH(BU83,Achievements[[#All],[Column119]],0)+10,"")</f>
        <v/>
      </c>
      <c r="CV83" s="134" t="str">
        <f>_xlfn.IFNA(MATCH(BV83,Achievements[[#All],[Column119]],0)+10,"")</f>
        <v/>
      </c>
      <c r="CW83" s="134" t="str">
        <f>_xlfn.IFNA(MATCH(BW83,Achievements[[#All],[Column120]],0)+10,"")</f>
        <v/>
      </c>
      <c r="CX83" s="134" t="str">
        <f>_xlfn.IFNA(MATCH(BX83,Achievements[[#All],[Column120]],0)+10,"")</f>
        <v/>
      </c>
      <c r="CY83" s="134" t="str">
        <f>_xlfn.IFNA(MATCH(BY83,Achievements[[#All],[Column121]],0)+10,"")</f>
        <v/>
      </c>
      <c r="CZ83" s="118" t="e">
        <f t="shared" ca="1" si="3"/>
        <v>#NAME?</v>
      </c>
    </row>
    <row r="84" spans="1:104" x14ac:dyDescent="0.25">
      <c r="A84" t="e" cm="1">
        <f t="array" aca="1" ref="A84" ca="1">SplitValues("; ",#REF!)</f>
        <v>#NAME?</v>
      </c>
      <c r="AA84" t="e">
        <f ca="1">_xlfn.IFNA(MATCH(A84,Achievements[[#All],[Column1]],0)+11,"")</f>
        <v>#NAME?</v>
      </c>
      <c r="AB84" s="134" t="str">
        <f>_xlfn.IFNA(MATCH(B84,Achievements[[#All],[Column1]],0)+10,"")</f>
        <v/>
      </c>
      <c r="AC84" s="134" t="str">
        <f>_xlfn.IFNA(MATCH(C84,Achievements[[#All],[Column1]],0)+10,"")</f>
        <v/>
      </c>
      <c r="AD84" s="134" t="str">
        <f>_xlfn.IFNA(MATCH(D84,Achievements[[#All],[Column110]],0)+10,"")</f>
        <v/>
      </c>
      <c r="AE84" s="134" t="str">
        <f>_xlfn.IFNA(MATCH(E84,Achievements[[#All],[Column110]],0)+10,"")</f>
        <v/>
      </c>
      <c r="AF84" s="134" t="str">
        <f>_xlfn.IFNA(MATCH(F84,Achievements[[#All],[Column111]],0)+10,"")</f>
        <v/>
      </c>
      <c r="AG84" s="134" t="str">
        <f>_xlfn.IFNA(MATCH(G84,Achievements[[#All],[Column111]],0)+10,"")</f>
        <v/>
      </c>
      <c r="AH84" s="134" t="str">
        <f>_xlfn.IFNA(MATCH(H84,Achievements[[#All],[Column112]],0)+10,"")</f>
        <v/>
      </c>
      <c r="AI84" s="134" t="str">
        <f>_xlfn.IFNA(MATCH(I84,Achievements[[#All],[Column112]],0)+10,"")</f>
        <v/>
      </c>
      <c r="AJ84" s="134" t="str">
        <f>_xlfn.IFNA(MATCH(J84,Achievements[[#All],[Column113]],0)+10,"")</f>
        <v/>
      </c>
      <c r="AK84" s="134" t="str">
        <f>_xlfn.IFNA(MATCH(K84,Achievements[[#All],[Column113]],0)+10,"")</f>
        <v/>
      </c>
      <c r="AL84" s="134" t="str">
        <f>_xlfn.IFNA(MATCH(L84,Achievements[[#All],[Column114]],0)+10,"")</f>
        <v/>
      </c>
      <c r="AM84" s="134" t="str">
        <f>_xlfn.IFNA(MATCH(M84,Achievements[[#All],[Column114]],0)+10,"")</f>
        <v/>
      </c>
      <c r="AN84" s="134" t="str">
        <f>_xlfn.IFNA(MATCH(N84,Achievements[[#All],[Column115]],0)+10,"")</f>
        <v/>
      </c>
      <c r="AO84" s="134" t="str">
        <f>_xlfn.IFNA(MATCH(O84,Achievements[[#All],[Column115]],0)+10,"")</f>
        <v/>
      </c>
      <c r="AP84" s="134" t="str">
        <f>_xlfn.IFNA(MATCH(P84,Achievements[[#All],[Column116]],0)+10,"")</f>
        <v/>
      </c>
      <c r="AQ84" s="134" t="str">
        <f>_xlfn.IFNA(MATCH(Q84,Achievements[[#All],[Column116]],0)+10,"")</f>
        <v/>
      </c>
      <c r="AR84" s="134" t="str">
        <f>_xlfn.IFNA(MATCH(R84,Achievements[[#All],[Column117]],0)+10,"")</f>
        <v/>
      </c>
      <c r="AS84" s="134" t="str">
        <f>_xlfn.IFNA(MATCH(S84,Achievements[[#All],[Column117]],0)+10,"")</f>
        <v/>
      </c>
      <c r="AT84" s="134" t="str">
        <f>_xlfn.IFNA(MATCH(T84,Achievements[[#All],[Column118]],0)+10,"")</f>
        <v/>
      </c>
      <c r="AU84" s="134" t="str">
        <f>_xlfn.IFNA(MATCH(U84,Achievements[[#All],[Column118]],0)+10,"")</f>
        <v/>
      </c>
      <c r="AV84" s="134" t="str">
        <f>_xlfn.IFNA(MATCH(V84,Achievements[[#All],[Column119]],0)+10,"")</f>
        <v/>
      </c>
      <c r="AW84" s="134" t="str">
        <f>_xlfn.IFNA(MATCH(W84,Achievements[[#All],[Column119]],0)+10,"")</f>
        <v/>
      </c>
      <c r="AX84" s="134" t="str">
        <f>_xlfn.IFNA(MATCH(X84,Achievements[[#All],[Column120]],0)+10,"")</f>
        <v/>
      </c>
      <c r="AY84" s="134" t="str">
        <f>_xlfn.IFNA(MATCH(Y84,Achievements[[#All],[Column120]],0)+10,"")</f>
        <v/>
      </c>
      <c r="AZ84" s="116" t="e">
        <f t="shared" ca="1" si="2"/>
        <v>#NAME?</v>
      </c>
      <c r="BA84" s="134" t="e" cm="1">
        <f t="array" aca="1" ref="BA84" ca="1">SplitValues("; ",Persons[[#This Row],[Column1]])</f>
        <v>#NAME?</v>
      </c>
      <c r="CA84" s="134" t="e">
        <f ca="1">_xlfn.IFNA(MATCH(BA84,Achievements[[#All],[Column1]],0)+10,"")</f>
        <v>#NAME?</v>
      </c>
      <c r="CB84" s="134" t="str">
        <f>_xlfn.IFNA(MATCH(BB84,Achievements[[#All],[Column1]],0)+10,"")</f>
        <v/>
      </c>
      <c r="CC84" s="134" t="str">
        <f>_xlfn.IFNA(MATCH(BC84,Achievements[[#All],[Column110]],0)+10,"")</f>
        <v/>
      </c>
      <c r="CD84" s="134" t="str">
        <f>_xlfn.IFNA(MATCH(BD84,Achievements[[#All],[Column110]],0)+10,"")</f>
        <v/>
      </c>
      <c r="CE84" s="134" t="str">
        <f>_xlfn.IFNA(MATCH(BE84,Achievements[[#All],[Column111]],0)+10,"")</f>
        <v/>
      </c>
      <c r="CF84" s="134" t="str">
        <f>_xlfn.IFNA(MATCH(BF84,Achievements[[#All],[Column111]],0)+10,"")</f>
        <v/>
      </c>
      <c r="CG84" s="134" t="str">
        <f>_xlfn.IFNA(MATCH(BG84,Achievements[[#All],[Column112]],0)+10,"")</f>
        <v/>
      </c>
      <c r="CH84" s="134" t="str">
        <f>_xlfn.IFNA(MATCH(BH84,Achievements[[#All],[Column112]],0)+10,"")</f>
        <v/>
      </c>
      <c r="CI84" s="134" t="str">
        <f>_xlfn.IFNA(MATCH(BI84,Achievements[[#All],[Column113]],0)+10,"")</f>
        <v/>
      </c>
      <c r="CJ84" s="134" t="str">
        <f>_xlfn.IFNA(MATCH(BJ84,Achievements[[#All],[Column113]],0)+10,"")</f>
        <v/>
      </c>
      <c r="CK84" s="134" t="str">
        <f>_xlfn.IFNA(MATCH(BK84,Achievements[[#All],[Column114]],0)+10,"")</f>
        <v/>
      </c>
      <c r="CL84" s="134" t="str">
        <f>_xlfn.IFNA(MATCH(BL84,Achievements[[#All],[Column114]],0)+10,"")</f>
        <v/>
      </c>
      <c r="CM84" s="134" t="str">
        <f>_xlfn.IFNA(MATCH(BM84,Achievements[[#All],[Column115]],0)+10,"")</f>
        <v/>
      </c>
      <c r="CN84" s="134" t="str">
        <f>_xlfn.IFNA(MATCH(BN84,Achievements[[#All],[Column115]],0)+10,"")</f>
        <v/>
      </c>
      <c r="CO84" s="134" t="str">
        <f>_xlfn.IFNA(MATCH(BO84,Achievements[[#All],[Column116]],0)+10,"")</f>
        <v/>
      </c>
      <c r="CP84" s="134" t="str">
        <f>_xlfn.IFNA(MATCH(BP84,Achievements[[#All],[Column116]],0)+10,"")</f>
        <v/>
      </c>
      <c r="CQ84" s="134" t="str">
        <f>_xlfn.IFNA(MATCH(BQ84,Achievements[[#All],[Column117]],0)+10,"")</f>
        <v/>
      </c>
      <c r="CR84" s="134" t="str">
        <f>_xlfn.IFNA(MATCH(BR84,Achievements[[#All],[Column117]],0)+10,"")</f>
        <v/>
      </c>
      <c r="CS84" s="134" t="str">
        <f>_xlfn.IFNA(MATCH(BS84,Achievements[[#All],[Column118]],0)+10,"")</f>
        <v/>
      </c>
      <c r="CT84" s="134" t="str">
        <f>_xlfn.IFNA(MATCH(BT84,Achievements[[#All],[Column118]],0)+10,"")</f>
        <v/>
      </c>
      <c r="CU84" s="134" t="str">
        <f>_xlfn.IFNA(MATCH(BU84,Achievements[[#All],[Column119]],0)+10,"")</f>
        <v/>
      </c>
      <c r="CV84" s="134" t="str">
        <f>_xlfn.IFNA(MATCH(BV84,Achievements[[#All],[Column119]],0)+10,"")</f>
        <v/>
      </c>
      <c r="CW84" s="134" t="str">
        <f>_xlfn.IFNA(MATCH(BW84,Achievements[[#All],[Column120]],0)+10,"")</f>
        <v/>
      </c>
      <c r="CX84" s="134" t="str">
        <f>_xlfn.IFNA(MATCH(BX84,Achievements[[#All],[Column120]],0)+10,"")</f>
        <v/>
      </c>
      <c r="CY84" s="134" t="str">
        <f>_xlfn.IFNA(MATCH(BY84,Achievements[[#All],[Column121]],0)+10,"")</f>
        <v/>
      </c>
      <c r="CZ84" s="118" t="e">
        <f t="shared" ca="1" si="3"/>
        <v>#NAME?</v>
      </c>
    </row>
    <row r="85" spans="1:104" x14ac:dyDescent="0.25">
      <c r="A85" t="e" cm="1">
        <f t="array" aca="1" ref="A85" ca="1">SplitValues("; ",#REF!)</f>
        <v>#NAME?</v>
      </c>
      <c r="AA85" t="e">
        <f ca="1">_xlfn.IFNA(MATCH(A85,Achievements[[#All],[Column1]],0)+11,"")</f>
        <v>#NAME?</v>
      </c>
      <c r="AB85" s="134" t="str">
        <f>_xlfn.IFNA(MATCH(B85,Achievements[[#All],[Column1]],0)+10,"")</f>
        <v/>
      </c>
      <c r="AC85" s="134" t="str">
        <f>_xlfn.IFNA(MATCH(C85,Achievements[[#All],[Column1]],0)+10,"")</f>
        <v/>
      </c>
      <c r="AD85" s="134" t="str">
        <f>_xlfn.IFNA(MATCH(D85,Achievements[[#All],[Column110]],0)+10,"")</f>
        <v/>
      </c>
      <c r="AE85" s="134" t="str">
        <f>_xlfn.IFNA(MATCH(E85,Achievements[[#All],[Column110]],0)+10,"")</f>
        <v/>
      </c>
      <c r="AF85" s="134" t="str">
        <f>_xlfn.IFNA(MATCH(F85,Achievements[[#All],[Column111]],0)+10,"")</f>
        <v/>
      </c>
      <c r="AG85" s="134" t="str">
        <f>_xlfn.IFNA(MATCH(G85,Achievements[[#All],[Column111]],0)+10,"")</f>
        <v/>
      </c>
      <c r="AH85" s="134" t="str">
        <f>_xlfn.IFNA(MATCH(H85,Achievements[[#All],[Column112]],0)+10,"")</f>
        <v/>
      </c>
      <c r="AI85" s="134" t="str">
        <f>_xlfn.IFNA(MATCH(I85,Achievements[[#All],[Column112]],0)+10,"")</f>
        <v/>
      </c>
      <c r="AJ85" s="134" t="str">
        <f>_xlfn.IFNA(MATCH(J85,Achievements[[#All],[Column113]],0)+10,"")</f>
        <v/>
      </c>
      <c r="AK85" s="134" t="str">
        <f>_xlfn.IFNA(MATCH(K85,Achievements[[#All],[Column113]],0)+10,"")</f>
        <v/>
      </c>
      <c r="AL85" s="134" t="str">
        <f>_xlfn.IFNA(MATCH(L85,Achievements[[#All],[Column114]],0)+10,"")</f>
        <v/>
      </c>
      <c r="AM85" s="134" t="str">
        <f>_xlfn.IFNA(MATCH(M85,Achievements[[#All],[Column114]],0)+10,"")</f>
        <v/>
      </c>
      <c r="AN85" s="134" t="str">
        <f>_xlfn.IFNA(MATCH(N85,Achievements[[#All],[Column115]],0)+10,"")</f>
        <v/>
      </c>
      <c r="AO85" s="134" t="str">
        <f>_xlfn.IFNA(MATCH(O85,Achievements[[#All],[Column115]],0)+10,"")</f>
        <v/>
      </c>
      <c r="AP85" s="134" t="str">
        <f>_xlfn.IFNA(MATCH(P85,Achievements[[#All],[Column116]],0)+10,"")</f>
        <v/>
      </c>
      <c r="AQ85" s="134" t="str">
        <f>_xlfn.IFNA(MATCH(Q85,Achievements[[#All],[Column116]],0)+10,"")</f>
        <v/>
      </c>
      <c r="AR85" s="134" t="str">
        <f>_xlfn.IFNA(MATCH(R85,Achievements[[#All],[Column117]],0)+10,"")</f>
        <v/>
      </c>
      <c r="AS85" s="134" t="str">
        <f>_xlfn.IFNA(MATCH(S85,Achievements[[#All],[Column117]],0)+10,"")</f>
        <v/>
      </c>
      <c r="AT85" s="134" t="str">
        <f>_xlfn.IFNA(MATCH(T85,Achievements[[#All],[Column118]],0)+10,"")</f>
        <v/>
      </c>
      <c r="AU85" s="134" t="str">
        <f>_xlfn.IFNA(MATCH(U85,Achievements[[#All],[Column118]],0)+10,"")</f>
        <v/>
      </c>
      <c r="AV85" s="134" t="str">
        <f>_xlfn.IFNA(MATCH(V85,Achievements[[#All],[Column119]],0)+10,"")</f>
        <v/>
      </c>
      <c r="AW85" s="134" t="str">
        <f>_xlfn.IFNA(MATCH(W85,Achievements[[#All],[Column119]],0)+10,"")</f>
        <v/>
      </c>
      <c r="AX85" s="134" t="str">
        <f>_xlfn.IFNA(MATCH(X85,Achievements[[#All],[Column120]],0)+10,"")</f>
        <v/>
      </c>
      <c r="AY85" s="134" t="str">
        <f>_xlfn.IFNA(MATCH(Y85,Achievements[[#All],[Column120]],0)+10,"")</f>
        <v/>
      </c>
      <c r="AZ85" s="116" t="e">
        <f t="shared" ca="1" si="2"/>
        <v>#NAME?</v>
      </c>
      <c r="BA85" s="134" t="e" cm="1">
        <f t="array" aca="1" ref="BA85" ca="1">SplitValues("; ",Persons[[#This Row],[Column1]])</f>
        <v>#NAME?</v>
      </c>
      <c r="CA85" s="134" t="e">
        <f ca="1">_xlfn.IFNA(MATCH(BA85,Achievements[[#All],[Column1]],0)+10,"")</f>
        <v>#NAME?</v>
      </c>
      <c r="CB85" s="134" t="str">
        <f>_xlfn.IFNA(MATCH(BB85,Achievements[[#All],[Column1]],0)+10,"")</f>
        <v/>
      </c>
      <c r="CC85" s="134" t="str">
        <f>_xlfn.IFNA(MATCH(BC85,Achievements[[#All],[Column110]],0)+10,"")</f>
        <v/>
      </c>
      <c r="CD85" s="134" t="str">
        <f>_xlfn.IFNA(MATCH(BD85,Achievements[[#All],[Column110]],0)+10,"")</f>
        <v/>
      </c>
      <c r="CE85" s="134" t="str">
        <f>_xlfn.IFNA(MATCH(BE85,Achievements[[#All],[Column111]],0)+10,"")</f>
        <v/>
      </c>
      <c r="CF85" s="134" t="str">
        <f>_xlfn.IFNA(MATCH(BF85,Achievements[[#All],[Column111]],0)+10,"")</f>
        <v/>
      </c>
      <c r="CG85" s="134" t="str">
        <f>_xlfn.IFNA(MATCH(BG85,Achievements[[#All],[Column112]],0)+10,"")</f>
        <v/>
      </c>
      <c r="CH85" s="134" t="str">
        <f>_xlfn.IFNA(MATCH(BH85,Achievements[[#All],[Column112]],0)+10,"")</f>
        <v/>
      </c>
      <c r="CI85" s="134" t="str">
        <f>_xlfn.IFNA(MATCH(BI85,Achievements[[#All],[Column113]],0)+10,"")</f>
        <v/>
      </c>
      <c r="CJ85" s="134" t="str">
        <f>_xlfn.IFNA(MATCH(BJ85,Achievements[[#All],[Column113]],0)+10,"")</f>
        <v/>
      </c>
      <c r="CK85" s="134" t="str">
        <f>_xlfn.IFNA(MATCH(BK85,Achievements[[#All],[Column114]],0)+10,"")</f>
        <v/>
      </c>
      <c r="CL85" s="134" t="str">
        <f>_xlfn.IFNA(MATCH(BL85,Achievements[[#All],[Column114]],0)+10,"")</f>
        <v/>
      </c>
      <c r="CM85" s="134" t="str">
        <f>_xlfn.IFNA(MATCH(BM85,Achievements[[#All],[Column115]],0)+10,"")</f>
        <v/>
      </c>
      <c r="CN85" s="134" t="str">
        <f>_xlfn.IFNA(MATCH(BN85,Achievements[[#All],[Column115]],0)+10,"")</f>
        <v/>
      </c>
      <c r="CO85" s="134" t="str">
        <f>_xlfn.IFNA(MATCH(BO85,Achievements[[#All],[Column116]],0)+10,"")</f>
        <v/>
      </c>
      <c r="CP85" s="134" t="str">
        <f>_xlfn.IFNA(MATCH(BP85,Achievements[[#All],[Column116]],0)+10,"")</f>
        <v/>
      </c>
      <c r="CQ85" s="134" t="str">
        <f>_xlfn.IFNA(MATCH(BQ85,Achievements[[#All],[Column117]],0)+10,"")</f>
        <v/>
      </c>
      <c r="CR85" s="134" t="str">
        <f>_xlfn.IFNA(MATCH(BR85,Achievements[[#All],[Column117]],0)+10,"")</f>
        <v/>
      </c>
      <c r="CS85" s="134" t="str">
        <f>_xlfn.IFNA(MATCH(BS85,Achievements[[#All],[Column118]],0)+10,"")</f>
        <v/>
      </c>
      <c r="CT85" s="134" t="str">
        <f>_xlfn.IFNA(MATCH(BT85,Achievements[[#All],[Column118]],0)+10,"")</f>
        <v/>
      </c>
      <c r="CU85" s="134" t="str">
        <f>_xlfn.IFNA(MATCH(BU85,Achievements[[#All],[Column119]],0)+10,"")</f>
        <v/>
      </c>
      <c r="CV85" s="134" t="str">
        <f>_xlfn.IFNA(MATCH(BV85,Achievements[[#All],[Column119]],0)+10,"")</f>
        <v/>
      </c>
      <c r="CW85" s="134" t="str">
        <f>_xlfn.IFNA(MATCH(BW85,Achievements[[#All],[Column120]],0)+10,"")</f>
        <v/>
      </c>
      <c r="CX85" s="134" t="str">
        <f>_xlfn.IFNA(MATCH(BX85,Achievements[[#All],[Column120]],0)+10,"")</f>
        <v/>
      </c>
      <c r="CY85" s="134" t="str">
        <f>_xlfn.IFNA(MATCH(BY85,Achievements[[#All],[Column121]],0)+10,"")</f>
        <v/>
      </c>
      <c r="CZ85" s="118" t="e">
        <f t="shared" ca="1" si="3"/>
        <v>#NAME?</v>
      </c>
    </row>
    <row r="86" spans="1:104" x14ac:dyDescent="0.25">
      <c r="A86" t="e" cm="1">
        <f t="array" aca="1" ref="A86" ca="1">SplitValues("; ",#REF!)</f>
        <v>#NAME?</v>
      </c>
      <c r="AA86" t="e">
        <f ca="1">_xlfn.IFNA(MATCH(A86,Achievements[[#All],[Column1]],0)+11,"")</f>
        <v>#NAME?</v>
      </c>
      <c r="AB86" s="134" t="str">
        <f>_xlfn.IFNA(MATCH(B86,Achievements[[#All],[Column1]],0)+10,"")</f>
        <v/>
      </c>
      <c r="AC86" s="134" t="str">
        <f>_xlfn.IFNA(MATCH(C86,Achievements[[#All],[Column1]],0)+10,"")</f>
        <v/>
      </c>
      <c r="AD86" s="134" t="str">
        <f>_xlfn.IFNA(MATCH(D86,Achievements[[#All],[Column110]],0)+10,"")</f>
        <v/>
      </c>
      <c r="AE86" s="134" t="str">
        <f>_xlfn.IFNA(MATCH(E86,Achievements[[#All],[Column110]],0)+10,"")</f>
        <v/>
      </c>
      <c r="AF86" s="134" t="str">
        <f>_xlfn.IFNA(MATCH(F86,Achievements[[#All],[Column111]],0)+10,"")</f>
        <v/>
      </c>
      <c r="AG86" s="134" t="str">
        <f>_xlfn.IFNA(MATCH(G86,Achievements[[#All],[Column111]],0)+10,"")</f>
        <v/>
      </c>
      <c r="AH86" s="134" t="str">
        <f>_xlfn.IFNA(MATCH(H86,Achievements[[#All],[Column112]],0)+10,"")</f>
        <v/>
      </c>
      <c r="AI86" s="134" t="str">
        <f>_xlfn.IFNA(MATCH(I86,Achievements[[#All],[Column112]],0)+10,"")</f>
        <v/>
      </c>
      <c r="AJ86" s="134" t="str">
        <f>_xlfn.IFNA(MATCH(J86,Achievements[[#All],[Column113]],0)+10,"")</f>
        <v/>
      </c>
      <c r="AK86" s="134" t="str">
        <f>_xlfn.IFNA(MATCH(K86,Achievements[[#All],[Column113]],0)+10,"")</f>
        <v/>
      </c>
      <c r="AL86" s="134" t="str">
        <f>_xlfn.IFNA(MATCH(L86,Achievements[[#All],[Column114]],0)+10,"")</f>
        <v/>
      </c>
      <c r="AM86" s="134" t="str">
        <f>_xlfn.IFNA(MATCH(M86,Achievements[[#All],[Column114]],0)+10,"")</f>
        <v/>
      </c>
      <c r="AN86" s="134" t="str">
        <f>_xlfn.IFNA(MATCH(N86,Achievements[[#All],[Column115]],0)+10,"")</f>
        <v/>
      </c>
      <c r="AO86" s="134" t="str">
        <f>_xlfn.IFNA(MATCH(O86,Achievements[[#All],[Column115]],0)+10,"")</f>
        <v/>
      </c>
      <c r="AP86" s="134" t="str">
        <f>_xlfn.IFNA(MATCH(P86,Achievements[[#All],[Column116]],0)+10,"")</f>
        <v/>
      </c>
      <c r="AQ86" s="134" t="str">
        <f>_xlfn.IFNA(MATCH(Q86,Achievements[[#All],[Column116]],0)+10,"")</f>
        <v/>
      </c>
      <c r="AR86" s="134" t="str">
        <f>_xlfn.IFNA(MATCH(R86,Achievements[[#All],[Column117]],0)+10,"")</f>
        <v/>
      </c>
      <c r="AS86" s="134" t="str">
        <f>_xlfn.IFNA(MATCH(S86,Achievements[[#All],[Column117]],0)+10,"")</f>
        <v/>
      </c>
      <c r="AT86" s="134" t="str">
        <f>_xlfn.IFNA(MATCH(T86,Achievements[[#All],[Column118]],0)+10,"")</f>
        <v/>
      </c>
      <c r="AU86" s="134" t="str">
        <f>_xlfn.IFNA(MATCH(U86,Achievements[[#All],[Column118]],0)+10,"")</f>
        <v/>
      </c>
      <c r="AV86" s="134" t="str">
        <f>_xlfn.IFNA(MATCH(V86,Achievements[[#All],[Column119]],0)+10,"")</f>
        <v/>
      </c>
      <c r="AW86" s="134" t="str">
        <f>_xlfn.IFNA(MATCH(W86,Achievements[[#All],[Column119]],0)+10,"")</f>
        <v/>
      </c>
      <c r="AX86" s="134" t="str">
        <f>_xlfn.IFNA(MATCH(X86,Achievements[[#All],[Column120]],0)+10,"")</f>
        <v/>
      </c>
      <c r="AY86" s="134" t="str">
        <f>_xlfn.IFNA(MATCH(Y86,Achievements[[#All],[Column120]],0)+10,"")</f>
        <v/>
      </c>
      <c r="AZ86" s="116" t="e">
        <f t="shared" ca="1" si="2"/>
        <v>#NAME?</v>
      </c>
      <c r="BA86" s="134" t="e" cm="1">
        <f t="array" aca="1" ref="BA86" ca="1">SplitValues("; ",Persons[[#This Row],[Column1]])</f>
        <v>#NAME?</v>
      </c>
      <c r="CA86" s="134" t="e">
        <f ca="1">_xlfn.IFNA(MATCH(BA86,Achievements[[#All],[Column1]],0)+10,"")</f>
        <v>#NAME?</v>
      </c>
      <c r="CB86" s="134" t="str">
        <f>_xlfn.IFNA(MATCH(BB86,Achievements[[#All],[Column1]],0)+10,"")</f>
        <v/>
      </c>
      <c r="CC86" s="134" t="str">
        <f>_xlfn.IFNA(MATCH(BC86,Achievements[[#All],[Column110]],0)+10,"")</f>
        <v/>
      </c>
      <c r="CD86" s="134" t="str">
        <f>_xlfn.IFNA(MATCH(BD86,Achievements[[#All],[Column110]],0)+10,"")</f>
        <v/>
      </c>
      <c r="CE86" s="134" t="str">
        <f>_xlfn.IFNA(MATCH(BE86,Achievements[[#All],[Column111]],0)+10,"")</f>
        <v/>
      </c>
      <c r="CF86" s="134" t="str">
        <f>_xlfn.IFNA(MATCH(BF86,Achievements[[#All],[Column111]],0)+10,"")</f>
        <v/>
      </c>
      <c r="CG86" s="134" t="str">
        <f>_xlfn.IFNA(MATCH(BG86,Achievements[[#All],[Column112]],0)+10,"")</f>
        <v/>
      </c>
      <c r="CH86" s="134" t="str">
        <f>_xlfn.IFNA(MATCH(BH86,Achievements[[#All],[Column112]],0)+10,"")</f>
        <v/>
      </c>
      <c r="CI86" s="134" t="str">
        <f>_xlfn.IFNA(MATCH(BI86,Achievements[[#All],[Column113]],0)+10,"")</f>
        <v/>
      </c>
      <c r="CJ86" s="134" t="str">
        <f>_xlfn.IFNA(MATCH(BJ86,Achievements[[#All],[Column113]],0)+10,"")</f>
        <v/>
      </c>
      <c r="CK86" s="134" t="str">
        <f>_xlfn.IFNA(MATCH(BK86,Achievements[[#All],[Column114]],0)+10,"")</f>
        <v/>
      </c>
      <c r="CL86" s="134" t="str">
        <f>_xlfn.IFNA(MATCH(BL86,Achievements[[#All],[Column114]],0)+10,"")</f>
        <v/>
      </c>
      <c r="CM86" s="134" t="str">
        <f>_xlfn.IFNA(MATCH(BM86,Achievements[[#All],[Column115]],0)+10,"")</f>
        <v/>
      </c>
      <c r="CN86" s="134" t="str">
        <f>_xlfn.IFNA(MATCH(BN86,Achievements[[#All],[Column115]],0)+10,"")</f>
        <v/>
      </c>
      <c r="CO86" s="134" t="str">
        <f>_xlfn.IFNA(MATCH(BO86,Achievements[[#All],[Column116]],0)+10,"")</f>
        <v/>
      </c>
      <c r="CP86" s="134" t="str">
        <f>_xlfn.IFNA(MATCH(BP86,Achievements[[#All],[Column116]],0)+10,"")</f>
        <v/>
      </c>
      <c r="CQ86" s="134" t="str">
        <f>_xlfn.IFNA(MATCH(BQ86,Achievements[[#All],[Column117]],0)+10,"")</f>
        <v/>
      </c>
      <c r="CR86" s="134" t="str">
        <f>_xlfn.IFNA(MATCH(BR86,Achievements[[#All],[Column117]],0)+10,"")</f>
        <v/>
      </c>
      <c r="CS86" s="134" t="str">
        <f>_xlfn.IFNA(MATCH(BS86,Achievements[[#All],[Column118]],0)+10,"")</f>
        <v/>
      </c>
      <c r="CT86" s="134" t="str">
        <f>_xlfn.IFNA(MATCH(BT86,Achievements[[#All],[Column118]],0)+10,"")</f>
        <v/>
      </c>
      <c r="CU86" s="134" t="str">
        <f>_xlfn.IFNA(MATCH(BU86,Achievements[[#All],[Column119]],0)+10,"")</f>
        <v/>
      </c>
      <c r="CV86" s="134" t="str">
        <f>_xlfn.IFNA(MATCH(BV86,Achievements[[#All],[Column119]],0)+10,"")</f>
        <v/>
      </c>
      <c r="CW86" s="134" t="str">
        <f>_xlfn.IFNA(MATCH(BW86,Achievements[[#All],[Column120]],0)+10,"")</f>
        <v/>
      </c>
      <c r="CX86" s="134" t="str">
        <f>_xlfn.IFNA(MATCH(BX86,Achievements[[#All],[Column120]],0)+10,"")</f>
        <v/>
      </c>
      <c r="CY86" s="134" t="str">
        <f>_xlfn.IFNA(MATCH(BY86,Achievements[[#All],[Column121]],0)+10,"")</f>
        <v/>
      </c>
      <c r="CZ86" s="118" t="e">
        <f t="shared" ca="1" si="3"/>
        <v>#NAME?</v>
      </c>
    </row>
    <row r="87" spans="1:104" x14ac:dyDescent="0.25">
      <c r="A87" t="e" cm="1">
        <f t="array" aca="1" ref="A87" ca="1">SplitValues("; ",#REF!)</f>
        <v>#NAME?</v>
      </c>
      <c r="AA87" t="e">
        <f ca="1">_xlfn.IFNA(MATCH(A87,Achievements[[#All],[Column1]],0)+11,"")</f>
        <v>#NAME?</v>
      </c>
      <c r="AB87" s="134" t="str">
        <f>_xlfn.IFNA(MATCH(B87,Achievements[[#All],[Column1]],0)+10,"")</f>
        <v/>
      </c>
      <c r="AC87" s="134" t="str">
        <f>_xlfn.IFNA(MATCH(C87,Achievements[[#All],[Column1]],0)+10,"")</f>
        <v/>
      </c>
      <c r="AD87" s="134" t="str">
        <f>_xlfn.IFNA(MATCH(D87,Achievements[[#All],[Column110]],0)+10,"")</f>
        <v/>
      </c>
      <c r="AE87" s="134" t="str">
        <f>_xlfn.IFNA(MATCH(E87,Achievements[[#All],[Column110]],0)+10,"")</f>
        <v/>
      </c>
      <c r="AF87" s="134" t="str">
        <f>_xlfn.IFNA(MATCH(F87,Achievements[[#All],[Column111]],0)+10,"")</f>
        <v/>
      </c>
      <c r="AG87" s="134" t="str">
        <f>_xlfn.IFNA(MATCH(G87,Achievements[[#All],[Column111]],0)+10,"")</f>
        <v/>
      </c>
      <c r="AH87" s="134" t="str">
        <f>_xlfn.IFNA(MATCH(H87,Achievements[[#All],[Column112]],0)+10,"")</f>
        <v/>
      </c>
      <c r="AI87" s="134" t="str">
        <f>_xlfn.IFNA(MATCH(I87,Achievements[[#All],[Column112]],0)+10,"")</f>
        <v/>
      </c>
      <c r="AJ87" s="134" t="str">
        <f>_xlfn.IFNA(MATCH(J87,Achievements[[#All],[Column113]],0)+10,"")</f>
        <v/>
      </c>
      <c r="AK87" s="134" t="str">
        <f>_xlfn.IFNA(MATCH(K87,Achievements[[#All],[Column113]],0)+10,"")</f>
        <v/>
      </c>
      <c r="AL87" s="134" t="str">
        <f>_xlfn.IFNA(MATCH(L87,Achievements[[#All],[Column114]],0)+10,"")</f>
        <v/>
      </c>
      <c r="AM87" s="134" t="str">
        <f>_xlfn.IFNA(MATCH(M87,Achievements[[#All],[Column114]],0)+10,"")</f>
        <v/>
      </c>
      <c r="AN87" s="134" t="str">
        <f>_xlfn.IFNA(MATCH(N87,Achievements[[#All],[Column115]],0)+10,"")</f>
        <v/>
      </c>
      <c r="AO87" s="134" t="str">
        <f>_xlfn.IFNA(MATCH(O87,Achievements[[#All],[Column115]],0)+10,"")</f>
        <v/>
      </c>
      <c r="AP87" s="134" t="str">
        <f>_xlfn.IFNA(MATCH(P87,Achievements[[#All],[Column116]],0)+10,"")</f>
        <v/>
      </c>
      <c r="AQ87" s="134" t="str">
        <f>_xlfn.IFNA(MATCH(Q87,Achievements[[#All],[Column116]],0)+10,"")</f>
        <v/>
      </c>
      <c r="AR87" s="134" t="str">
        <f>_xlfn.IFNA(MATCH(R87,Achievements[[#All],[Column117]],0)+10,"")</f>
        <v/>
      </c>
      <c r="AS87" s="134" t="str">
        <f>_xlfn.IFNA(MATCH(S87,Achievements[[#All],[Column117]],0)+10,"")</f>
        <v/>
      </c>
      <c r="AT87" s="134" t="str">
        <f>_xlfn.IFNA(MATCH(T87,Achievements[[#All],[Column118]],0)+10,"")</f>
        <v/>
      </c>
      <c r="AU87" s="134" t="str">
        <f>_xlfn.IFNA(MATCH(U87,Achievements[[#All],[Column118]],0)+10,"")</f>
        <v/>
      </c>
      <c r="AV87" s="134" t="str">
        <f>_xlfn.IFNA(MATCH(V87,Achievements[[#All],[Column119]],0)+10,"")</f>
        <v/>
      </c>
      <c r="AW87" s="134" t="str">
        <f>_xlfn.IFNA(MATCH(W87,Achievements[[#All],[Column119]],0)+10,"")</f>
        <v/>
      </c>
      <c r="AX87" s="134" t="str">
        <f>_xlfn.IFNA(MATCH(X87,Achievements[[#All],[Column120]],0)+10,"")</f>
        <v/>
      </c>
      <c r="AY87" s="134" t="str">
        <f>_xlfn.IFNA(MATCH(Y87,Achievements[[#All],[Column120]],0)+10,"")</f>
        <v/>
      </c>
      <c r="AZ87" s="116" t="e">
        <f t="shared" ca="1" si="2"/>
        <v>#NAME?</v>
      </c>
      <c r="BA87" s="134" t="e" cm="1">
        <f t="array" aca="1" ref="BA87" ca="1">SplitValues("; ",Persons[[#This Row],[Column1]])</f>
        <v>#NAME?</v>
      </c>
      <c r="CA87" s="134" t="e">
        <f ca="1">_xlfn.IFNA(MATCH(BA87,Achievements[[#All],[Column1]],0)+10,"")</f>
        <v>#NAME?</v>
      </c>
      <c r="CB87" s="134" t="str">
        <f>_xlfn.IFNA(MATCH(BB87,Achievements[[#All],[Column1]],0)+10,"")</f>
        <v/>
      </c>
      <c r="CC87" s="134" t="str">
        <f>_xlfn.IFNA(MATCH(BC87,Achievements[[#All],[Column110]],0)+10,"")</f>
        <v/>
      </c>
      <c r="CD87" s="134" t="str">
        <f>_xlfn.IFNA(MATCH(BD87,Achievements[[#All],[Column110]],0)+10,"")</f>
        <v/>
      </c>
      <c r="CE87" s="134" t="str">
        <f>_xlfn.IFNA(MATCH(BE87,Achievements[[#All],[Column111]],0)+10,"")</f>
        <v/>
      </c>
      <c r="CF87" s="134" t="str">
        <f>_xlfn.IFNA(MATCH(BF87,Achievements[[#All],[Column111]],0)+10,"")</f>
        <v/>
      </c>
      <c r="CG87" s="134" t="str">
        <f>_xlfn.IFNA(MATCH(BG87,Achievements[[#All],[Column112]],0)+10,"")</f>
        <v/>
      </c>
      <c r="CH87" s="134" t="str">
        <f>_xlfn.IFNA(MATCH(BH87,Achievements[[#All],[Column112]],0)+10,"")</f>
        <v/>
      </c>
      <c r="CI87" s="134" t="str">
        <f>_xlfn.IFNA(MATCH(BI87,Achievements[[#All],[Column113]],0)+10,"")</f>
        <v/>
      </c>
      <c r="CJ87" s="134" t="str">
        <f>_xlfn.IFNA(MATCH(BJ87,Achievements[[#All],[Column113]],0)+10,"")</f>
        <v/>
      </c>
      <c r="CK87" s="134" t="str">
        <f>_xlfn.IFNA(MATCH(BK87,Achievements[[#All],[Column114]],0)+10,"")</f>
        <v/>
      </c>
      <c r="CL87" s="134" t="str">
        <f>_xlfn.IFNA(MATCH(BL87,Achievements[[#All],[Column114]],0)+10,"")</f>
        <v/>
      </c>
      <c r="CM87" s="134" t="str">
        <f>_xlfn.IFNA(MATCH(BM87,Achievements[[#All],[Column115]],0)+10,"")</f>
        <v/>
      </c>
      <c r="CN87" s="134" t="str">
        <f>_xlfn.IFNA(MATCH(BN87,Achievements[[#All],[Column115]],0)+10,"")</f>
        <v/>
      </c>
      <c r="CO87" s="134" t="str">
        <f>_xlfn.IFNA(MATCH(BO87,Achievements[[#All],[Column116]],0)+10,"")</f>
        <v/>
      </c>
      <c r="CP87" s="134" t="str">
        <f>_xlfn.IFNA(MATCH(BP87,Achievements[[#All],[Column116]],0)+10,"")</f>
        <v/>
      </c>
      <c r="CQ87" s="134" t="str">
        <f>_xlfn.IFNA(MATCH(BQ87,Achievements[[#All],[Column117]],0)+10,"")</f>
        <v/>
      </c>
      <c r="CR87" s="134" t="str">
        <f>_xlfn.IFNA(MATCH(BR87,Achievements[[#All],[Column117]],0)+10,"")</f>
        <v/>
      </c>
      <c r="CS87" s="134" t="str">
        <f>_xlfn.IFNA(MATCH(BS87,Achievements[[#All],[Column118]],0)+10,"")</f>
        <v/>
      </c>
      <c r="CT87" s="134" t="str">
        <f>_xlfn.IFNA(MATCH(BT87,Achievements[[#All],[Column118]],0)+10,"")</f>
        <v/>
      </c>
      <c r="CU87" s="134" t="str">
        <f>_xlfn.IFNA(MATCH(BU87,Achievements[[#All],[Column119]],0)+10,"")</f>
        <v/>
      </c>
      <c r="CV87" s="134" t="str">
        <f>_xlfn.IFNA(MATCH(BV87,Achievements[[#All],[Column119]],0)+10,"")</f>
        <v/>
      </c>
      <c r="CW87" s="134" t="str">
        <f>_xlfn.IFNA(MATCH(BW87,Achievements[[#All],[Column120]],0)+10,"")</f>
        <v/>
      </c>
      <c r="CX87" s="134" t="str">
        <f>_xlfn.IFNA(MATCH(BX87,Achievements[[#All],[Column120]],0)+10,"")</f>
        <v/>
      </c>
      <c r="CY87" s="134" t="str">
        <f>_xlfn.IFNA(MATCH(BY87,Achievements[[#All],[Column121]],0)+10,"")</f>
        <v/>
      </c>
      <c r="CZ87" s="118" t="e">
        <f t="shared" ca="1" si="3"/>
        <v>#NAME?</v>
      </c>
    </row>
    <row r="88" spans="1:104" x14ac:dyDescent="0.25">
      <c r="A88" t="e" cm="1">
        <f t="array" aca="1" ref="A88" ca="1">SplitValues("; ",#REF!)</f>
        <v>#NAME?</v>
      </c>
      <c r="AA88" t="e">
        <f ca="1">_xlfn.IFNA(MATCH(A88,Achievements[[#All],[Column1]],0)+11,"")</f>
        <v>#NAME?</v>
      </c>
      <c r="AB88" s="134" t="str">
        <f>_xlfn.IFNA(MATCH(B88,Achievements[[#All],[Column1]],0)+10,"")</f>
        <v/>
      </c>
      <c r="AC88" s="134" t="str">
        <f>_xlfn.IFNA(MATCH(C88,Achievements[[#All],[Column1]],0)+10,"")</f>
        <v/>
      </c>
      <c r="AD88" s="134" t="str">
        <f>_xlfn.IFNA(MATCH(D88,Achievements[[#All],[Column110]],0)+10,"")</f>
        <v/>
      </c>
      <c r="AE88" s="134" t="str">
        <f>_xlfn.IFNA(MATCH(E88,Achievements[[#All],[Column110]],0)+10,"")</f>
        <v/>
      </c>
      <c r="AF88" s="134" t="str">
        <f>_xlfn.IFNA(MATCH(F88,Achievements[[#All],[Column111]],0)+10,"")</f>
        <v/>
      </c>
      <c r="AG88" s="134" t="str">
        <f>_xlfn.IFNA(MATCH(G88,Achievements[[#All],[Column111]],0)+10,"")</f>
        <v/>
      </c>
      <c r="AH88" s="134" t="str">
        <f>_xlfn.IFNA(MATCH(H88,Achievements[[#All],[Column112]],0)+10,"")</f>
        <v/>
      </c>
      <c r="AI88" s="134" t="str">
        <f>_xlfn.IFNA(MATCH(I88,Achievements[[#All],[Column112]],0)+10,"")</f>
        <v/>
      </c>
      <c r="AJ88" s="134" t="str">
        <f>_xlfn.IFNA(MATCH(J88,Achievements[[#All],[Column113]],0)+10,"")</f>
        <v/>
      </c>
      <c r="AK88" s="134" t="str">
        <f>_xlfn.IFNA(MATCH(K88,Achievements[[#All],[Column113]],0)+10,"")</f>
        <v/>
      </c>
      <c r="AL88" s="134" t="str">
        <f>_xlfn.IFNA(MATCH(L88,Achievements[[#All],[Column114]],0)+10,"")</f>
        <v/>
      </c>
      <c r="AM88" s="134" t="str">
        <f>_xlfn.IFNA(MATCH(M88,Achievements[[#All],[Column114]],0)+10,"")</f>
        <v/>
      </c>
      <c r="AN88" s="134" t="str">
        <f>_xlfn.IFNA(MATCH(N88,Achievements[[#All],[Column115]],0)+10,"")</f>
        <v/>
      </c>
      <c r="AO88" s="134" t="str">
        <f>_xlfn.IFNA(MATCH(O88,Achievements[[#All],[Column115]],0)+10,"")</f>
        <v/>
      </c>
      <c r="AP88" s="134" t="str">
        <f>_xlfn.IFNA(MATCH(P88,Achievements[[#All],[Column116]],0)+10,"")</f>
        <v/>
      </c>
      <c r="AQ88" s="134" t="str">
        <f>_xlfn.IFNA(MATCH(Q88,Achievements[[#All],[Column116]],0)+10,"")</f>
        <v/>
      </c>
      <c r="AR88" s="134" t="str">
        <f>_xlfn.IFNA(MATCH(R88,Achievements[[#All],[Column117]],0)+10,"")</f>
        <v/>
      </c>
      <c r="AS88" s="134" t="str">
        <f>_xlfn.IFNA(MATCH(S88,Achievements[[#All],[Column117]],0)+10,"")</f>
        <v/>
      </c>
      <c r="AT88" s="134" t="str">
        <f>_xlfn.IFNA(MATCH(T88,Achievements[[#All],[Column118]],0)+10,"")</f>
        <v/>
      </c>
      <c r="AU88" s="134" t="str">
        <f>_xlfn.IFNA(MATCH(U88,Achievements[[#All],[Column118]],0)+10,"")</f>
        <v/>
      </c>
      <c r="AV88" s="134" t="str">
        <f>_xlfn.IFNA(MATCH(V88,Achievements[[#All],[Column119]],0)+10,"")</f>
        <v/>
      </c>
      <c r="AW88" s="134" t="str">
        <f>_xlfn.IFNA(MATCH(W88,Achievements[[#All],[Column119]],0)+10,"")</f>
        <v/>
      </c>
      <c r="AX88" s="134" t="str">
        <f>_xlfn.IFNA(MATCH(X88,Achievements[[#All],[Column120]],0)+10,"")</f>
        <v/>
      </c>
      <c r="AY88" s="134" t="str">
        <f>_xlfn.IFNA(MATCH(Y88,Achievements[[#All],[Column120]],0)+10,"")</f>
        <v/>
      </c>
      <c r="AZ88" s="116" t="e">
        <f t="shared" ca="1" si="2"/>
        <v>#NAME?</v>
      </c>
      <c r="BA88" s="134" t="e" cm="1">
        <f t="array" aca="1" ref="BA88" ca="1">SplitValues("; ",Persons[[#This Row],[Column1]])</f>
        <v>#NAME?</v>
      </c>
      <c r="CA88" s="134" t="e">
        <f ca="1">_xlfn.IFNA(MATCH(BA88,Achievements[[#All],[Column1]],0)+10,"")</f>
        <v>#NAME?</v>
      </c>
      <c r="CB88" s="134" t="str">
        <f>_xlfn.IFNA(MATCH(BB88,Achievements[[#All],[Column1]],0)+10,"")</f>
        <v/>
      </c>
      <c r="CC88" s="134" t="str">
        <f>_xlfn.IFNA(MATCH(BC88,Achievements[[#All],[Column110]],0)+10,"")</f>
        <v/>
      </c>
      <c r="CD88" s="134" t="str">
        <f>_xlfn.IFNA(MATCH(BD88,Achievements[[#All],[Column110]],0)+10,"")</f>
        <v/>
      </c>
      <c r="CE88" s="134" t="str">
        <f>_xlfn.IFNA(MATCH(BE88,Achievements[[#All],[Column111]],0)+10,"")</f>
        <v/>
      </c>
      <c r="CF88" s="134" t="str">
        <f>_xlfn.IFNA(MATCH(BF88,Achievements[[#All],[Column111]],0)+10,"")</f>
        <v/>
      </c>
      <c r="CG88" s="134" t="str">
        <f>_xlfn.IFNA(MATCH(BG88,Achievements[[#All],[Column112]],0)+10,"")</f>
        <v/>
      </c>
      <c r="CH88" s="134" t="str">
        <f>_xlfn.IFNA(MATCH(BH88,Achievements[[#All],[Column112]],0)+10,"")</f>
        <v/>
      </c>
      <c r="CI88" s="134" t="str">
        <f>_xlfn.IFNA(MATCH(BI88,Achievements[[#All],[Column113]],0)+10,"")</f>
        <v/>
      </c>
      <c r="CJ88" s="134" t="str">
        <f>_xlfn.IFNA(MATCH(BJ88,Achievements[[#All],[Column113]],0)+10,"")</f>
        <v/>
      </c>
      <c r="CK88" s="134" t="str">
        <f>_xlfn.IFNA(MATCH(BK88,Achievements[[#All],[Column114]],0)+10,"")</f>
        <v/>
      </c>
      <c r="CL88" s="134" t="str">
        <f>_xlfn.IFNA(MATCH(BL88,Achievements[[#All],[Column114]],0)+10,"")</f>
        <v/>
      </c>
      <c r="CM88" s="134" t="str">
        <f>_xlfn.IFNA(MATCH(BM88,Achievements[[#All],[Column115]],0)+10,"")</f>
        <v/>
      </c>
      <c r="CN88" s="134" t="str">
        <f>_xlfn.IFNA(MATCH(BN88,Achievements[[#All],[Column115]],0)+10,"")</f>
        <v/>
      </c>
      <c r="CO88" s="134" t="str">
        <f>_xlfn.IFNA(MATCH(BO88,Achievements[[#All],[Column116]],0)+10,"")</f>
        <v/>
      </c>
      <c r="CP88" s="134" t="str">
        <f>_xlfn.IFNA(MATCH(BP88,Achievements[[#All],[Column116]],0)+10,"")</f>
        <v/>
      </c>
      <c r="CQ88" s="134" t="str">
        <f>_xlfn.IFNA(MATCH(BQ88,Achievements[[#All],[Column117]],0)+10,"")</f>
        <v/>
      </c>
      <c r="CR88" s="134" t="str">
        <f>_xlfn.IFNA(MATCH(BR88,Achievements[[#All],[Column117]],0)+10,"")</f>
        <v/>
      </c>
      <c r="CS88" s="134" t="str">
        <f>_xlfn.IFNA(MATCH(BS88,Achievements[[#All],[Column118]],0)+10,"")</f>
        <v/>
      </c>
      <c r="CT88" s="134" t="str">
        <f>_xlfn.IFNA(MATCH(BT88,Achievements[[#All],[Column118]],0)+10,"")</f>
        <v/>
      </c>
      <c r="CU88" s="134" t="str">
        <f>_xlfn.IFNA(MATCH(BU88,Achievements[[#All],[Column119]],0)+10,"")</f>
        <v/>
      </c>
      <c r="CV88" s="134" t="str">
        <f>_xlfn.IFNA(MATCH(BV88,Achievements[[#All],[Column119]],0)+10,"")</f>
        <v/>
      </c>
      <c r="CW88" s="134" t="str">
        <f>_xlfn.IFNA(MATCH(BW88,Achievements[[#All],[Column120]],0)+10,"")</f>
        <v/>
      </c>
      <c r="CX88" s="134" t="str">
        <f>_xlfn.IFNA(MATCH(BX88,Achievements[[#All],[Column120]],0)+10,"")</f>
        <v/>
      </c>
      <c r="CY88" s="134" t="str">
        <f>_xlfn.IFNA(MATCH(BY88,Achievements[[#All],[Column121]],0)+10,"")</f>
        <v/>
      </c>
      <c r="CZ88" s="118" t="e">
        <f t="shared" ca="1" si="3"/>
        <v>#NAME?</v>
      </c>
    </row>
    <row r="89" spans="1:104" x14ac:dyDescent="0.25">
      <c r="A89" t="e" cm="1">
        <f t="array" aca="1" ref="A89" ca="1">SplitValues("; ",#REF!)</f>
        <v>#NAME?</v>
      </c>
      <c r="AA89" t="e">
        <f ca="1">_xlfn.IFNA(MATCH(A89,Achievements[[#All],[Column1]],0)+11,"")</f>
        <v>#NAME?</v>
      </c>
      <c r="AB89" s="134" t="str">
        <f>_xlfn.IFNA(MATCH(B89,Achievements[[#All],[Column1]],0)+10,"")</f>
        <v/>
      </c>
      <c r="AC89" s="134" t="str">
        <f>_xlfn.IFNA(MATCH(C89,Achievements[[#All],[Column1]],0)+10,"")</f>
        <v/>
      </c>
      <c r="AD89" s="134" t="str">
        <f>_xlfn.IFNA(MATCH(D89,Achievements[[#All],[Column110]],0)+10,"")</f>
        <v/>
      </c>
      <c r="AE89" s="134" t="str">
        <f>_xlfn.IFNA(MATCH(E89,Achievements[[#All],[Column110]],0)+10,"")</f>
        <v/>
      </c>
      <c r="AF89" s="134" t="str">
        <f>_xlfn.IFNA(MATCH(F89,Achievements[[#All],[Column111]],0)+10,"")</f>
        <v/>
      </c>
      <c r="AG89" s="134" t="str">
        <f>_xlfn.IFNA(MATCH(G89,Achievements[[#All],[Column111]],0)+10,"")</f>
        <v/>
      </c>
      <c r="AH89" s="134" t="str">
        <f>_xlfn.IFNA(MATCH(H89,Achievements[[#All],[Column112]],0)+10,"")</f>
        <v/>
      </c>
      <c r="AI89" s="134" t="str">
        <f>_xlfn.IFNA(MATCH(I89,Achievements[[#All],[Column112]],0)+10,"")</f>
        <v/>
      </c>
      <c r="AJ89" s="134" t="str">
        <f>_xlfn.IFNA(MATCH(J89,Achievements[[#All],[Column113]],0)+10,"")</f>
        <v/>
      </c>
      <c r="AK89" s="134" t="str">
        <f>_xlfn.IFNA(MATCH(K89,Achievements[[#All],[Column113]],0)+10,"")</f>
        <v/>
      </c>
      <c r="AL89" s="134" t="str">
        <f>_xlfn.IFNA(MATCH(L89,Achievements[[#All],[Column114]],0)+10,"")</f>
        <v/>
      </c>
      <c r="AM89" s="134" t="str">
        <f>_xlfn.IFNA(MATCH(M89,Achievements[[#All],[Column114]],0)+10,"")</f>
        <v/>
      </c>
      <c r="AN89" s="134" t="str">
        <f>_xlfn.IFNA(MATCH(N89,Achievements[[#All],[Column115]],0)+10,"")</f>
        <v/>
      </c>
      <c r="AO89" s="134" t="str">
        <f>_xlfn.IFNA(MATCH(O89,Achievements[[#All],[Column115]],0)+10,"")</f>
        <v/>
      </c>
      <c r="AP89" s="134" t="str">
        <f>_xlfn.IFNA(MATCH(P89,Achievements[[#All],[Column116]],0)+10,"")</f>
        <v/>
      </c>
      <c r="AQ89" s="134" t="str">
        <f>_xlfn.IFNA(MATCH(Q89,Achievements[[#All],[Column116]],0)+10,"")</f>
        <v/>
      </c>
      <c r="AR89" s="134" t="str">
        <f>_xlfn.IFNA(MATCH(R89,Achievements[[#All],[Column117]],0)+10,"")</f>
        <v/>
      </c>
      <c r="AS89" s="134" t="str">
        <f>_xlfn.IFNA(MATCH(S89,Achievements[[#All],[Column117]],0)+10,"")</f>
        <v/>
      </c>
      <c r="AT89" s="134" t="str">
        <f>_xlfn.IFNA(MATCH(T89,Achievements[[#All],[Column118]],0)+10,"")</f>
        <v/>
      </c>
      <c r="AU89" s="134" t="str">
        <f>_xlfn.IFNA(MATCH(U89,Achievements[[#All],[Column118]],0)+10,"")</f>
        <v/>
      </c>
      <c r="AV89" s="134" t="str">
        <f>_xlfn.IFNA(MATCH(V89,Achievements[[#All],[Column119]],0)+10,"")</f>
        <v/>
      </c>
      <c r="AW89" s="134" t="str">
        <f>_xlfn.IFNA(MATCH(W89,Achievements[[#All],[Column119]],0)+10,"")</f>
        <v/>
      </c>
      <c r="AX89" s="134" t="str">
        <f>_xlfn.IFNA(MATCH(X89,Achievements[[#All],[Column120]],0)+10,"")</f>
        <v/>
      </c>
      <c r="AY89" s="134" t="str">
        <f>_xlfn.IFNA(MATCH(Y89,Achievements[[#All],[Column120]],0)+10,"")</f>
        <v/>
      </c>
      <c r="AZ89" s="116" t="e">
        <f t="shared" ca="1" si="2"/>
        <v>#NAME?</v>
      </c>
      <c r="BA89" s="134" t="e" cm="1">
        <f t="array" aca="1" ref="BA89" ca="1">SplitValues("; ",Persons[[#This Row],[Column1]])</f>
        <v>#NAME?</v>
      </c>
      <c r="CA89" s="134" t="e">
        <f ca="1">_xlfn.IFNA(MATCH(BA89,Achievements[[#All],[Column1]],0)+10,"")</f>
        <v>#NAME?</v>
      </c>
      <c r="CB89" s="134" t="str">
        <f>_xlfn.IFNA(MATCH(BB89,Achievements[[#All],[Column1]],0)+10,"")</f>
        <v/>
      </c>
      <c r="CC89" s="134" t="str">
        <f>_xlfn.IFNA(MATCH(BC89,Achievements[[#All],[Column110]],0)+10,"")</f>
        <v/>
      </c>
      <c r="CD89" s="134" t="str">
        <f>_xlfn.IFNA(MATCH(BD89,Achievements[[#All],[Column110]],0)+10,"")</f>
        <v/>
      </c>
      <c r="CE89" s="134" t="str">
        <f>_xlfn.IFNA(MATCH(BE89,Achievements[[#All],[Column111]],0)+10,"")</f>
        <v/>
      </c>
      <c r="CF89" s="134" t="str">
        <f>_xlfn.IFNA(MATCH(BF89,Achievements[[#All],[Column111]],0)+10,"")</f>
        <v/>
      </c>
      <c r="CG89" s="134" t="str">
        <f>_xlfn.IFNA(MATCH(BG89,Achievements[[#All],[Column112]],0)+10,"")</f>
        <v/>
      </c>
      <c r="CH89" s="134" t="str">
        <f>_xlfn.IFNA(MATCH(BH89,Achievements[[#All],[Column112]],0)+10,"")</f>
        <v/>
      </c>
      <c r="CI89" s="134" t="str">
        <f>_xlfn.IFNA(MATCH(BI89,Achievements[[#All],[Column113]],0)+10,"")</f>
        <v/>
      </c>
      <c r="CJ89" s="134" t="str">
        <f>_xlfn.IFNA(MATCH(BJ89,Achievements[[#All],[Column113]],0)+10,"")</f>
        <v/>
      </c>
      <c r="CK89" s="134" t="str">
        <f>_xlfn.IFNA(MATCH(BK89,Achievements[[#All],[Column114]],0)+10,"")</f>
        <v/>
      </c>
      <c r="CL89" s="134" t="str">
        <f>_xlfn.IFNA(MATCH(BL89,Achievements[[#All],[Column114]],0)+10,"")</f>
        <v/>
      </c>
      <c r="CM89" s="134" t="str">
        <f>_xlfn.IFNA(MATCH(BM89,Achievements[[#All],[Column115]],0)+10,"")</f>
        <v/>
      </c>
      <c r="CN89" s="134" t="str">
        <f>_xlfn.IFNA(MATCH(BN89,Achievements[[#All],[Column115]],0)+10,"")</f>
        <v/>
      </c>
      <c r="CO89" s="134" t="str">
        <f>_xlfn.IFNA(MATCH(BO89,Achievements[[#All],[Column116]],0)+10,"")</f>
        <v/>
      </c>
      <c r="CP89" s="134" t="str">
        <f>_xlfn.IFNA(MATCH(BP89,Achievements[[#All],[Column116]],0)+10,"")</f>
        <v/>
      </c>
      <c r="CQ89" s="134" t="str">
        <f>_xlfn.IFNA(MATCH(BQ89,Achievements[[#All],[Column117]],0)+10,"")</f>
        <v/>
      </c>
      <c r="CR89" s="134" t="str">
        <f>_xlfn.IFNA(MATCH(BR89,Achievements[[#All],[Column117]],0)+10,"")</f>
        <v/>
      </c>
      <c r="CS89" s="134" t="str">
        <f>_xlfn.IFNA(MATCH(BS89,Achievements[[#All],[Column118]],0)+10,"")</f>
        <v/>
      </c>
      <c r="CT89" s="134" t="str">
        <f>_xlfn.IFNA(MATCH(BT89,Achievements[[#All],[Column118]],0)+10,"")</f>
        <v/>
      </c>
      <c r="CU89" s="134" t="str">
        <f>_xlfn.IFNA(MATCH(BU89,Achievements[[#All],[Column119]],0)+10,"")</f>
        <v/>
      </c>
      <c r="CV89" s="134" t="str">
        <f>_xlfn.IFNA(MATCH(BV89,Achievements[[#All],[Column119]],0)+10,"")</f>
        <v/>
      </c>
      <c r="CW89" s="134" t="str">
        <f>_xlfn.IFNA(MATCH(BW89,Achievements[[#All],[Column120]],0)+10,"")</f>
        <v/>
      </c>
      <c r="CX89" s="134" t="str">
        <f>_xlfn.IFNA(MATCH(BX89,Achievements[[#All],[Column120]],0)+10,"")</f>
        <v/>
      </c>
      <c r="CY89" s="134" t="str">
        <f>_xlfn.IFNA(MATCH(BY89,Achievements[[#All],[Column121]],0)+10,"")</f>
        <v/>
      </c>
      <c r="CZ89" s="118" t="e">
        <f t="shared" ca="1" si="3"/>
        <v>#NAME?</v>
      </c>
    </row>
    <row r="90" spans="1:104" x14ac:dyDescent="0.25">
      <c r="A90" t="e" cm="1">
        <f t="array" aca="1" ref="A90" ca="1">SplitValues("; ",#REF!)</f>
        <v>#NAME?</v>
      </c>
      <c r="AA90" t="e">
        <f ca="1">_xlfn.IFNA(MATCH(A90,Achievements[[#All],[Column1]],0)+11,"")</f>
        <v>#NAME?</v>
      </c>
      <c r="AB90" s="134" t="str">
        <f>_xlfn.IFNA(MATCH(B90,Achievements[[#All],[Column1]],0)+10,"")</f>
        <v/>
      </c>
      <c r="AC90" s="134" t="str">
        <f>_xlfn.IFNA(MATCH(C90,Achievements[[#All],[Column1]],0)+10,"")</f>
        <v/>
      </c>
      <c r="AD90" s="134" t="str">
        <f>_xlfn.IFNA(MATCH(D90,Achievements[[#All],[Column110]],0)+10,"")</f>
        <v/>
      </c>
      <c r="AE90" s="134" t="str">
        <f>_xlfn.IFNA(MATCH(E90,Achievements[[#All],[Column110]],0)+10,"")</f>
        <v/>
      </c>
      <c r="AF90" s="134" t="str">
        <f>_xlfn.IFNA(MATCH(F90,Achievements[[#All],[Column111]],0)+10,"")</f>
        <v/>
      </c>
      <c r="AG90" s="134" t="str">
        <f>_xlfn.IFNA(MATCH(G90,Achievements[[#All],[Column111]],0)+10,"")</f>
        <v/>
      </c>
      <c r="AH90" s="134" t="str">
        <f>_xlfn.IFNA(MATCH(H90,Achievements[[#All],[Column112]],0)+10,"")</f>
        <v/>
      </c>
      <c r="AI90" s="134" t="str">
        <f>_xlfn.IFNA(MATCH(I90,Achievements[[#All],[Column112]],0)+10,"")</f>
        <v/>
      </c>
      <c r="AJ90" s="134" t="str">
        <f>_xlfn.IFNA(MATCH(J90,Achievements[[#All],[Column113]],0)+10,"")</f>
        <v/>
      </c>
      <c r="AK90" s="134" t="str">
        <f>_xlfn.IFNA(MATCH(K90,Achievements[[#All],[Column113]],0)+10,"")</f>
        <v/>
      </c>
      <c r="AL90" s="134" t="str">
        <f>_xlfn.IFNA(MATCH(L90,Achievements[[#All],[Column114]],0)+10,"")</f>
        <v/>
      </c>
      <c r="AM90" s="134" t="str">
        <f>_xlfn.IFNA(MATCH(M90,Achievements[[#All],[Column114]],0)+10,"")</f>
        <v/>
      </c>
      <c r="AN90" s="134" t="str">
        <f>_xlfn.IFNA(MATCH(N90,Achievements[[#All],[Column115]],0)+10,"")</f>
        <v/>
      </c>
      <c r="AO90" s="134" t="str">
        <f>_xlfn.IFNA(MATCH(O90,Achievements[[#All],[Column115]],0)+10,"")</f>
        <v/>
      </c>
      <c r="AP90" s="134" t="str">
        <f>_xlfn.IFNA(MATCH(P90,Achievements[[#All],[Column116]],0)+10,"")</f>
        <v/>
      </c>
      <c r="AQ90" s="134" t="str">
        <f>_xlfn.IFNA(MATCH(Q90,Achievements[[#All],[Column116]],0)+10,"")</f>
        <v/>
      </c>
      <c r="AR90" s="134" t="str">
        <f>_xlfn.IFNA(MATCH(R90,Achievements[[#All],[Column117]],0)+10,"")</f>
        <v/>
      </c>
      <c r="AS90" s="134" t="str">
        <f>_xlfn.IFNA(MATCH(S90,Achievements[[#All],[Column117]],0)+10,"")</f>
        <v/>
      </c>
      <c r="AT90" s="134" t="str">
        <f>_xlfn.IFNA(MATCH(T90,Achievements[[#All],[Column118]],0)+10,"")</f>
        <v/>
      </c>
      <c r="AU90" s="134" t="str">
        <f>_xlfn.IFNA(MATCH(U90,Achievements[[#All],[Column118]],0)+10,"")</f>
        <v/>
      </c>
      <c r="AV90" s="134" t="str">
        <f>_xlfn.IFNA(MATCH(V90,Achievements[[#All],[Column119]],0)+10,"")</f>
        <v/>
      </c>
      <c r="AW90" s="134" t="str">
        <f>_xlfn.IFNA(MATCH(W90,Achievements[[#All],[Column119]],0)+10,"")</f>
        <v/>
      </c>
      <c r="AX90" s="134" t="str">
        <f>_xlfn.IFNA(MATCH(X90,Achievements[[#All],[Column120]],0)+10,"")</f>
        <v/>
      </c>
      <c r="AY90" s="134" t="str">
        <f>_xlfn.IFNA(MATCH(Y90,Achievements[[#All],[Column120]],0)+10,"")</f>
        <v/>
      </c>
      <c r="AZ90" s="116" t="e">
        <f t="shared" ca="1" si="2"/>
        <v>#NAME?</v>
      </c>
      <c r="BA90" s="134" t="e" cm="1">
        <f t="array" aca="1" ref="BA90" ca="1">SplitValues("; ",Persons[[#This Row],[Column1]])</f>
        <v>#NAME?</v>
      </c>
      <c r="CA90" s="134" t="e">
        <f ca="1">_xlfn.IFNA(MATCH(BA90,Achievements[[#All],[Column1]],0)+10,"")</f>
        <v>#NAME?</v>
      </c>
      <c r="CB90" s="134" t="str">
        <f>_xlfn.IFNA(MATCH(BB90,Achievements[[#All],[Column1]],0)+10,"")</f>
        <v/>
      </c>
      <c r="CC90" s="134" t="str">
        <f>_xlfn.IFNA(MATCH(BC90,Achievements[[#All],[Column110]],0)+10,"")</f>
        <v/>
      </c>
      <c r="CD90" s="134" t="str">
        <f>_xlfn.IFNA(MATCH(BD90,Achievements[[#All],[Column110]],0)+10,"")</f>
        <v/>
      </c>
      <c r="CE90" s="134" t="str">
        <f>_xlfn.IFNA(MATCH(BE90,Achievements[[#All],[Column111]],0)+10,"")</f>
        <v/>
      </c>
      <c r="CF90" s="134" t="str">
        <f>_xlfn.IFNA(MATCH(BF90,Achievements[[#All],[Column111]],0)+10,"")</f>
        <v/>
      </c>
      <c r="CG90" s="134" t="str">
        <f>_xlfn.IFNA(MATCH(BG90,Achievements[[#All],[Column112]],0)+10,"")</f>
        <v/>
      </c>
      <c r="CH90" s="134" t="str">
        <f>_xlfn.IFNA(MATCH(BH90,Achievements[[#All],[Column112]],0)+10,"")</f>
        <v/>
      </c>
      <c r="CI90" s="134" t="str">
        <f>_xlfn.IFNA(MATCH(BI90,Achievements[[#All],[Column113]],0)+10,"")</f>
        <v/>
      </c>
      <c r="CJ90" s="134" t="str">
        <f>_xlfn.IFNA(MATCH(BJ90,Achievements[[#All],[Column113]],0)+10,"")</f>
        <v/>
      </c>
      <c r="CK90" s="134" t="str">
        <f>_xlfn.IFNA(MATCH(BK90,Achievements[[#All],[Column114]],0)+10,"")</f>
        <v/>
      </c>
      <c r="CL90" s="134" t="str">
        <f>_xlfn.IFNA(MATCH(BL90,Achievements[[#All],[Column114]],0)+10,"")</f>
        <v/>
      </c>
      <c r="CM90" s="134" t="str">
        <f>_xlfn.IFNA(MATCH(BM90,Achievements[[#All],[Column115]],0)+10,"")</f>
        <v/>
      </c>
      <c r="CN90" s="134" t="str">
        <f>_xlfn.IFNA(MATCH(BN90,Achievements[[#All],[Column115]],0)+10,"")</f>
        <v/>
      </c>
      <c r="CO90" s="134" t="str">
        <f>_xlfn.IFNA(MATCH(BO90,Achievements[[#All],[Column116]],0)+10,"")</f>
        <v/>
      </c>
      <c r="CP90" s="134" t="str">
        <f>_xlfn.IFNA(MATCH(BP90,Achievements[[#All],[Column116]],0)+10,"")</f>
        <v/>
      </c>
      <c r="CQ90" s="134" t="str">
        <f>_xlfn.IFNA(MATCH(BQ90,Achievements[[#All],[Column117]],0)+10,"")</f>
        <v/>
      </c>
      <c r="CR90" s="134" t="str">
        <f>_xlfn.IFNA(MATCH(BR90,Achievements[[#All],[Column117]],0)+10,"")</f>
        <v/>
      </c>
      <c r="CS90" s="134" t="str">
        <f>_xlfn.IFNA(MATCH(BS90,Achievements[[#All],[Column118]],0)+10,"")</f>
        <v/>
      </c>
      <c r="CT90" s="134" t="str">
        <f>_xlfn.IFNA(MATCH(BT90,Achievements[[#All],[Column118]],0)+10,"")</f>
        <v/>
      </c>
      <c r="CU90" s="134" t="str">
        <f>_xlfn.IFNA(MATCH(BU90,Achievements[[#All],[Column119]],0)+10,"")</f>
        <v/>
      </c>
      <c r="CV90" s="134" t="str">
        <f>_xlfn.IFNA(MATCH(BV90,Achievements[[#All],[Column119]],0)+10,"")</f>
        <v/>
      </c>
      <c r="CW90" s="134" t="str">
        <f>_xlfn.IFNA(MATCH(BW90,Achievements[[#All],[Column120]],0)+10,"")</f>
        <v/>
      </c>
      <c r="CX90" s="134" t="str">
        <f>_xlfn.IFNA(MATCH(BX90,Achievements[[#All],[Column120]],0)+10,"")</f>
        <v/>
      </c>
      <c r="CY90" s="134" t="str">
        <f>_xlfn.IFNA(MATCH(BY90,Achievements[[#All],[Column121]],0)+10,"")</f>
        <v/>
      </c>
      <c r="CZ90" s="118" t="e">
        <f t="shared" ca="1" si="3"/>
        <v>#NAME?</v>
      </c>
    </row>
    <row r="91" spans="1:104" x14ac:dyDescent="0.25">
      <c r="A91" t="e" cm="1">
        <f t="array" aca="1" ref="A91" ca="1">SplitValues("; ",#REF!)</f>
        <v>#NAME?</v>
      </c>
      <c r="AA91" t="e">
        <f ca="1">_xlfn.IFNA(MATCH(A91,Achievements[[#All],[Column1]],0)+11,"")</f>
        <v>#NAME?</v>
      </c>
      <c r="AB91" s="134" t="str">
        <f>_xlfn.IFNA(MATCH(B91,Achievements[[#All],[Column1]],0)+10,"")</f>
        <v/>
      </c>
      <c r="AC91" s="134" t="str">
        <f>_xlfn.IFNA(MATCH(C91,Achievements[[#All],[Column1]],0)+10,"")</f>
        <v/>
      </c>
      <c r="AD91" s="134" t="str">
        <f>_xlfn.IFNA(MATCH(D91,Achievements[[#All],[Column110]],0)+10,"")</f>
        <v/>
      </c>
      <c r="AE91" s="134" t="str">
        <f>_xlfn.IFNA(MATCH(E91,Achievements[[#All],[Column110]],0)+10,"")</f>
        <v/>
      </c>
      <c r="AF91" s="134" t="str">
        <f>_xlfn.IFNA(MATCH(F91,Achievements[[#All],[Column111]],0)+10,"")</f>
        <v/>
      </c>
      <c r="AG91" s="134" t="str">
        <f>_xlfn.IFNA(MATCH(G91,Achievements[[#All],[Column111]],0)+10,"")</f>
        <v/>
      </c>
      <c r="AH91" s="134" t="str">
        <f>_xlfn.IFNA(MATCH(H91,Achievements[[#All],[Column112]],0)+10,"")</f>
        <v/>
      </c>
      <c r="AI91" s="134" t="str">
        <f>_xlfn.IFNA(MATCH(I91,Achievements[[#All],[Column112]],0)+10,"")</f>
        <v/>
      </c>
      <c r="AJ91" s="134" t="str">
        <f>_xlfn.IFNA(MATCH(J91,Achievements[[#All],[Column113]],0)+10,"")</f>
        <v/>
      </c>
      <c r="AK91" s="134" t="str">
        <f>_xlfn.IFNA(MATCH(K91,Achievements[[#All],[Column113]],0)+10,"")</f>
        <v/>
      </c>
      <c r="AL91" s="134" t="str">
        <f>_xlfn.IFNA(MATCH(L91,Achievements[[#All],[Column114]],0)+10,"")</f>
        <v/>
      </c>
      <c r="AM91" s="134" t="str">
        <f>_xlfn.IFNA(MATCH(M91,Achievements[[#All],[Column114]],0)+10,"")</f>
        <v/>
      </c>
      <c r="AN91" s="134" t="str">
        <f>_xlfn.IFNA(MATCH(N91,Achievements[[#All],[Column115]],0)+10,"")</f>
        <v/>
      </c>
      <c r="AO91" s="134" t="str">
        <f>_xlfn.IFNA(MATCH(O91,Achievements[[#All],[Column115]],0)+10,"")</f>
        <v/>
      </c>
      <c r="AP91" s="134" t="str">
        <f>_xlfn.IFNA(MATCH(P91,Achievements[[#All],[Column116]],0)+10,"")</f>
        <v/>
      </c>
      <c r="AQ91" s="134" t="str">
        <f>_xlfn.IFNA(MATCH(Q91,Achievements[[#All],[Column116]],0)+10,"")</f>
        <v/>
      </c>
      <c r="AR91" s="134" t="str">
        <f>_xlfn.IFNA(MATCH(R91,Achievements[[#All],[Column117]],0)+10,"")</f>
        <v/>
      </c>
      <c r="AS91" s="134" t="str">
        <f>_xlfn.IFNA(MATCH(S91,Achievements[[#All],[Column117]],0)+10,"")</f>
        <v/>
      </c>
      <c r="AT91" s="134" t="str">
        <f>_xlfn.IFNA(MATCH(T91,Achievements[[#All],[Column118]],0)+10,"")</f>
        <v/>
      </c>
      <c r="AU91" s="134" t="str">
        <f>_xlfn.IFNA(MATCH(U91,Achievements[[#All],[Column118]],0)+10,"")</f>
        <v/>
      </c>
      <c r="AV91" s="134" t="str">
        <f>_xlfn.IFNA(MATCH(V91,Achievements[[#All],[Column119]],0)+10,"")</f>
        <v/>
      </c>
      <c r="AW91" s="134" t="str">
        <f>_xlfn.IFNA(MATCH(W91,Achievements[[#All],[Column119]],0)+10,"")</f>
        <v/>
      </c>
      <c r="AX91" s="134" t="str">
        <f>_xlfn.IFNA(MATCH(X91,Achievements[[#All],[Column120]],0)+10,"")</f>
        <v/>
      </c>
      <c r="AY91" s="134" t="str">
        <f>_xlfn.IFNA(MATCH(Y91,Achievements[[#All],[Column120]],0)+10,"")</f>
        <v/>
      </c>
      <c r="AZ91" s="116" t="e">
        <f t="shared" ca="1" si="2"/>
        <v>#NAME?</v>
      </c>
      <c r="BA91" s="134" t="e" cm="1">
        <f t="array" aca="1" ref="BA91" ca="1">SplitValues("; ",Persons[[#This Row],[Column1]])</f>
        <v>#NAME?</v>
      </c>
      <c r="CA91" s="134" t="e">
        <f ca="1">_xlfn.IFNA(MATCH(BA91,Achievements[[#All],[Column1]],0)+10,"")</f>
        <v>#NAME?</v>
      </c>
      <c r="CB91" s="134" t="str">
        <f>_xlfn.IFNA(MATCH(BB91,Achievements[[#All],[Column1]],0)+10,"")</f>
        <v/>
      </c>
      <c r="CC91" s="134" t="str">
        <f>_xlfn.IFNA(MATCH(BC91,Achievements[[#All],[Column110]],0)+10,"")</f>
        <v/>
      </c>
      <c r="CD91" s="134" t="str">
        <f>_xlfn.IFNA(MATCH(BD91,Achievements[[#All],[Column110]],0)+10,"")</f>
        <v/>
      </c>
      <c r="CE91" s="134" t="str">
        <f>_xlfn.IFNA(MATCH(BE91,Achievements[[#All],[Column111]],0)+10,"")</f>
        <v/>
      </c>
      <c r="CF91" s="134" t="str">
        <f>_xlfn.IFNA(MATCH(BF91,Achievements[[#All],[Column111]],0)+10,"")</f>
        <v/>
      </c>
      <c r="CG91" s="134" t="str">
        <f>_xlfn.IFNA(MATCH(BG91,Achievements[[#All],[Column112]],0)+10,"")</f>
        <v/>
      </c>
      <c r="CH91" s="134" t="str">
        <f>_xlfn.IFNA(MATCH(BH91,Achievements[[#All],[Column112]],0)+10,"")</f>
        <v/>
      </c>
      <c r="CI91" s="134" t="str">
        <f>_xlfn.IFNA(MATCH(BI91,Achievements[[#All],[Column113]],0)+10,"")</f>
        <v/>
      </c>
      <c r="CJ91" s="134" t="str">
        <f>_xlfn.IFNA(MATCH(BJ91,Achievements[[#All],[Column113]],0)+10,"")</f>
        <v/>
      </c>
      <c r="CK91" s="134" t="str">
        <f>_xlfn.IFNA(MATCH(BK91,Achievements[[#All],[Column114]],0)+10,"")</f>
        <v/>
      </c>
      <c r="CL91" s="134" t="str">
        <f>_xlfn.IFNA(MATCH(BL91,Achievements[[#All],[Column114]],0)+10,"")</f>
        <v/>
      </c>
      <c r="CM91" s="134" t="str">
        <f>_xlfn.IFNA(MATCH(BM91,Achievements[[#All],[Column115]],0)+10,"")</f>
        <v/>
      </c>
      <c r="CN91" s="134" t="str">
        <f>_xlfn.IFNA(MATCH(BN91,Achievements[[#All],[Column115]],0)+10,"")</f>
        <v/>
      </c>
      <c r="CO91" s="134" t="str">
        <f>_xlfn.IFNA(MATCH(BO91,Achievements[[#All],[Column116]],0)+10,"")</f>
        <v/>
      </c>
      <c r="CP91" s="134" t="str">
        <f>_xlfn.IFNA(MATCH(BP91,Achievements[[#All],[Column116]],0)+10,"")</f>
        <v/>
      </c>
      <c r="CQ91" s="134" t="str">
        <f>_xlfn.IFNA(MATCH(BQ91,Achievements[[#All],[Column117]],0)+10,"")</f>
        <v/>
      </c>
      <c r="CR91" s="134" t="str">
        <f>_xlfn.IFNA(MATCH(BR91,Achievements[[#All],[Column117]],0)+10,"")</f>
        <v/>
      </c>
      <c r="CS91" s="134" t="str">
        <f>_xlfn.IFNA(MATCH(BS91,Achievements[[#All],[Column118]],0)+10,"")</f>
        <v/>
      </c>
      <c r="CT91" s="134" t="str">
        <f>_xlfn.IFNA(MATCH(BT91,Achievements[[#All],[Column118]],0)+10,"")</f>
        <v/>
      </c>
      <c r="CU91" s="134" t="str">
        <f>_xlfn.IFNA(MATCH(BU91,Achievements[[#All],[Column119]],0)+10,"")</f>
        <v/>
      </c>
      <c r="CV91" s="134" t="str">
        <f>_xlfn.IFNA(MATCH(BV91,Achievements[[#All],[Column119]],0)+10,"")</f>
        <v/>
      </c>
      <c r="CW91" s="134" t="str">
        <f>_xlfn.IFNA(MATCH(BW91,Achievements[[#All],[Column120]],0)+10,"")</f>
        <v/>
      </c>
      <c r="CX91" s="134" t="str">
        <f>_xlfn.IFNA(MATCH(BX91,Achievements[[#All],[Column120]],0)+10,"")</f>
        <v/>
      </c>
      <c r="CY91" s="134" t="str">
        <f>_xlfn.IFNA(MATCH(BY91,Achievements[[#All],[Column121]],0)+10,"")</f>
        <v/>
      </c>
      <c r="CZ91" s="118" t="e">
        <f t="shared" ca="1" si="3"/>
        <v>#NAME?</v>
      </c>
    </row>
    <row r="92" spans="1:104" x14ac:dyDescent="0.25">
      <c r="A92" t="e" cm="1">
        <f t="array" aca="1" ref="A92" ca="1">SplitValues("; ",#REF!)</f>
        <v>#NAME?</v>
      </c>
      <c r="AA92" t="e">
        <f ca="1">_xlfn.IFNA(MATCH(A92,Achievements[[#All],[Column1]],0)+11,"")</f>
        <v>#NAME?</v>
      </c>
      <c r="AB92" s="134" t="str">
        <f>_xlfn.IFNA(MATCH(B92,Achievements[[#All],[Column1]],0)+10,"")</f>
        <v/>
      </c>
      <c r="AC92" s="134" t="str">
        <f>_xlfn.IFNA(MATCH(C92,Achievements[[#All],[Column1]],0)+10,"")</f>
        <v/>
      </c>
      <c r="AD92" s="134" t="str">
        <f>_xlfn.IFNA(MATCH(D92,Achievements[[#All],[Column110]],0)+10,"")</f>
        <v/>
      </c>
      <c r="AE92" s="134" t="str">
        <f>_xlfn.IFNA(MATCH(E92,Achievements[[#All],[Column110]],0)+10,"")</f>
        <v/>
      </c>
      <c r="AF92" s="134" t="str">
        <f>_xlfn.IFNA(MATCH(F92,Achievements[[#All],[Column111]],0)+10,"")</f>
        <v/>
      </c>
      <c r="AG92" s="134" t="str">
        <f>_xlfn.IFNA(MATCH(G92,Achievements[[#All],[Column111]],0)+10,"")</f>
        <v/>
      </c>
      <c r="AH92" s="134" t="str">
        <f>_xlfn.IFNA(MATCH(H92,Achievements[[#All],[Column112]],0)+10,"")</f>
        <v/>
      </c>
      <c r="AI92" s="134" t="str">
        <f>_xlfn.IFNA(MATCH(I92,Achievements[[#All],[Column112]],0)+10,"")</f>
        <v/>
      </c>
      <c r="AJ92" s="134" t="str">
        <f>_xlfn.IFNA(MATCH(J92,Achievements[[#All],[Column113]],0)+10,"")</f>
        <v/>
      </c>
      <c r="AK92" s="134" t="str">
        <f>_xlfn.IFNA(MATCH(K92,Achievements[[#All],[Column113]],0)+10,"")</f>
        <v/>
      </c>
      <c r="AL92" s="134" t="str">
        <f>_xlfn.IFNA(MATCH(L92,Achievements[[#All],[Column114]],0)+10,"")</f>
        <v/>
      </c>
      <c r="AM92" s="134" t="str">
        <f>_xlfn.IFNA(MATCH(M92,Achievements[[#All],[Column114]],0)+10,"")</f>
        <v/>
      </c>
      <c r="AN92" s="134" t="str">
        <f>_xlfn.IFNA(MATCH(N92,Achievements[[#All],[Column115]],0)+10,"")</f>
        <v/>
      </c>
      <c r="AO92" s="134" t="str">
        <f>_xlfn.IFNA(MATCH(O92,Achievements[[#All],[Column115]],0)+10,"")</f>
        <v/>
      </c>
      <c r="AP92" s="134" t="str">
        <f>_xlfn.IFNA(MATCH(P92,Achievements[[#All],[Column116]],0)+10,"")</f>
        <v/>
      </c>
      <c r="AQ92" s="134" t="str">
        <f>_xlfn.IFNA(MATCH(Q92,Achievements[[#All],[Column116]],0)+10,"")</f>
        <v/>
      </c>
      <c r="AR92" s="134" t="str">
        <f>_xlfn.IFNA(MATCH(R92,Achievements[[#All],[Column117]],0)+10,"")</f>
        <v/>
      </c>
      <c r="AS92" s="134" t="str">
        <f>_xlfn.IFNA(MATCH(S92,Achievements[[#All],[Column117]],0)+10,"")</f>
        <v/>
      </c>
      <c r="AT92" s="134" t="str">
        <f>_xlfn.IFNA(MATCH(T92,Achievements[[#All],[Column118]],0)+10,"")</f>
        <v/>
      </c>
      <c r="AU92" s="134" t="str">
        <f>_xlfn.IFNA(MATCH(U92,Achievements[[#All],[Column118]],0)+10,"")</f>
        <v/>
      </c>
      <c r="AV92" s="134" t="str">
        <f>_xlfn.IFNA(MATCH(V92,Achievements[[#All],[Column119]],0)+10,"")</f>
        <v/>
      </c>
      <c r="AW92" s="134" t="str">
        <f>_xlfn.IFNA(MATCH(W92,Achievements[[#All],[Column119]],0)+10,"")</f>
        <v/>
      </c>
      <c r="AX92" s="134" t="str">
        <f>_xlfn.IFNA(MATCH(X92,Achievements[[#All],[Column120]],0)+10,"")</f>
        <v/>
      </c>
      <c r="AY92" s="134" t="str">
        <f>_xlfn.IFNA(MATCH(Y92,Achievements[[#All],[Column120]],0)+10,"")</f>
        <v/>
      </c>
      <c r="AZ92" s="116" t="e">
        <f t="shared" ca="1" si="2"/>
        <v>#NAME?</v>
      </c>
      <c r="BA92" s="134" t="e" cm="1">
        <f t="array" aca="1" ref="BA92" ca="1">SplitValues("; ",Persons[[#This Row],[Column1]])</f>
        <v>#NAME?</v>
      </c>
      <c r="CA92" s="134" t="e">
        <f ca="1">_xlfn.IFNA(MATCH(BA92,Achievements[[#All],[Column1]],0)+10,"")</f>
        <v>#NAME?</v>
      </c>
      <c r="CB92" s="134" t="str">
        <f>_xlfn.IFNA(MATCH(BB92,Achievements[[#All],[Column1]],0)+10,"")</f>
        <v/>
      </c>
      <c r="CC92" s="134" t="str">
        <f>_xlfn.IFNA(MATCH(BC92,Achievements[[#All],[Column110]],0)+10,"")</f>
        <v/>
      </c>
      <c r="CD92" s="134" t="str">
        <f>_xlfn.IFNA(MATCH(BD92,Achievements[[#All],[Column110]],0)+10,"")</f>
        <v/>
      </c>
      <c r="CE92" s="134" t="str">
        <f>_xlfn.IFNA(MATCH(BE92,Achievements[[#All],[Column111]],0)+10,"")</f>
        <v/>
      </c>
      <c r="CF92" s="134" t="str">
        <f>_xlfn.IFNA(MATCH(BF92,Achievements[[#All],[Column111]],0)+10,"")</f>
        <v/>
      </c>
      <c r="CG92" s="134" t="str">
        <f>_xlfn.IFNA(MATCH(BG92,Achievements[[#All],[Column112]],0)+10,"")</f>
        <v/>
      </c>
      <c r="CH92" s="134" t="str">
        <f>_xlfn.IFNA(MATCH(BH92,Achievements[[#All],[Column112]],0)+10,"")</f>
        <v/>
      </c>
      <c r="CI92" s="134" t="str">
        <f>_xlfn.IFNA(MATCH(BI92,Achievements[[#All],[Column113]],0)+10,"")</f>
        <v/>
      </c>
      <c r="CJ92" s="134" t="str">
        <f>_xlfn.IFNA(MATCH(BJ92,Achievements[[#All],[Column113]],0)+10,"")</f>
        <v/>
      </c>
      <c r="CK92" s="134" t="str">
        <f>_xlfn.IFNA(MATCH(BK92,Achievements[[#All],[Column114]],0)+10,"")</f>
        <v/>
      </c>
      <c r="CL92" s="134" t="str">
        <f>_xlfn.IFNA(MATCH(BL92,Achievements[[#All],[Column114]],0)+10,"")</f>
        <v/>
      </c>
      <c r="CM92" s="134" t="str">
        <f>_xlfn.IFNA(MATCH(BM92,Achievements[[#All],[Column115]],0)+10,"")</f>
        <v/>
      </c>
      <c r="CN92" s="134" t="str">
        <f>_xlfn.IFNA(MATCH(BN92,Achievements[[#All],[Column115]],0)+10,"")</f>
        <v/>
      </c>
      <c r="CO92" s="134" t="str">
        <f>_xlfn.IFNA(MATCH(BO92,Achievements[[#All],[Column116]],0)+10,"")</f>
        <v/>
      </c>
      <c r="CP92" s="134" t="str">
        <f>_xlfn.IFNA(MATCH(BP92,Achievements[[#All],[Column116]],0)+10,"")</f>
        <v/>
      </c>
      <c r="CQ92" s="134" t="str">
        <f>_xlfn.IFNA(MATCH(BQ92,Achievements[[#All],[Column117]],0)+10,"")</f>
        <v/>
      </c>
      <c r="CR92" s="134" t="str">
        <f>_xlfn.IFNA(MATCH(BR92,Achievements[[#All],[Column117]],0)+10,"")</f>
        <v/>
      </c>
      <c r="CS92" s="134" t="str">
        <f>_xlfn.IFNA(MATCH(BS92,Achievements[[#All],[Column118]],0)+10,"")</f>
        <v/>
      </c>
      <c r="CT92" s="134" t="str">
        <f>_xlfn.IFNA(MATCH(BT92,Achievements[[#All],[Column118]],0)+10,"")</f>
        <v/>
      </c>
      <c r="CU92" s="134" t="str">
        <f>_xlfn.IFNA(MATCH(BU92,Achievements[[#All],[Column119]],0)+10,"")</f>
        <v/>
      </c>
      <c r="CV92" s="134" t="str">
        <f>_xlfn.IFNA(MATCH(BV92,Achievements[[#All],[Column119]],0)+10,"")</f>
        <v/>
      </c>
      <c r="CW92" s="134" t="str">
        <f>_xlfn.IFNA(MATCH(BW92,Achievements[[#All],[Column120]],0)+10,"")</f>
        <v/>
      </c>
      <c r="CX92" s="134" t="str">
        <f>_xlfn.IFNA(MATCH(BX92,Achievements[[#All],[Column120]],0)+10,"")</f>
        <v/>
      </c>
      <c r="CY92" s="134" t="str">
        <f>_xlfn.IFNA(MATCH(BY92,Achievements[[#All],[Column121]],0)+10,"")</f>
        <v/>
      </c>
      <c r="CZ92" s="118" t="e">
        <f t="shared" ca="1" si="3"/>
        <v>#NAME?</v>
      </c>
    </row>
    <row r="93" spans="1:104" x14ac:dyDescent="0.25">
      <c r="A93" t="e" cm="1">
        <f t="array" aca="1" ref="A93" ca="1">SplitValues("; ",#REF!)</f>
        <v>#NAME?</v>
      </c>
      <c r="AA93" t="e">
        <f ca="1">_xlfn.IFNA(MATCH(A93,Achievements[[#All],[Column1]],0)+11,"")</f>
        <v>#NAME?</v>
      </c>
      <c r="AB93" s="134" t="str">
        <f>_xlfn.IFNA(MATCH(B93,Achievements[[#All],[Column1]],0)+10,"")</f>
        <v/>
      </c>
      <c r="AC93" s="134" t="str">
        <f>_xlfn.IFNA(MATCH(C93,Achievements[[#All],[Column1]],0)+10,"")</f>
        <v/>
      </c>
      <c r="AD93" s="134" t="str">
        <f>_xlfn.IFNA(MATCH(D93,Achievements[[#All],[Column110]],0)+10,"")</f>
        <v/>
      </c>
      <c r="AE93" s="134" t="str">
        <f>_xlfn.IFNA(MATCH(E93,Achievements[[#All],[Column110]],0)+10,"")</f>
        <v/>
      </c>
      <c r="AF93" s="134" t="str">
        <f>_xlfn.IFNA(MATCH(F93,Achievements[[#All],[Column111]],0)+10,"")</f>
        <v/>
      </c>
      <c r="AG93" s="134" t="str">
        <f>_xlfn.IFNA(MATCH(G93,Achievements[[#All],[Column111]],0)+10,"")</f>
        <v/>
      </c>
      <c r="AH93" s="134" t="str">
        <f>_xlfn.IFNA(MATCH(H93,Achievements[[#All],[Column112]],0)+10,"")</f>
        <v/>
      </c>
      <c r="AI93" s="134" t="str">
        <f>_xlfn.IFNA(MATCH(I93,Achievements[[#All],[Column112]],0)+10,"")</f>
        <v/>
      </c>
      <c r="AJ93" s="134" t="str">
        <f>_xlfn.IFNA(MATCH(J93,Achievements[[#All],[Column113]],0)+10,"")</f>
        <v/>
      </c>
      <c r="AK93" s="134" t="str">
        <f>_xlfn.IFNA(MATCH(K93,Achievements[[#All],[Column113]],0)+10,"")</f>
        <v/>
      </c>
      <c r="AL93" s="134" t="str">
        <f>_xlfn.IFNA(MATCH(L93,Achievements[[#All],[Column114]],0)+10,"")</f>
        <v/>
      </c>
      <c r="AM93" s="134" t="str">
        <f>_xlfn.IFNA(MATCH(M93,Achievements[[#All],[Column114]],0)+10,"")</f>
        <v/>
      </c>
      <c r="AN93" s="134" t="str">
        <f>_xlfn.IFNA(MATCH(N93,Achievements[[#All],[Column115]],0)+10,"")</f>
        <v/>
      </c>
      <c r="AO93" s="134" t="str">
        <f>_xlfn.IFNA(MATCH(O93,Achievements[[#All],[Column115]],0)+10,"")</f>
        <v/>
      </c>
      <c r="AP93" s="134" t="str">
        <f>_xlfn.IFNA(MATCH(P93,Achievements[[#All],[Column116]],0)+10,"")</f>
        <v/>
      </c>
      <c r="AQ93" s="134" t="str">
        <f>_xlfn.IFNA(MATCH(Q93,Achievements[[#All],[Column116]],0)+10,"")</f>
        <v/>
      </c>
      <c r="AR93" s="134" t="str">
        <f>_xlfn.IFNA(MATCH(R93,Achievements[[#All],[Column117]],0)+10,"")</f>
        <v/>
      </c>
      <c r="AS93" s="134" t="str">
        <f>_xlfn.IFNA(MATCH(S93,Achievements[[#All],[Column117]],0)+10,"")</f>
        <v/>
      </c>
      <c r="AT93" s="134" t="str">
        <f>_xlfn.IFNA(MATCH(T93,Achievements[[#All],[Column118]],0)+10,"")</f>
        <v/>
      </c>
      <c r="AU93" s="134" t="str">
        <f>_xlfn.IFNA(MATCH(U93,Achievements[[#All],[Column118]],0)+10,"")</f>
        <v/>
      </c>
      <c r="AV93" s="134" t="str">
        <f>_xlfn.IFNA(MATCH(V93,Achievements[[#All],[Column119]],0)+10,"")</f>
        <v/>
      </c>
      <c r="AW93" s="134" t="str">
        <f>_xlfn.IFNA(MATCH(W93,Achievements[[#All],[Column119]],0)+10,"")</f>
        <v/>
      </c>
      <c r="AX93" s="134" t="str">
        <f>_xlfn.IFNA(MATCH(X93,Achievements[[#All],[Column120]],0)+10,"")</f>
        <v/>
      </c>
      <c r="AY93" s="134" t="str">
        <f>_xlfn.IFNA(MATCH(Y93,Achievements[[#All],[Column120]],0)+10,"")</f>
        <v/>
      </c>
      <c r="AZ93" s="116" t="e">
        <f t="shared" ca="1" si="2"/>
        <v>#NAME?</v>
      </c>
      <c r="BA93" s="134" t="e" cm="1">
        <f t="array" aca="1" ref="BA93" ca="1">SplitValues("; ",Persons[[#This Row],[Column1]])</f>
        <v>#NAME?</v>
      </c>
      <c r="CA93" s="134" t="e">
        <f ca="1">_xlfn.IFNA(MATCH(BA93,Achievements[[#All],[Column1]],0)+10,"")</f>
        <v>#NAME?</v>
      </c>
      <c r="CB93" s="134" t="str">
        <f>_xlfn.IFNA(MATCH(BB93,Achievements[[#All],[Column1]],0)+10,"")</f>
        <v/>
      </c>
      <c r="CC93" s="134" t="str">
        <f>_xlfn.IFNA(MATCH(BC93,Achievements[[#All],[Column110]],0)+10,"")</f>
        <v/>
      </c>
      <c r="CD93" s="134" t="str">
        <f>_xlfn.IFNA(MATCH(BD93,Achievements[[#All],[Column110]],0)+10,"")</f>
        <v/>
      </c>
      <c r="CE93" s="134" t="str">
        <f>_xlfn.IFNA(MATCH(BE93,Achievements[[#All],[Column111]],0)+10,"")</f>
        <v/>
      </c>
      <c r="CF93" s="134" t="str">
        <f>_xlfn.IFNA(MATCH(BF93,Achievements[[#All],[Column111]],0)+10,"")</f>
        <v/>
      </c>
      <c r="CG93" s="134" t="str">
        <f>_xlfn.IFNA(MATCH(BG93,Achievements[[#All],[Column112]],0)+10,"")</f>
        <v/>
      </c>
      <c r="CH93" s="134" t="str">
        <f>_xlfn.IFNA(MATCH(BH93,Achievements[[#All],[Column112]],0)+10,"")</f>
        <v/>
      </c>
      <c r="CI93" s="134" t="str">
        <f>_xlfn.IFNA(MATCH(BI93,Achievements[[#All],[Column113]],0)+10,"")</f>
        <v/>
      </c>
      <c r="CJ93" s="134" t="str">
        <f>_xlfn.IFNA(MATCH(BJ93,Achievements[[#All],[Column113]],0)+10,"")</f>
        <v/>
      </c>
      <c r="CK93" s="134" t="str">
        <f>_xlfn.IFNA(MATCH(BK93,Achievements[[#All],[Column114]],0)+10,"")</f>
        <v/>
      </c>
      <c r="CL93" s="134" t="str">
        <f>_xlfn.IFNA(MATCH(BL93,Achievements[[#All],[Column114]],0)+10,"")</f>
        <v/>
      </c>
      <c r="CM93" s="134" t="str">
        <f>_xlfn.IFNA(MATCH(BM93,Achievements[[#All],[Column115]],0)+10,"")</f>
        <v/>
      </c>
      <c r="CN93" s="134" t="str">
        <f>_xlfn.IFNA(MATCH(BN93,Achievements[[#All],[Column115]],0)+10,"")</f>
        <v/>
      </c>
      <c r="CO93" s="134" t="str">
        <f>_xlfn.IFNA(MATCH(BO93,Achievements[[#All],[Column116]],0)+10,"")</f>
        <v/>
      </c>
      <c r="CP93" s="134" t="str">
        <f>_xlfn.IFNA(MATCH(BP93,Achievements[[#All],[Column116]],0)+10,"")</f>
        <v/>
      </c>
      <c r="CQ93" s="134" t="str">
        <f>_xlfn.IFNA(MATCH(BQ93,Achievements[[#All],[Column117]],0)+10,"")</f>
        <v/>
      </c>
      <c r="CR93" s="134" t="str">
        <f>_xlfn.IFNA(MATCH(BR93,Achievements[[#All],[Column117]],0)+10,"")</f>
        <v/>
      </c>
      <c r="CS93" s="134" t="str">
        <f>_xlfn.IFNA(MATCH(BS93,Achievements[[#All],[Column118]],0)+10,"")</f>
        <v/>
      </c>
      <c r="CT93" s="134" t="str">
        <f>_xlfn.IFNA(MATCH(BT93,Achievements[[#All],[Column118]],0)+10,"")</f>
        <v/>
      </c>
      <c r="CU93" s="134" t="str">
        <f>_xlfn.IFNA(MATCH(BU93,Achievements[[#All],[Column119]],0)+10,"")</f>
        <v/>
      </c>
      <c r="CV93" s="134" t="str">
        <f>_xlfn.IFNA(MATCH(BV93,Achievements[[#All],[Column119]],0)+10,"")</f>
        <v/>
      </c>
      <c r="CW93" s="134" t="str">
        <f>_xlfn.IFNA(MATCH(BW93,Achievements[[#All],[Column120]],0)+10,"")</f>
        <v/>
      </c>
      <c r="CX93" s="134" t="str">
        <f>_xlfn.IFNA(MATCH(BX93,Achievements[[#All],[Column120]],0)+10,"")</f>
        <v/>
      </c>
      <c r="CY93" s="134" t="str">
        <f>_xlfn.IFNA(MATCH(BY93,Achievements[[#All],[Column121]],0)+10,"")</f>
        <v/>
      </c>
      <c r="CZ93" s="118" t="e">
        <f t="shared" ca="1" si="3"/>
        <v>#NAME?</v>
      </c>
    </row>
    <row r="94" spans="1:104" x14ac:dyDescent="0.25">
      <c r="A94" t="e" cm="1">
        <f t="array" aca="1" ref="A94" ca="1">SplitValues("; ",#REF!)</f>
        <v>#NAME?</v>
      </c>
      <c r="AA94" t="e">
        <f ca="1">_xlfn.IFNA(MATCH(A94,Achievements[[#All],[Column1]],0)+11,"")</f>
        <v>#NAME?</v>
      </c>
      <c r="AB94" s="134" t="str">
        <f>_xlfn.IFNA(MATCH(B94,Achievements[[#All],[Column1]],0)+10,"")</f>
        <v/>
      </c>
      <c r="AC94" s="134" t="str">
        <f>_xlfn.IFNA(MATCH(C94,Achievements[[#All],[Column1]],0)+10,"")</f>
        <v/>
      </c>
      <c r="AD94" s="134" t="str">
        <f>_xlfn.IFNA(MATCH(D94,Achievements[[#All],[Column110]],0)+10,"")</f>
        <v/>
      </c>
      <c r="AE94" s="134" t="str">
        <f>_xlfn.IFNA(MATCH(E94,Achievements[[#All],[Column110]],0)+10,"")</f>
        <v/>
      </c>
      <c r="AF94" s="134" t="str">
        <f>_xlfn.IFNA(MATCH(F94,Achievements[[#All],[Column111]],0)+10,"")</f>
        <v/>
      </c>
      <c r="AG94" s="134" t="str">
        <f>_xlfn.IFNA(MATCH(G94,Achievements[[#All],[Column111]],0)+10,"")</f>
        <v/>
      </c>
      <c r="AH94" s="134" t="str">
        <f>_xlfn.IFNA(MATCH(H94,Achievements[[#All],[Column112]],0)+10,"")</f>
        <v/>
      </c>
      <c r="AI94" s="134" t="str">
        <f>_xlfn.IFNA(MATCH(I94,Achievements[[#All],[Column112]],0)+10,"")</f>
        <v/>
      </c>
      <c r="AJ94" s="134" t="str">
        <f>_xlfn.IFNA(MATCH(J94,Achievements[[#All],[Column113]],0)+10,"")</f>
        <v/>
      </c>
      <c r="AK94" s="134" t="str">
        <f>_xlfn.IFNA(MATCH(K94,Achievements[[#All],[Column113]],0)+10,"")</f>
        <v/>
      </c>
      <c r="AL94" s="134" t="str">
        <f>_xlfn.IFNA(MATCH(L94,Achievements[[#All],[Column114]],0)+10,"")</f>
        <v/>
      </c>
      <c r="AM94" s="134" t="str">
        <f>_xlfn.IFNA(MATCH(M94,Achievements[[#All],[Column114]],0)+10,"")</f>
        <v/>
      </c>
      <c r="AN94" s="134" t="str">
        <f>_xlfn.IFNA(MATCH(N94,Achievements[[#All],[Column115]],0)+10,"")</f>
        <v/>
      </c>
      <c r="AO94" s="134" t="str">
        <f>_xlfn.IFNA(MATCH(O94,Achievements[[#All],[Column115]],0)+10,"")</f>
        <v/>
      </c>
      <c r="AP94" s="134" t="str">
        <f>_xlfn.IFNA(MATCH(P94,Achievements[[#All],[Column116]],0)+10,"")</f>
        <v/>
      </c>
      <c r="AQ94" s="134" t="str">
        <f>_xlfn.IFNA(MATCH(Q94,Achievements[[#All],[Column116]],0)+10,"")</f>
        <v/>
      </c>
      <c r="AR94" s="134" t="str">
        <f>_xlfn.IFNA(MATCH(R94,Achievements[[#All],[Column117]],0)+10,"")</f>
        <v/>
      </c>
      <c r="AS94" s="134" t="str">
        <f>_xlfn.IFNA(MATCH(S94,Achievements[[#All],[Column117]],0)+10,"")</f>
        <v/>
      </c>
      <c r="AT94" s="134" t="str">
        <f>_xlfn.IFNA(MATCH(T94,Achievements[[#All],[Column118]],0)+10,"")</f>
        <v/>
      </c>
      <c r="AU94" s="134" t="str">
        <f>_xlfn.IFNA(MATCH(U94,Achievements[[#All],[Column118]],0)+10,"")</f>
        <v/>
      </c>
      <c r="AV94" s="134" t="str">
        <f>_xlfn.IFNA(MATCH(V94,Achievements[[#All],[Column119]],0)+10,"")</f>
        <v/>
      </c>
      <c r="AW94" s="134" t="str">
        <f>_xlfn.IFNA(MATCH(W94,Achievements[[#All],[Column119]],0)+10,"")</f>
        <v/>
      </c>
      <c r="AX94" s="134" t="str">
        <f>_xlfn.IFNA(MATCH(X94,Achievements[[#All],[Column120]],0)+10,"")</f>
        <v/>
      </c>
      <c r="AY94" s="134" t="str">
        <f>_xlfn.IFNA(MATCH(Y94,Achievements[[#All],[Column120]],0)+10,"")</f>
        <v/>
      </c>
      <c r="AZ94" s="116" t="e">
        <f t="shared" ca="1" si="2"/>
        <v>#NAME?</v>
      </c>
      <c r="BA94" s="134" t="e" cm="1">
        <f t="array" aca="1" ref="BA94" ca="1">SplitValues("; ",Persons[[#This Row],[Column1]])</f>
        <v>#NAME?</v>
      </c>
      <c r="CA94" s="134" t="e">
        <f ca="1">_xlfn.IFNA(MATCH(BA94,Achievements[[#All],[Column1]],0)+10,"")</f>
        <v>#NAME?</v>
      </c>
      <c r="CB94" s="134" t="str">
        <f>_xlfn.IFNA(MATCH(BB94,Achievements[[#All],[Column1]],0)+10,"")</f>
        <v/>
      </c>
      <c r="CC94" s="134" t="str">
        <f>_xlfn.IFNA(MATCH(BC94,Achievements[[#All],[Column110]],0)+10,"")</f>
        <v/>
      </c>
      <c r="CD94" s="134" t="str">
        <f>_xlfn.IFNA(MATCH(BD94,Achievements[[#All],[Column110]],0)+10,"")</f>
        <v/>
      </c>
      <c r="CE94" s="134" t="str">
        <f>_xlfn.IFNA(MATCH(BE94,Achievements[[#All],[Column111]],0)+10,"")</f>
        <v/>
      </c>
      <c r="CF94" s="134" t="str">
        <f>_xlfn.IFNA(MATCH(BF94,Achievements[[#All],[Column111]],0)+10,"")</f>
        <v/>
      </c>
      <c r="CG94" s="134" t="str">
        <f>_xlfn.IFNA(MATCH(BG94,Achievements[[#All],[Column112]],0)+10,"")</f>
        <v/>
      </c>
      <c r="CH94" s="134" t="str">
        <f>_xlfn.IFNA(MATCH(BH94,Achievements[[#All],[Column112]],0)+10,"")</f>
        <v/>
      </c>
      <c r="CI94" s="134" t="str">
        <f>_xlfn.IFNA(MATCH(BI94,Achievements[[#All],[Column113]],0)+10,"")</f>
        <v/>
      </c>
      <c r="CJ94" s="134" t="str">
        <f>_xlfn.IFNA(MATCH(BJ94,Achievements[[#All],[Column113]],0)+10,"")</f>
        <v/>
      </c>
      <c r="CK94" s="134" t="str">
        <f>_xlfn.IFNA(MATCH(BK94,Achievements[[#All],[Column114]],0)+10,"")</f>
        <v/>
      </c>
      <c r="CL94" s="134" t="str">
        <f>_xlfn.IFNA(MATCH(BL94,Achievements[[#All],[Column114]],0)+10,"")</f>
        <v/>
      </c>
      <c r="CM94" s="134" t="str">
        <f>_xlfn.IFNA(MATCH(BM94,Achievements[[#All],[Column115]],0)+10,"")</f>
        <v/>
      </c>
      <c r="CN94" s="134" t="str">
        <f>_xlfn.IFNA(MATCH(BN94,Achievements[[#All],[Column115]],0)+10,"")</f>
        <v/>
      </c>
      <c r="CO94" s="134" t="str">
        <f>_xlfn.IFNA(MATCH(BO94,Achievements[[#All],[Column116]],0)+10,"")</f>
        <v/>
      </c>
      <c r="CP94" s="134" t="str">
        <f>_xlfn.IFNA(MATCH(BP94,Achievements[[#All],[Column116]],0)+10,"")</f>
        <v/>
      </c>
      <c r="CQ94" s="134" t="str">
        <f>_xlfn.IFNA(MATCH(BQ94,Achievements[[#All],[Column117]],0)+10,"")</f>
        <v/>
      </c>
      <c r="CR94" s="134" t="str">
        <f>_xlfn.IFNA(MATCH(BR94,Achievements[[#All],[Column117]],0)+10,"")</f>
        <v/>
      </c>
      <c r="CS94" s="134" t="str">
        <f>_xlfn.IFNA(MATCH(BS94,Achievements[[#All],[Column118]],0)+10,"")</f>
        <v/>
      </c>
      <c r="CT94" s="134" t="str">
        <f>_xlfn.IFNA(MATCH(BT94,Achievements[[#All],[Column118]],0)+10,"")</f>
        <v/>
      </c>
      <c r="CU94" s="134" t="str">
        <f>_xlfn.IFNA(MATCH(BU94,Achievements[[#All],[Column119]],0)+10,"")</f>
        <v/>
      </c>
      <c r="CV94" s="134" t="str">
        <f>_xlfn.IFNA(MATCH(BV94,Achievements[[#All],[Column119]],0)+10,"")</f>
        <v/>
      </c>
      <c r="CW94" s="134" t="str">
        <f>_xlfn.IFNA(MATCH(BW94,Achievements[[#All],[Column120]],0)+10,"")</f>
        <v/>
      </c>
      <c r="CX94" s="134" t="str">
        <f>_xlfn.IFNA(MATCH(BX94,Achievements[[#All],[Column120]],0)+10,"")</f>
        <v/>
      </c>
      <c r="CY94" s="134" t="str">
        <f>_xlfn.IFNA(MATCH(BY94,Achievements[[#All],[Column121]],0)+10,"")</f>
        <v/>
      </c>
      <c r="CZ94" s="118" t="e">
        <f t="shared" ca="1" si="3"/>
        <v>#NAME?</v>
      </c>
    </row>
    <row r="95" spans="1:104" x14ac:dyDescent="0.25">
      <c r="A95" t="e" cm="1">
        <f t="array" aca="1" ref="A95" ca="1">SplitValues("; ",#REF!)</f>
        <v>#NAME?</v>
      </c>
      <c r="AA95" t="e">
        <f ca="1">_xlfn.IFNA(MATCH(A95,Achievements[[#All],[Column1]],0)+11,"")</f>
        <v>#NAME?</v>
      </c>
      <c r="AB95" s="134" t="str">
        <f>_xlfn.IFNA(MATCH(B95,Achievements[[#All],[Column1]],0)+10,"")</f>
        <v/>
      </c>
      <c r="AC95" s="134" t="str">
        <f>_xlfn.IFNA(MATCH(C95,Achievements[[#All],[Column1]],0)+10,"")</f>
        <v/>
      </c>
      <c r="AD95" s="134" t="str">
        <f>_xlfn.IFNA(MATCH(D95,Achievements[[#All],[Column110]],0)+10,"")</f>
        <v/>
      </c>
      <c r="AE95" s="134" t="str">
        <f>_xlfn.IFNA(MATCH(E95,Achievements[[#All],[Column110]],0)+10,"")</f>
        <v/>
      </c>
      <c r="AF95" s="134" t="str">
        <f>_xlfn.IFNA(MATCH(F95,Achievements[[#All],[Column111]],0)+10,"")</f>
        <v/>
      </c>
      <c r="AG95" s="134" t="str">
        <f>_xlfn.IFNA(MATCH(G95,Achievements[[#All],[Column111]],0)+10,"")</f>
        <v/>
      </c>
      <c r="AH95" s="134" t="str">
        <f>_xlfn.IFNA(MATCH(H95,Achievements[[#All],[Column112]],0)+10,"")</f>
        <v/>
      </c>
      <c r="AI95" s="134" t="str">
        <f>_xlfn.IFNA(MATCH(I95,Achievements[[#All],[Column112]],0)+10,"")</f>
        <v/>
      </c>
      <c r="AJ95" s="134" t="str">
        <f>_xlfn.IFNA(MATCH(J95,Achievements[[#All],[Column113]],0)+10,"")</f>
        <v/>
      </c>
      <c r="AK95" s="134" t="str">
        <f>_xlfn.IFNA(MATCH(K95,Achievements[[#All],[Column113]],0)+10,"")</f>
        <v/>
      </c>
      <c r="AL95" s="134" t="str">
        <f>_xlfn.IFNA(MATCH(L95,Achievements[[#All],[Column114]],0)+10,"")</f>
        <v/>
      </c>
      <c r="AM95" s="134" t="str">
        <f>_xlfn.IFNA(MATCH(M95,Achievements[[#All],[Column114]],0)+10,"")</f>
        <v/>
      </c>
      <c r="AN95" s="134" t="str">
        <f>_xlfn.IFNA(MATCH(N95,Achievements[[#All],[Column115]],0)+10,"")</f>
        <v/>
      </c>
      <c r="AO95" s="134" t="str">
        <f>_xlfn.IFNA(MATCH(O95,Achievements[[#All],[Column115]],0)+10,"")</f>
        <v/>
      </c>
      <c r="AP95" s="134" t="str">
        <f>_xlfn.IFNA(MATCH(P95,Achievements[[#All],[Column116]],0)+10,"")</f>
        <v/>
      </c>
      <c r="AQ95" s="134" t="str">
        <f>_xlfn.IFNA(MATCH(Q95,Achievements[[#All],[Column116]],0)+10,"")</f>
        <v/>
      </c>
      <c r="AR95" s="134" t="str">
        <f>_xlfn.IFNA(MATCH(R95,Achievements[[#All],[Column117]],0)+10,"")</f>
        <v/>
      </c>
      <c r="AS95" s="134" t="str">
        <f>_xlfn.IFNA(MATCH(S95,Achievements[[#All],[Column117]],0)+10,"")</f>
        <v/>
      </c>
      <c r="AT95" s="134" t="str">
        <f>_xlfn.IFNA(MATCH(T95,Achievements[[#All],[Column118]],0)+10,"")</f>
        <v/>
      </c>
      <c r="AU95" s="134" t="str">
        <f>_xlfn.IFNA(MATCH(U95,Achievements[[#All],[Column118]],0)+10,"")</f>
        <v/>
      </c>
      <c r="AV95" s="134" t="str">
        <f>_xlfn.IFNA(MATCH(V95,Achievements[[#All],[Column119]],0)+10,"")</f>
        <v/>
      </c>
      <c r="AW95" s="134" t="str">
        <f>_xlfn.IFNA(MATCH(W95,Achievements[[#All],[Column119]],0)+10,"")</f>
        <v/>
      </c>
      <c r="AX95" s="134" t="str">
        <f>_xlfn.IFNA(MATCH(X95,Achievements[[#All],[Column120]],0)+10,"")</f>
        <v/>
      </c>
      <c r="AY95" s="134" t="str">
        <f>_xlfn.IFNA(MATCH(Y95,Achievements[[#All],[Column120]],0)+10,"")</f>
        <v/>
      </c>
      <c r="AZ95" s="116" t="e">
        <f t="shared" ca="1" si="2"/>
        <v>#NAME?</v>
      </c>
      <c r="BA95" s="134" t="e" cm="1">
        <f t="array" aca="1" ref="BA95" ca="1">SplitValues("; ",Persons[[#This Row],[Column1]])</f>
        <v>#NAME?</v>
      </c>
      <c r="CA95" s="134" t="e">
        <f ca="1">_xlfn.IFNA(MATCH(BA95,Achievements[[#All],[Column1]],0)+10,"")</f>
        <v>#NAME?</v>
      </c>
      <c r="CB95" s="134" t="str">
        <f>_xlfn.IFNA(MATCH(BB95,Achievements[[#All],[Column1]],0)+10,"")</f>
        <v/>
      </c>
      <c r="CC95" s="134" t="str">
        <f>_xlfn.IFNA(MATCH(BC95,Achievements[[#All],[Column110]],0)+10,"")</f>
        <v/>
      </c>
      <c r="CD95" s="134" t="str">
        <f>_xlfn.IFNA(MATCH(BD95,Achievements[[#All],[Column110]],0)+10,"")</f>
        <v/>
      </c>
      <c r="CE95" s="134" t="str">
        <f>_xlfn.IFNA(MATCH(BE95,Achievements[[#All],[Column111]],0)+10,"")</f>
        <v/>
      </c>
      <c r="CF95" s="134" t="str">
        <f>_xlfn.IFNA(MATCH(BF95,Achievements[[#All],[Column111]],0)+10,"")</f>
        <v/>
      </c>
      <c r="CG95" s="134" t="str">
        <f>_xlfn.IFNA(MATCH(BG95,Achievements[[#All],[Column112]],0)+10,"")</f>
        <v/>
      </c>
      <c r="CH95" s="134" t="str">
        <f>_xlfn.IFNA(MATCH(BH95,Achievements[[#All],[Column112]],0)+10,"")</f>
        <v/>
      </c>
      <c r="CI95" s="134" t="str">
        <f>_xlfn.IFNA(MATCH(BI95,Achievements[[#All],[Column113]],0)+10,"")</f>
        <v/>
      </c>
      <c r="CJ95" s="134" t="str">
        <f>_xlfn.IFNA(MATCH(BJ95,Achievements[[#All],[Column113]],0)+10,"")</f>
        <v/>
      </c>
      <c r="CK95" s="134" t="str">
        <f>_xlfn.IFNA(MATCH(BK95,Achievements[[#All],[Column114]],0)+10,"")</f>
        <v/>
      </c>
      <c r="CL95" s="134" t="str">
        <f>_xlfn.IFNA(MATCH(BL95,Achievements[[#All],[Column114]],0)+10,"")</f>
        <v/>
      </c>
      <c r="CM95" s="134" t="str">
        <f>_xlfn.IFNA(MATCH(BM95,Achievements[[#All],[Column115]],0)+10,"")</f>
        <v/>
      </c>
      <c r="CN95" s="134" t="str">
        <f>_xlfn.IFNA(MATCH(BN95,Achievements[[#All],[Column115]],0)+10,"")</f>
        <v/>
      </c>
      <c r="CO95" s="134" t="str">
        <f>_xlfn.IFNA(MATCH(BO95,Achievements[[#All],[Column116]],0)+10,"")</f>
        <v/>
      </c>
      <c r="CP95" s="134" t="str">
        <f>_xlfn.IFNA(MATCH(BP95,Achievements[[#All],[Column116]],0)+10,"")</f>
        <v/>
      </c>
      <c r="CQ95" s="134" t="str">
        <f>_xlfn.IFNA(MATCH(BQ95,Achievements[[#All],[Column117]],0)+10,"")</f>
        <v/>
      </c>
      <c r="CR95" s="134" t="str">
        <f>_xlfn.IFNA(MATCH(BR95,Achievements[[#All],[Column117]],0)+10,"")</f>
        <v/>
      </c>
      <c r="CS95" s="134" t="str">
        <f>_xlfn.IFNA(MATCH(BS95,Achievements[[#All],[Column118]],0)+10,"")</f>
        <v/>
      </c>
      <c r="CT95" s="134" t="str">
        <f>_xlfn.IFNA(MATCH(BT95,Achievements[[#All],[Column118]],0)+10,"")</f>
        <v/>
      </c>
      <c r="CU95" s="134" t="str">
        <f>_xlfn.IFNA(MATCH(BU95,Achievements[[#All],[Column119]],0)+10,"")</f>
        <v/>
      </c>
      <c r="CV95" s="134" t="str">
        <f>_xlfn.IFNA(MATCH(BV95,Achievements[[#All],[Column119]],0)+10,"")</f>
        <v/>
      </c>
      <c r="CW95" s="134" t="str">
        <f>_xlfn.IFNA(MATCH(BW95,Achievements[[#All],[Column120]],0)+10,"")</f>
        <v/>
      </c>
      <c r="CX95" s="134" t="str">
        <f>_xlfn.IFNA(MATCH(BX95,Achievements[[#All],[Column120]],0)+10,"")</f>
        <v/>
      </c>
      <c r="CY95" s="134" t="str">
        <f>_xlfn.IFNA(MATCH(BY95,Achievements[[#All],[Column121]],0)+10,"")</f>
        <v/>
      </c>
      <c r="CZ95" s="118" t="e">
        <f t="shared" ca="1" si="3"/>
        <v>#NAME?</v>
      </c>
    </row>
    <row r="96" spans="1:104" x14ac:dyDescent="0.25">
      <c r="A96" t="e" cm="1">
        <f t="array" aca="1" ref="A96" ca="1">SplitValues("; ",#REF!)</f>
        <v>#NAME?</v>
      </c>
      <c r="AA96" t="e">
        <f ca="1">_xlfn.IFNA(MATCH(A96,Achievements[[#All],[Column1]],0)+11,"")</f>
        <v>#NAME?</v>
      </c>
      <c r="AB96" s="134" t="str">
        <f>_xlfn.IFNA(MATCH(B96,Achievements[[#All],[Column1]],0)+10,"")</f>
        <v/>
      </c>
      <c r="AC96" s="134" t="str">
        <f>_xlfn.IFNA(MATCH(C96,Achievements[[#All],[Column1]],0)+10,"")</f>
        <v/>
      </c>
      <c r="AD96" s="134" t="str">
        <f>_xlfn.IFNA(MATCH(D96,Achievements[[#All],[Column110]],0)+10,"")</f>
        <v/>
      </c>
      <c r="AE96" s="134" t="str">
        <f>_xlfn.IFNA(MATCH(E96,Achievements[[#All],[Column110]],0)+10,"")</f>
        <v/>
      </c>
      <c r="AF96" s="134" t="str">
        <f>_xlfn.IFNA(MATCH(F96,Achievements[[#All],[Column111]],0)+10,"")</f>
        <v/>
      </c>
      <c r="AG96" s="134" t="str">
        <f>_xlfn.IFNA(MATCH(G96,Achievements[[#All],[Column111]],0)+10,"")</f>
        <v/>
      </c>
      <c r="AH96" s="134" t="str">
        <f>_xlfn.IFNA(MATCH(H96,Achievements[[#All],[Column112]],0)+10,"")</f>
        <v/>
      </c>
      <c r="AI96" s="134" t="str">
        <f>_xlfn.IFNA(MATCH(I96,Achievements[[#All],[Column112]],0)+10,"")</f>
        <v/>
      </c>
      <c r="AJ96" s="134" t="str">
        <f>_xlfn.IFNA(MATCH(J96,Achievements[[#All],[Column113]],0)+10,"")</f>
        <v/>
      </c>
      <c r="AK96" s="134" t="str">
        <f>_xlfn.IFNA(MATCH(K96,Achievements[[#All],[Column113]],0)+10,"")</f>
        <v/>
      </c>
      <c r="AL96" s="134" t="str">
        <f>_xlfn.IFNA(MATCH(L96,Achievements[[#All],[Column114]],0)+10,"")</f>
        <v/>
      </c>
      <c r="AM96" s="134" t="str">
        <f>_xlfn.IFNA(MATCH(M96,Achievements[[#All],[Column114]],0)+10,"")</f>
        <v/>
      </c>
      <c r="AN96" s="134" t="str">
        <f>_xlfn.IFNA(MATCH(N96,Achievements[[#All],[Column115]],0)+10,"")</f>
        <v/>
      </c>
      <c r="AO96" s="134" t="str">
        <f>_xlfn.IFNA(MATCH(O96,Achievements[[#All],[Column115]],0)+10,"")</f>
        <v/>
      </c>
      <c r="AP96" s="134" t="str">
        <f>_xlfn.IFNA(MATCH(P96,Achievements[[#All],[Column116]],0)+10,"")</f>
        <v/>
      </c>
      <c r="AQ96" s="134" t="str">
        <f>_xlfn.IFNA(MATCH(Q96,Achievements[[#All],[Column116]],0)+10,"")</f>
        <v/>
      </c>
      <c r="AR96" s="134" t="str">
        <f>_xlfn.IFNA(MATCH(R96,Achievements[[#All],[Column117]],0)+10,"")</f>
        <v/>
      </c>
      <c r="AS96" s="134" t="str">
        <f>_xlfn.IFNA(MATCH(S96,Achievements[[#All],[Column117]],0)+10,"")</f>
        <v/>
      </c>
      <c r="AT96" s="134" t="str">
        <f>_xlfn.IFNA(MATCH(T96,Achievements[[#All],[Column118]],0)+10,"")</f>
        <v/>
      </c>
      <c r="AU96" s="134" t="str">
        <f>_xlfn.IFNA(MATCH(U96,Achievements[[#All],[Column118]],0)+10,"")</f>
        <v/>
      </c>
      <c r="AV96" s="134" t="str">
        <f>_xlfn.IFNA(MATCH(V96,Achievements[[#All],[Column119]],0)+10,"")</f>
        <v/>
      </c>
      <c r="AW96" s="134" t="str">
        <f>_xlfn.IFNA(MATCH(W96,Achievements[[#All],[Column119]],0)+10,"")</f>
        <v/>
      </c>
      <c r="AX96" s="134" t="str">
        <f>_xlfn.IFNA(MATCH(X96,Achievements[[#All],[Column120]],0)+10,"")</f>
        <v/>
      </c>
      <c r="AY96" s="134" t="str">
        <f>_xlfn.IFNA(MATCH(Y96,Achievements[[#All],[Column120]],0)+10,"")</f>
        <v/>
      </c>
      <c r="AZ96" s="116" t="e">
        <f t="shared" ca="1" si="2"/>
        <v>#NAME?</v>
      </c>
      <c r="BA96" s="134" t="e" cm="1">
        <f t="array" aca="1" ref="BA96" ca="1">SplitValues("; ",Persons[[#This Row],[Column1]])</f>
        <v>#NAME?</v>
      </c>
      <c r="CA96" s="134" t="e">
        <f ca="1">_xlfn.IFNA(MATCH(BA96,Achievements[[#All],[Column1]],0)+10,"")</f>
        <v>#NAME?</v>
      </c>
      <c r="CB96" s="134" t="str">
        <f>_xlfn.IFNA(MATCH(BB96,Achievements[[#All],[Column1]],0)+10,"")</f>
        <v/>
      </c>
      <c r="CC96" s="134" t="str">
        <f>_xlfn.IFNA(MATCH(BC96,Achievements[[#All],[Column110]],0)+10,"")</f>
        <v/>
      </c>
      <c r="CD96" s="134" t="str">
        <f>_xlfn.IFNA(MATCH(BD96,Achievements[[#All],[Column110]],0)+10,"")</f>
        <v/>
      </c>
      <c r="CE96" s="134" t="str">
        <f>_xlfn.IFNA(MATCH(BE96,Achievements[[#All],[Column111]],0)+10,"")</f>
        <v/>
      </c>
      <c r="CF96" s="134" t="str">
        <f>_xlfn.IFNA(MATCH(BF96,Achievements[[#All],[Column111]],0)+10,"")</f>
        <v/>
      </c>
      <c r="CG96" s="134" t="str">
        <f>_xlfn.IFNA(MATCH(BG96,Achievements[[#All],[Column112]],0)+10,"")</f>
        <v/>
      </c>
      <c r="CH96" s="134" t="str">
        <f>_xlfn.IFNA(MATCH(BH96,Achievements[[#All],[Column112]],0)+10,"")</f>
        <v/>
      </c>
      <c r="CI96" s="134" t="str">
        <f>_xlfn.IFNA(MATCH(BI96,Achievements[[#All],[Column113]],0)+10,"")</f>
        <v/>
      </c>
      <c r="CJ96" s="134" t="str">
        <f>_xlfn.IFNA(MATCH(BJ96,Achievements[[#All],[Column113]],0)+10,"")</f>
        <v/>
      </c>
      <c r="CK96" s="134" t="str">
        <f>_xlfn.IFNA(MATCH(BK96,Achievements[[#All],[Column114]],0)+10,"")</f>
        <v/>
      </c>
      <c r="CL96" s="134" t="str">
        <f>_xlfn.IFNA(MATCH(BL96,Achievements[[#All],[Column114]],0)+10,"")</f>
        <v/>
      </c>
      <c r="CM96" s="134" t="str">
        <f>_xlfn.IFNA(MATCH(BM96,Achievements[[#All],[Column115]],0)+10,"")</f>
        <v/>
      </c>
      <c r="CN96" s="134" t="str">
        <f>_xlfn.IFNA(MATCH(BN96,Achievements[[#All],[Column115]],0)+10,"")</f>
        <v/>
      </c>
      <c r="CO96" s="134" t="str">
        <f>_xlfn.IFNA(MATCH(BO96,Achievements[[#All],[Column116]],0)+10,"")</f>
        <v/>
      </c>
      <c r="CP96" s="134" t="str">
        <f>_xlfn.IFNA(MATCH(BP96,Achievements[[#All],[Column116]],0)+10,"")</f>
        <v/>
      </c>
      <c r="CQ96" s="134" t="str">
        <f>_xlfn.IFNA(MATCH(BQ96,Achievements[[#All],[Column117]],0)+10,"")</f>
        <v/>
      </c>
      <c r="CR96" s="134" t="str">
        <f>_xlfn.IFNA(MATCH(BR96,Achievements[[#All],[Column117]],0)+10,"")</f>
        <v/>
      </c>
      <c r="CS96" s="134" t="str">
        <f>_xlfn.IFNA(MATCH(BS96,Achievements[[#All],[Column118]],0)+10,"")</f>
        <v/>
      </c>
      <c r="CT96" s="134" t="str">
        <f>_xlfn.IFNA(MATCH(BT96,Achievements[[#All],[Column118]],0)+10,"")</f>
        <v/>
      </c>
      <c r="CU96" s="134" t="str">
        <f>_xlfn.IFNA(MATCH(BU96,Achievements[[#All],[Column119]],0)+10,"")</f>
        <v/>
      </c>
      <c r="CV96" s="134" t="str">
        <f>_xlfn.IFNA(MATCH(BV96,Achievements[[#All],[Column119]],0)+10,"")</f>
        <v/>
      </c>
      <c r="CW96" s="134" t="str">
        <f>_xlfn.IFNA(MATCH(BW96,Achievements[[#All],[Column120]],0)+10,"")</f>
        <v/>
      </c>
      <c r="CX96" s="134" t="str">
        <f>_xlfn.IFNA(MATCH(BX96,Achievements[[#All],[Column120]],0)+10,"")</f>
        <v/>
      </c>
      <c r="CY96" s="134" t="str">
        <f>_xlfn.IFNA(MATCH(BY96,Achievements[[#All],[Column121]],0)+10,"")</f>
        <v/>
      </c>
      <c r="CZ96" s="118" t="e">
        <f t="shared" ca="1" si="3"/>
        <v>#NAME?</v>
      </c>
    </row>
    <row r="97" spans="1:104" x14ac:dyDescent="0.25">
      <c r="A97" t="e" cm="1">
        <f t="array" aca="1" ref="A97" ca="1">SplitValues("; ",#REF!)</f>
        <v>#NAME?</v>
      </c>
      <c r="AA97" t="e">
        <f ca="1">_xlfn.IFNA(MATCH(A97,Achievements[[#All],[Column1]],0)+11,"")</f>
        <v>#NAME?</v>
      </c>
      <c r="AB97" s="134" t="str">
        <f>_xlfn.IFNA(MATCH(B97,Achievements[[#All],[Column1]],0)+10,"")</f>
        <v/>
      </c>
      <c r="AC97" s="134" t="str">
        <f>_xlfn.IFNA(MATCH(C97,Achievements[[#All],[Column1]],0)+10,"")</f>
        <v/>
      </c>
      <c r="AD97" s="134" t="str">
        <f>_xlfn.IFNA(MATCH(D97,Achievements[[#All],[Column110]],0)+10,"")</f>
        <v/>
      </c>
      <c r="AE97" s="134" t="str">
        <f>_xlfn.IFNA(MATCH(E97,Achievements[[#All],[Column110]],0)+10,"")</f>
        <v/>
      </c>
      <c r="AF97" s="134" t="str">
        <f>_xlfn.IFNA(MATCH(F97,Achievements[[#All],[Column111]],0)+10,"")</f>
        <v/>
      </c>
      <c r="AG97" s="134" t="str">
        <f>_xlfn.IFNA(MATCH(G97,Achievements[[#All],[Column111]],0)+10,"")</f>
        <v/>
      </c>
      <c r="AH97" s="134" t="str">
        <f>_xlfn.IFNA(MATCH(H97,Achievements[[#All],[Column112]],0)+10,"")</f>
        <v/>
      </c>
      <c r="AI97" s="134" t="str">
        <f>_xlfn.IFNA(MATCH(I97,Achievements[[#All],[Column112]],0)+10,"")</f>
        <v/>
      </c>
      <c r="AJ97" s="134" t="str">
        <f>_xlfn.IFNA(MATCH(J97,Achievements[[#All],[Column113]],0)+10,"")</f>
        <v/>
      </c>
      <c r="AK97" s="134" t="str">
        <f>_xlfn.IFNA(MATCH(K97,Achievements[[#All],[Column113]],0)+10,"")</f>
        <v/>
      </c>
      <c r="AL97" s="134" t="str">
        <f>_xlfn.IFNA(MATCH(L97,Achievements[[#All],[Column114]],0)+10,"")</f>
        <v/>
      </c>
      <c r="AM97" s="134" t="str">
        <f>_xlfn.IFNA(MATCH(M97,Achievements[[#All],[Column114]],0)+10,"")</f>
        <v/>
      </c>
      <c r="AN97" s="134" t="str">
        <f>_xlfn.IFNA(MATCH(N97,Achievements[[#All],[Column115]],0)+10,"")</f>
        <v/>
      </c>
      <c r="AO97" s="134" t="str">
        <f>_xlfn.IFNA(MATCH(O97,Achievements[[#All],[Column115]],0)+10,"")</f>
        <v/>
      </c>
      <c r="AP97" s="134" t="str">
        <f>_xlfn.IFNA(MATCH(P97,Achievements[[#All],[Column116]],0)+10,"")</f>
        <v/>
      </c>
      <c r="AQ97" s="134" t="str">
        <f>_xlfn.IFNA(MATCH(Q97,Achievements[[#All],[Column116]],0)+10,"")</f>
        <v/>
      </c>
      <c r="AR97" s="134" t="str">
        <f>_xlfn.IFNA(MATCH(R97,Achievements[[#All],[Column117]],0)+10,"")</f>
        <v/>
      </c>
      <c r="AS97" s="134" t="str">
        <f>_xlfn.IFNA(MATCH(S97,Achievements[[#All],[Column117]],0)+10,"")</f>
        <v/>
      </c>
      <c r="AT97" s="134" t="str">
        <f>_xlfn.IFNA(MATCH(T97,Achievements[[#All],[Column118]],0)+10,"")</f>
        <v/>
      </c>
      <c r="AU97" s="134" t="str">
        <f>_xlfn.IFNA(MATCH(U97,Achievements[[#All],[Column118]],0)+10,"")</f>
        <v/>
      </c>
      <c r="AV97" s="134" t="str">
        <f>_xlfn.IFNA(MATCH(V97,Achievements[[#All],[Column119]],0)+10,"")</f>
        <v/>
      </c>
      <c r="AW97" s="134" t="str">
        <f>_xlfn.IFNA(MATCH(W97,Achievements[[#All],[Column119]],0)+10,"")</f>
        <v/>
      </c>
      <c r="AX97" s="134" t="str">
        <f>_xlfn.IFNA(MATCH(X97,Achievements[[#All],[Column120]],0)+10,"")</f>
        <v/>
      </c>
      <c r="AY97" s="134" t="str">
        <f>_xlfn.IFNA(MATCH(Y97,Achievements[[#All],[Column120]],0)+10,"")</f>
        <v/>
      </c>
      <c r="AZ97" s="116" t="e">
        <f t="shared" ca="1" si="2"/>
        <v>#NAME?</v>
      </c>
      <c r="BA97" s="134" t="e" cm="1">
        <f t="array" aca="1" ref="BA97" ca="1">SplitValues("; ",Persons[[#This Row],[Column1]])</f>
        <v>#NAME?</v>
      </c>
      <c r="CA97" s="134" t="e">
        <f ca="1">_xlfn.IFNA(MATCH(BA97,Achievements[[#All],[Column1]],0)+10,"")</f>
        <v>#NAME?</v>
      </c>
      <c r="CB97" s="134" t="str">
        <f>_xlfn.IFNA(MATCH(BB97,Achievements[[#All],[Column1]],0)+10,"")</f>
        <v/>
      </c>
      <c r="CC97" s="134" t="str">
        <f>_xlfn.IFNA(MATCH(BC97,Achievements[[#All],[Column110]],0)+10,"")</f>
        <v/>
      </c>
      <c r="CD97" s="134" t="str">
        <f>_xlfn.IFNA(MATCH(BD97,Achievements[[#All],[Column110]],0)+10,"")</f>
        <v/>
      </c>
      <c r="CE97" s="134" t="str">
        <f>_xlfn.IFNA(MATCH(BE97,Achievements[[#All],[Column111]],0)+10,"")</f>
        <v/>
      </c>
      <c r="CF97" s="134" t="str">
        <f>_xlfn.IFNA(MATCH(BF97,Achievements[[#All],[Column111]],0)+10,"")</f>
        <v/>
      </c>
      <c r="CG97" s="134" t="str">
        <f>_xlfn.IFNA(MATCH(BG97,Achievements[[#All],[Column112]],0)+10,"")</f>
        <v/>
      </c>
      <c r="CH97" s="134" t="str">
        <f>_xlfn.IFNA(MATCH(BH97,Achievements[[#All],[Column112]],0)+10,"")</f>
        <v/>
      </c>
      <c r="CI97" s="134" t="str">
        <f>_xlfn.IFNA(MATCH(BI97,Achievements[[#All],[Column113]],0)+10,"")</f>
        <v/>
      </c>
      <c r="CJ97" s="134" t="str">
        <f>_xlfn.IFNA(MATCH(BJ97,Achievements[[#All],[Column113]],0)+10,"")</f>
        <v/>
      </c>
      <c r="CK97" s="134" t="str">
        <f>_xlfn.IFNA(MATCH(BK97,Achievements[[#All],[Column114]],0)+10,"")</f>
        <v/>
      </c>
      <c r="CL97" s="134" t="str">
        <f>_xlfn.IFNA(MATCH(BL97,Achievements[[#All],[Column114]],0)+10,"")</f>
        <v/>
      </c>
      <c r="CM97" s="134" t="str">
        <f>_xlfn.IFNA(MATCH(BM97,Achievements[[#All],[Column115]],0)+10,"")</f>
        <v/>
      </c>
      <c r="CN97" s="134" t="str">
        <f>_xlfn.IFNA(MATCH(BN97,Achievements[[#All],[Column115]],0)+10,"")</f>
        <v/>
      </c>
      <c r="CO97" s="134" t="str">
        <f>_xlfn.IFNA(MATCH(BO97,Achievements[[#All],[Column116]],0)+10,"")</f>
        <v/>
      </c>
      <c r="CP97" s="134" t="str">
        <f>_xlfn.IFNA(MATCH(BP97,Achievements[[#All],[Column116]],0)+10,"")</f>
        <v/>
      </c>
      <c r="CQ97" s="134" t="str">
        <f>_xlfn.IFNA(MATCH(BQ97,Achievements[[#All],[Column117]],0)+10,"")</f>
        <v/>
      </c>
      <c r="CR97" s="134" t="str">
        <f>_xlfn.IFNA(MATCH(BR97,Achievements[[#All],[Column117]],0)+10,"")</f>
        <v/>
      </c>
      <c r="CS97" s="134" t="str">
        <f>_xlfn.IFNA(MATCH(BS97,Achievements[[#All],[Column118]],0)+10,"")</f>
        <v/>
      </c>
      <c r="CT97" s="134" t="str">
        <f>_xlfn.IFNA(MATCH(BT97,Achievements[[#All],[Column118]],0)+10,"")</f>
        <v/>
      </c>
      <c r="CU97" s="134" t="str">
        <f>_xlfn.IFNA(MATCH(BU97,Achievements[[#All],[Column119]],0)+10,"")</f>
        <v/>
      </c>
      <c r="CV97" s="134" t="str">
        <f>_xlfn.IFNA(MATCH(BV97,Achievements[[#All],[Column119]],0)+10,"")</f>
        <v/>
      </c>
      <c r="CW97" s="134" t="str">
        <f>_xlfn.IFNA(MATCH(BW97,Achievements[[#All],[Column120]],0)+10,"")</f>
        <v/>
      </c>
      <c r="CX97" s="134" t="str">
        <f>_xlfn.IFNA(MATCH(BX97,Achievements[[#All],[Column120]],0)+10,"")</f>
        <v/>
      </c>
      <c r="CY97" s="134" t="str">
        <f>_xlfn.IFNA(MATCH(BY97,Achievements[[#All],[Column121]],0)+10,"")</f>
        <v/>
      </c>
      <c r="CZ97" s="118" t="e">
        <f t="shared" ca="1" si="3"/>
        <v>#NAME?</v>
      </c>
    </row>
    <row r="98" spans="1:104" x14ac:dyDescent="0.25">
      <c r="A98" t="e" cm="1">
        <f t="array" aca="1" ref="A98" ca="1">SplitValues("; ",#REF!)</f>
        <v>#NAME?</v>
      </c>
      <c r="AA98" t="e">
        <f ca="1">_xlfn.IFNA(MATCH(A98,Achievements[[#All],[Column1]],0)+11,"")</f>
        <v>#NAME?</v>
      </c>
      <c r="AB98" s="134" t="str">
        <f>_xlfn.IFNA(MATCH(B98,Achievements[[#All],[Column1]],0)+10,"")</f>
        <v/>
      </c>
      <c r="AC98" s="134" t="str">
        <f>_xlfn.IFNA(MATCH(C98,Achievements[[#All],[Column1]],0)+10,"")</f>
        <v/>
      </c>
      <c r="AD98" s="134" t="str">
        <f>_xlfn.IFNA(MATCH(D98,Achievements[[#All],[Column110]],0)+10,"")</f>
        <v/>
      </c>
      <c r="AE98" s="134" t="str">
        <f>_xlfn.IFNA(MATCH(E98,Achievements[[#All],[Column110]],0)+10,"")</f>
        <v/>
      </c>
      <c r="AF98" s="134" t="str">
        <f>_xlfn.IFNA(MATCH(F98,Achievements[[#All],[Column111]],0)+10,"")</f>
        <v/>
      </c>
      <c r="AG98" s="134" t="str">
        <f>_xlfn.IFNA(MATCH(G98,Achievements[[#All],[Column111]],0)+10,"")</f>
        <v/>
      </c>
      <c r="AH98" s="134" t="str">
        <f>_xlfn.IFNA(MATCH(H98,Achievements[[#All],[Column112]],0)+10,"")</f>
        <v/>
      </c>
      <c r="AI98" s="134" t="str">
        <f>_xlfn.IFNA(MATCH(I98,Achievements[[#All],[Column112]],0)+10,"")</f>
        <v/>
      </c>
      <c r="AJ98" s="134" t="str">
        <f>_xlfn.IFNA(MATCH(J98,Achievements[[#All],[Column113]],0)+10,"")</f>
        <v/>
      </c>
      <c r="AK98" s="134" t="str">
        <f>_xlfn.IFNA(MATCH(K98,Achievements[[#All],[Column113]],0)+10,"")</f>
        <v/>
      </c>
      <c r="AL98" s="134" t="str">
        <f>_xlfn.IFNA(MATCH(L98,Achievements[[#All],[Column114]],0)+10,"")</f>
        <v/>
      </c>
      <c r="AM98" s="134" t="str">
        <f>_xlfn.IFNA(MATCH(M98,Achievements[[#All],[Column114]],0)+10,"")</f>
        <v/>
      </c>
      <c r="AN98" s="134" t="str">
        <f>_xlfn.IFNA(MATCH(N98,Achievements[[#All],[Column115]],0)+10,"")</f>
        <v/>
      </c>
      <c r="AO98" s="134" t="str">
        <f>_xlfn.IFNA(MATCH(O98,Achievements[[#All],[Column115]],0)+10,"")</f>
        <v/>
      </c>
      <c r="AP98" s="134" t="str">
        <f>_xlfn.IFNA(MATCH(P98,Achievements[[#All],[Column116]],0)+10,"")</f>
        <v/>
      </c>
      <c r="AQ98" s="134" t="str">
        <f>_xlfn.IFNA(MATCH(Q98,Achievements[[#All],[Column116]],0)+10,"")</f>
        <v/>
      </c>
      <c r="AR98" s="134" t="str">
        <f>_xlfn.IFNA(MATCH(R98,Achievements[[#All],[Column117]],0)+10,"")</f>
        <v/>
      </c>
      <c r="AS98" s="134" t="str">
        <f>_xlfn.IFNA(MATCH(S98,Achievements[[#All],[Column117]],0)+10,"")</f>
        <v/>
      </c>
      <c r="AT98" s="134" t="str">
        <f>_xlfn.IFNA(MATCH(T98,Achievements[[#All],[Column118]],0)+10,"")</f>
        <v/>
      </c>
      <c r="AU98" s="134" t="str">
        <f>_xlfn.IFNA(MATCH(U98,Achievements[[#All],[Column118]],0)+10,"")</f>
        <v/>
      </c>
      <c r="AV98" s="134" t="str">
        <f>_xlfn.IFNA(MATCH(V98,Achievements[[#All],[Column119]],0)+10,"")</f>
        <v/>
      </c>
      <c r="AW98" s="134" t="str">
        <f>_xlfn.IFNA(MATCH(W98,Achievements[[#All],[Column119]],0)+10,"")</f>
        <v/>
      </c>
      <c r="AX98" s="134" t="str">
        <f>_xlfn.IFNA(MATCH(X98,Achievements[[#All],[Column120]],0)+10,"")</f>
        <v/>
      </c>
      <c r="AY98" s="134" t="str">
        <f>_xlfn.IFNA(MATCH(Y98,Achievements[[#All],[Column120]],0)+10,"")</f>
        <v/>
      </c>
      <c r="AZ98" s="116" t="e">
        <f t="shared" ca="1" si="2"/>
        <v>#NAME?</v>
      </c>
      <c r="BA98" s="134" t="e" cm="1">
        <f t="array" aca="1" ref="BA98" ca="1">SplitValues("; ",Persons[[#This Row],[Column1]])</f>
        <v>#NAME?</v>
      </c>
      <c r="CA98" s="134" t="e">
        <f ca="1">_xlfn.IFNA(MATCH(BA98,Achievements[[#All],[Column1]],0)+10,"")</f>
        <v>#NAME?</v>
      </c>
      <c r="CB98" s="134" t="str">
        <f>_xlfn.IFNA(MATCH(BB98,Achievements[[#All],[Column1]],0)+10,"")</f>
        <v/>
      </c>
      <c r="CC98" s="134" t="str">
        <f>_xlfn.IFNA(MATCH(BC98,Achievements[[#All],[Column110]],0)+10,"")</f>
        <v/>
      </c>
      <c r="CD98" s="134" t="str">
        <f>_xlfn.IFNA(MATCH(BD98,Achievements[[#All],[Column110]],0)+10,"")</f>
        <v/>
      </c>
      <c r="CE98" s="134" t="str">
        <f>_xlfn.IFNA(MATCH(BE98,Achievements[[#All],[Column111]],0)+10,"")</f>
        <v/>
      </c>
      <c r="CF98" s="134" t="str">
        <f>_xlfn.IFNA(MATCH(BF98,Achievements[[#All],[Column111]],0)+10,"")</f>
        <v/>
      </c>
      <c r="CG98" s="134" t="str">
        <f>_xlfn.IFNA(MATCH(BG98,Achievements[[#All],[Column112]],0)+10,"")</f>
        <v/>
      </c>
      <c r="CH98" s="134" t="str">
        <f>_xlfn.IFNA(MATCH(BH98,Achievements[[#All],[Column112]],0)+10,"")</f>
        <v/>
      </c>
      <c r="CI98" s="134" t="str">
        <f>_xlfn.IFNA(MATCH(BI98,Achievements[[#All],[Column113]],0)+10,"")</f>
        <v/>
      </c>
      <c r="CJ98" s="134" t="str">
        <f>_xlfn.IFNA(MATCH(BJ98,Achievements[[#All],[Column113]],0)+10,"")</f>
        <v/>
      </c>
      <c r="CK98" s="134" t="str">
        <f>_xlfn.IFNA(MATCH(BK98,Achievements[[#All],[Column114]],0)+10,"")</f>
        <v/>
      </c>
      <c r="CL98" s="134" t="str">
        <f>_xlfn.IFNA(MATCH(BL98,Achievements[[#All],[Column114]],0)+10,"")</f>
        <v/>
      </c>
      <c r="CM98" s="134" t="str">
        <f>_xlfn.IFNA(MATCH(BM98,Achievements[[#All],[Column115]],0)+10,"")</f>
        <v/>
      </c>
      <c r="CN98" s="134" t="str">
        <f>_xlfn.IFNA(MATCH(BN98,Achievements[[#All],[Column115]],0)+10,"")</f>
        <v/>
      </c>
      <c r="CO98" s="134" t="str">
        <f>_xlfn.IFNA(MATCH(BO98,Achievements[[#All],[Column116]],0)+10,"")</f>
        <v/>
      </c>
      <c r="CP98" s="134" t="str">
        <f>_xlfn.IFNA(MATCH(BP98,Achievements[[#All],[Column116]],0)+10,"")</f>
        <v/>
      </c>
      <c r="CQ98" s="134" t="str">
        <f>_xlfn.IFNA(MATCH(BQ98,Achievements[[#All],[Column117]],0)+10,"")</f>
        <v/>
      </c>
      <c r="CR98" s="134" t="str">
        <f>_xlfn.IFNA(MATCH(BR98,Achievements[[#All],[Column117]],0)+10,"")</f>
        <v/>
      </c>
      <c r="CS98" s="134" t="str">
        <f>_xlfn.IFNA(MATCH(BS98,Achievements[[#All],[Column118]],0)+10,"")</f>
        <v/>
      </c>
      <c r="CT98" s="134" t="str">
        <f>_xlfn.IFNA(MATCH(BT98,Achievements[[#All],[Column118]],0)+10,"")</f>
        <v/>
      </c>
      <c r="CU98" s="134" t="str">
        <f>_xlfn.IFNA(MATCH(BU98,Achievements[[#All],[Column119]],0)+10,"")</f>
        <v/>
      </c>
      <c r="CV98" s="134" t="str">
        <f>_xlfn.IFNA(MATCH(BV98,Achievements[[#All],[Column119]],0)+10,"")</f>
        <v/>
      </c>
      <c r="CW98" s="134" t="str">
        <f>_xlfn.IFNA(MATCH(BW98,Achievements[[#All],[Column120]],0)+10,"")</f>
        <v/>
      </c>
      <c r="CX98" s="134" t="str">
        <f>_xlfn.IFNA(MATCH(BX98,Achievements[[#All],[Column120]],0)+10,"")</f>
        <v/>
      </c>
      <c r="CY98" s="134" t="str">
        <f>_xlfn.IFNA(MATCH(BY98,Achievements[[#All],[Column121]],0)+10,"")</f>
        <v/>
      </c>
      <c r="CZ98" s="118" t="e">
        <f t="shared" ca="1" si="3"/>
        <v>#NAME?</v>
      </c>
    </row>
    <row r="99" spans="1:104" x14ac:dyDescent="0.25">
      <c r="A99" t="e" cm="1">
        <f t="array" aca="1" ref="A99" ca="1">SplitValues("; ",#REF!)</f>
        <v>#NAME?</v>
      </c>
      <c r="AA99" t="e">
        <f ca="1">_xlfn.IFNA(MATCH(A99,Achievements[[#All],[Column1]],0)+11,"")</f>
        <v>#NAME?</v>
      </c>
      <c r="AB99" s="134" t="str">
        <f>_xlfn.IFNA(MATCH(B99,Achievements[[#All],[Column1]],0)+10,"")</f>
        <v/>
      </c>
      <c r="AC99" s="134" t="str">
        <f>_xlfn.IFNA(MATCH(C99,Achievements[[#All],[Column1]],0)+10,"")</f>
        <v/>
      </c>
      <c r="AD99" s="134" t="str">
        <f>_xlfn.IFNA(MATCH(D99,Achievements[[#All],[Column110]],0)+10,"")</f>
        <v/>
      </c>
      <c r="AE99" s="134" t="str">
        <f>_xlfn.IFNA(MATCH(E99,Achievements[[#All],[Column110]],0)+10,"")</f>
        <v/>
      </c>
      <c r="AF99" s="134" t="str">
        <f>_xlfn.IFNA(MATCH(F99,Achievements[[#All],[Column111]],0)+10,"")</f>
        <v/>
      </c>
      <c r="AG99" s="134" t="str">
        <f>_xlfn.IFNA(MATCH(G99,Achievements[[#All],[Column111]],0)+10,"")</f>
        <v/>
      </c>
      <c r="AH99" s="134" t="str">
        <f>_xlfn.IFNA(MATCH(H99,Achievements[[#All],[Column112]],0)+10,"")</f>
        <v/>
      </c>
      <c r="AI99" s="134" t="str">
        <f>_xlfn.IFNA(MATCH(I99,Achievements[[#All],[Column112]],0)+10,"")</f>
        <v/>
      </c>
      <c r="AJ99" s="134" t="str">
        <f>_xlfn.IFNA(MATCH(J99,Achievements[[#All],[Column113]],0)+10,"")</f>
        <v/>
      </c>
      <c r="AK99" s="134" t="str">
        <f>_xlfn.IFNA(MATCH(K99,Achievements[[#All],[Column113]],0)+10,"")</f>
        <v/>
      </c>
      <c r="AL99" s="134" t="str">
        <f>_xlfn.IFNA(MATCH(L99,Achievements[[#All],[Column114]],0)+10,"")</f>
        <v/>
      </c>
      <c r="AM99" s="134" t="str">
        <f>_xlfn.IFNA(MATCH(M99,Achievements[[#All],[Column114]],0)+10,"")</f>
        <v/>
      </c>
      <c r="AN99" s="134" t="str">
        <f>_xlfn.IFNA(MATCH(N99,Achievements[[#All],[Column115]],0)+10,"")</f>
        <v/>
      </c>
      <c r="AO99" s="134" t="str">
        <f>_xlfn.IFNA(MATCH(O99,Achievements[[#All],[Column115]],0)+10,"")</f>
        <v/>
      </c>
      <c r="AP99" s="134" t="str">
        <f>_xlfn.IFNA(MATCH(P99,Achievements[[#All],[Column116]],0)+10,"")</f>
        <v/>
      </c>
      <c r="AQ99" s="134" t="str">
        <f>_xlfn.IFNA(MATCH(Q99,Achievements[[#All],[Column116]],0)+10,"")</f>
        <v/>
      </c>
      <c r="AR99" s="134" t="str">
        <f>_xlfn.IFNA(MATCH(R99,Achievements[[#All],[Column117]],0)+10,"")</f>
        <v/>
      </c>
      <c r="AS99" s="134" t="str">
        <f>_xlfn.IFNA(MATCH(S99,Achievements[[#All],[Column117]],0)+10,"")</f>
        <v/>
      </c>
      <c r="AT99" s="134" t="str">
        <f>_xlfn.IFNA(MATCH(T99,Achievements[[#All],[Column118]],0)+10,"")</f>
        <v/>
      </c>
      <c r="AU99" s="134" t="str">
        <f>_xlfn.IFNA(MATCH(U99,Achievements[[#All],[Column118]],0)+10,"")</f>
        <v/>
      </c>
      <c r="AV99" s="134" t="str">
        <f>_xlfn.IFNA(MATCH(V99,Achievements[[#All],[Column119]],0)+10,"")</f>
        <v/>
      </c>
      <c r="AW99" s="134" t="str">
        <f>_xlfn.IFNA(MATCH(W99,Achievements[[#All],[Column119]],0)+10,"")</f>
        <v/>
      </c>
      <c r="AX99" s="134" t="str">
        <f>_xlfn.IFNA(MATCH(X99,Achievements[[#All],[Column120]],0)+10,"")</f>
        <v/>
      </c>
      <c r="AY99" s="134" t="str">
        <f>_xlfn.IFNA(MATCH(Y99,Achievements[[#All],[Column120]],0)+10,"")</f>
        <v/>
      </c>
      <c r="AZ99" s="116" t="e">
        <f t="shared" ca="1" si="2"/>
        <v>#NAME?</v>
      </c>
      <c r="BA99" s="134" t="e" cm="1">
        <f t="array" aca="1" ref="BA99" ca="1">SplitValues("; ",Persons[[#This Row],[Column1]])</f>
        <v>#NAME?</v>
      </c>
      <c r="CA99" s="134" t="e">
        <f ca="1">_xlfn.IFNA(MATCH(BA99,Achievements[[#All],[Column1]],0)+10,"")</f>
        <v>#NAME?</v>
      </c>
      <c r="CB99" s="134" t="str">
        <f>_xlfn.IFNA(MATCH(BB99,Achievements[[#All],[Column1]],0)+10,"")</f>
        <v/>
      </c>
      <c r="CC99" s="134" t="str">
        <f>_xlfn.IFNA(MATCH(BC99,Achievements[[#All],[Column110]],0)+10,"")</f>
        <v/>
      </c>
      <c r="CD99" s="134" t="str">
        <f>_xlfn.IFNA(MATCH(BD99,Achievements[[#All],[Column110]],0)+10,"")</f>
        <v/>
      </c>
      <c r="CE99" s="134" t="str">
        <f>_xlfn.IFNA(MATCH(BE99,Achievements[[#All],[Column111]],0)+10,"")</f>
        <v/>
      </c>
      <c r="CF99" s="134" t="str">
        <f>_xlfn.IFNA(MATCH(BF99,Achievements[[#All],[Column111]],0)+10,"")</f>
        <v/>
      </c>
      <c r="CG99" s="134" t="str">
        <f>_xlfn.IFNA(MATCH(BG99,Achievements[[#All],[Column112]],0)+10,"")</f>
        <v/>
      </c>
      <c r="CH99" s="134" t="str">
        <f>_xlfn.IFNA(MATCH(BH99,Achievements[[#All],[Column112]],0)+10,"")</f>
        <v/>
      </c>
      <c r="CI99" s="134" t="str">
        <f>_xlfn.IFNA(MATCH(BI99,Achievements[[#All],[Column113]],0)+10,"")</f>
        <v/>
      </c>
      <c r="CJ99" s="134" t="str">
        <f>_xlfn.IFNA(MATCH(BJ99,Achievements[[#All],[Column113]],0)+10,"")</f>
        <v/>
      </c>
      <c r="CK99" s="134" t="str">
        <f>_xlfn.IFNA(MATCH(BK99,Achievements[[#All],[Column114]],0)+10,"")</f>
        <v/>
      </c>
      <c r="CL99" s="134" t="str">
        <f>_xlfn.IFNA(MATCH(BL99,Achievements[[#All],[Column114]],0)+10,"")</f>
        <v/>
      </c>
      <c r="CM99" s="134" t="str">
        <f>_xlfn.IFNA(MATCH(BM99,Achievements[[#All],[Column115]],0)+10,"")</f>
        <v/>
      </c>
      <c r="CN99" s="134" t="str">
        <f>_xlfn.IFNA(MATCH(BN99,Achievements[[#All],[Column115]],0)+10,"")</f>
        <v/>
      </c>
      <c r="CO99" s="134" t="str">
        <f>_xlfn.IFNA(MATCH(BO99,Achievements[[#All],[Column116]],0)+10,"")</f>
        <v/>
      </c>
      <c r="CP99" s="134" t="str">
        <f>_xlfn.IFNA(MATCH(BP99,Achievements[[#All],[Column116]],0)+10,"")</f>
        <v/>
      </c>
      <c r="CQ99" s="134" t="str">
        <f>_xlfn.IFNA(MATCH(BQ99,Achievements[[#All],[Column117]],0)+10,"")</f>
        <v/>
      </c>
      <c r="CR99" s="134" t="str">
        <f>_xlfn.IFNA(MATCH(BR99,Achievements[[#All],[Column117]],0)+10,"")</f>
        <v/>
      </c>
      <c r="CS99" s="134" t="str">
        <f>_xlfn.IFNA(MATCH(BS99,Achievements[[#All],[Column118]],0)+10,"")</f>
        <v/>
      </c>
      <c r="CT99" s="134" t="str">
        <f>_xlfn.IFNA(MATCH(BT99,Achievements[[#All],[Column118]],0)+10,"")</f>
        <v/>
      </c>
      <c r="CU99" s="134" t="str">
        <f>_xlfn.IFNA(MATCH(BU99,Achievements[[#All],[Column119]],0)+10,"")</f>
        <v/>
      </c>
      <c r="CV99" s="134" t="str">
        <f>_xlfn.IFNA(MATCH(BV99,Achievements[[#All],[Column119]],0)+10,"")</f>
        <v/>
      </c>
      <c r="CW99" s="134" t="str">
        <f>_xlfn.IFNA(MATCH(BW99,Achievements[[#All],[Column120]],0)+10,"")</f>
        <v/>
      </c>
      <c r="CX99" s="134" t="str">
        <f>_xlfn.IFNA(MATCH(BX99,Achievements[[#All],[Column120]],0)+10,"")</f>
        <v/>
      </c>
      <c r="CY99" s="134" t="str">
        <f>_xlfn.IFNA(MATCH(BY99,Achievements[[#All],[Column121]],0)+10,"")</f>
        <v/>
      </c>
      <c r="CZ99" s="118" t="e">
        <f t="shared" ca="1" si="3"/>
        <v>#NAME?</v>
      </c>
    </row>
    <row r="100" spans="1:104" x14ac:dyDescent="0.25">
      <c r="A100" t="e" cm="1">
        <f t="array" aca="1" ref="A100" ca="1">SplitValues("; ",#REF!)</f>
        <v>#NAME?</v>
      </c>
      <c r="AA100" t="e">
        <f ca="1">_xlfn.IFNA(MATCH(A100,Achievements[[#All],[Column1]],0)+11,"")</f>
        <v>#NAME?</v>
      </c>
      <c r="AB100" s="134" t="str">
        <f>_xlfn.IFNA(MATCH(B100,Achievements[[#All],[Column1]],0)+10,"")</f>
        <v/>
      </c>
      <c r="AC100" s="134" t="str">
        <f>_xlfn.IFNA(MATCH(C100,Achievements[[#All],[Column1]],0)+10,"")</f>
        <v/>
      </c>
      <c r="AD100" s="134" t="str">
        <f>_xlfn.IFNA(MATCH(D100,Achievements[[#All],[Column110]],0)+10,"")</f>
        <v/>
      </c>
      <c r="AE100" s="134" t="str">
        <f>_xlfn.IFNA(MATCH(E100,Achievements[[#All],[Column110]],0)+10,"")</f>
        <v/>
      </c>
      <c r="AF100" s="134" t="str">
        <f>_xlfn.IFNA(MATCH(F100,Achievements[[#All],[Column111]],0)+10,"")</f>
        <v/>
      </c>
      <c r="AG100" s="134" t="str">
        <f>_xlfn.IFNA(MATCH(G100,Achievements[[#All],[Column111]],0)+10,"")</f>
        <v/>
      </c>
      <c r="AH100" s="134" t="str">
        <f>_xlfn.IFNA(MATCH(H100,Achievements[[#All],[Column112]],0)+10,"")</f>
        <v/>
      </c>
      <c r="AI100" s="134" t="str">
        <f>_xlfn.IFNA(MATCH(I100,Achievements[[#All],[Column112]],0)+10,"")</f>
        <v/>
      </c>
      <c r="AJ100" s="134" t="str">
        <f>_xlfn.IFNA(MATCH(J100,Achievements[[#All],[Column113]],0)+10,"")</f>
        <v/>
      </c>
      <c r="AK100" s="134" t="str">
        <f>_xlfn.IFNA(MATCH(K100,Achievements[[#All],[Column113]],0)+10,"")</f>
        <v/>
      </c>
      <c r="AL100" s="134" t="str">
        <f>_xlfn.IFNA(MATCH(L100,Achievements[[#All],[Column114]],0)+10,"")</f>
        <v/>
      </c>
      <c r="AM100" s="134" t="str">
        <f>_xlfn.IFNA(MATCH(M100,Achievements[[#All],[Column114]],0)+10,"")</f>
        <v/>
      </c>
      <c r="AN100" s="134" t="str">
        <f>_xlfn.IFNA(MATCH(N100,Achievements[[#All],[Column115]],0)+10,"")</f>
        <v/>
      </c>
      <c r="AO100" s="134" t="str">
        <f>_xlfn.IFNA(MATCH(O100,Achievements[[#All],[Column115]],0)+10,"")</f>
        <v/>
      </c>
      <c r="AP100" s="134" t="str">
        <f>_xlfn.IFNA(MATCH(P100,Achievements[[#All],[Column116]],0)+10,"")</f>
        <v/>
      </c>
      <c r="AQ100" s="134" t="str">
        <f>_xlfn.IFNA(MATCH(Q100,Achievements[[#All],[Column116]],0)+10,"")</f>
        <v/>
      </c>
      <c r="AR100" s="134" t="str">
        <f>_xlfn.IFNA(MATCH(R100,Achievements[[#All],[Column117]],0)+10,"")</f>
        <v/>
      </c>
      <c r="AS100" s="134" t="str">
        <f>_xlfn.IFNA(MATCH(S100,Achievements[[#All],[Column117]],0)+10,"")</f>
        <v/>
      </c>
      <c r="AT100" s="134" t="str">
        <f>_xlfn.IFNA(MATCH(T100,Achievements[[#All],[Column118]],0)+10,"")</f>
        <v/>
      </c>
      <c r="AU100" s="134" t="str">
        <f>_xlfn.IFNA(MATCH(U100,Achievements[[#All],[Column118]],0)+10,"")</f>
        <v/>
      </c>
      <c r="AV100" s="134" t="str">
        <f>_xlfn.IFNA(MATCH(V100,Achievements[[#All],[Column119]],0)+10,"")</f>
        <v/>
      </c>
      <c r="AW100" s="134" t="str">
        <f>_xlfn.IFNA(MATCH(W100,Achievements[[#All],[Column119]],0)+10,"")</f>
        <v/>
      </c>
      <c r="AX100" s="134" t="str">
        <f>_xlfn.IFNA(MATCH(X100,Achievements[[#All],[Column120]],0)+10,"")</f>
        <v/>
      </c>
      <c r="AY100" s="134" t="str">
        <f>_xlfn.IFNA(MATCH(Y100,Achievements[[#All],[Column120]],0)+10,"")</f>
        <v/>
      </c>
      <c r="AZ100" s="116" t="e">
        <f t="shared" ca="1" si="2"/>
        <v>#NAME?</v>
      </c>
      <c r="BA100" s="134" t="e" cm="1">
        <f t="array" aca="1" ref="BA100" ca="1">SplitValues("; ",Persons[[#This Row],[Column1]])</f>
        <v>#NAME?</v>
      </c>
      <c r="CA100" s="134" t="e">
        <f ca="1">_xlfn.IFNA(MATCH(BA100,Achievements[[#All],[Column1]],0)+10,"")</f>
        <v>#NAME?</v>
      </c>
      <c r="CB100" s="134" t="str">
        <f>_xlfn.IFNA(MATCH(BB100,Achievements[[#All],[Column1]],0)+10,"")</f>
        <v/>
      </c>
      <c r="CC100" s="134" t="str">
        <f>_xlfn.IFNA(MATCH(BC100,Achievements[[#All],[Column110]],0)+10,"")</f>
        <v/>
      </c>
      <c r="CD100" s="134" t="str">
        <f>_xlfn.IFNA(MATCH(BD100,Achievements[[#All],[Column110]],0)+10,"")</f>
        <v/>
      </c>
      <c r="CE100" s="134" t="str">
        <f>_xlfn.IFNA(MATCH(BE100,Achievements[[#All],[Column111]],0)+10,"")</f>
        <v/>
      </c>
      <c r="CF100" s="134" t="str">
        <f>_xlfn.IFNA(MATCH(BF100,Achievements[[#All],[Column111]],0)+10,"")</f>
        <v/>
      </c>
      <c r="CG100" s="134" t="str">
        <f>_xlfn.IFNA(MATCH(BG100,Achievements[[#All],[Column112]],0)+10,"")</f>
        <v/>
      </c>
      <c r="CH100" s="134" t="str">
        <f>_xlfn.IFNA(MATCH(BH100,Achievements[[#All],[Column112]],0)+10,"")</f>
        <v/>
      </c>
      <c r="CI100" s="134" t="str">
        <f>_xlfn.IFNA(MATCH(BI100,Achievements[[#All],[Column113]],0)+10,"")</f>
        <v/>
      </c>
      <c r="CJ100" s="134" t="str">
        <f>_xlfn.IFNA(MATCH(BJ100,Achievements[[#All],[Column113]],0)+10,"")</f>
        <v/>
      </c>
      <c r="CK100" s="134" t="str">
        <f>_xlfn.IFNA(MATCH(BK100,Achievements[[#All],[Column114]],0)+10,"")</f>
        <v/>
      </c>
      <c r="CL100" s="134" t="str">
        <f>_xlfn.IFNA(MATCH(BL100,Achievements[[#All],[Column114]],0)+10,"")</f>
        <v/>
      </c>
      <c r="CM100" s="134" t="str">
        <f>_xlfn.IFNA(MATCH(BM100,Achievements[[#All],[Column115]],0)+10,"")</f>
        <v/>
      </c>
      <c r="CN100" s="134" t="str">
        <f>_xlfn.IFNA(MATCH(BN100,Achievements[[#All],[Column115]],0)+10,"")</f>
        <v/>
      </c>
      <c r="CO100" s="134" t="str">
        <f>_xlfn.IFNA(MATCH(BO100,Achievements[[#All],[Column116]],0)+10,"")</f>
        <v/>
      </c>
      <c r="CP100" s="134" t="str">
        <f>_xlfn.IFNA(MATCH(BP100,Achievements[[#All],[Column116]],0)+10,"")</f>
        <v/>
      </c>
      <c r="CQ100" s="134" t="str">
        <f>_xlfn.IFNA(MATCH(BQ100,Achievements[[#All],[Column117]],0)+10,"")</f>
        <v/>
      </c>
      <c r="CR100" s="134" t="str">
        <f>_xlfn.IFNA(MATCH(BR100,Achievements[[#All],[Column117]],0)+10,"")</f>
        <v/>
      </c>
      <c r="CS100" s="134" t="str">
        <f>_xlfn.IFNA(MATCH(BS100,Achievements[[#All],[Column118]],0)+10,"")</f>
        <v/>
      </c>
      <c r="CT100" s="134" t="str">
        <f>_xlfn.IFNA(MATCH(BT100,Achievements[[#All],[Column118]],0)+10,"")</f>
        <v/>
      </c>
      <c r="CU100" s="134" t="str">
        <f>_xlfn.IFNA(MATCH(BU100,Achievements[[#All],[Column119]],0)+10,"")</f>
        <v/>
      </c>
      <c r="CV100" s="134" t="str">
        <f>_xlfn.IFNA(MATCH(BV100,Achievements[[#All],[Column119]],0)+10,"")</f>
        <v/>
      </c>
      <c r="CW100" s="134" t="str">
        <f>_xlfn.IFNA(MATCH(BW100,Achievements[[#All],[Column120]],0)+10,"")</f>
        <v/>
      </c>
      <c r="CX100" s="134" t="str">
        <f>_xlfn.IFNA(MATCH(BX100,Achievements[[#All],[Column120]],0)+10,"")</f>
        <v/>
      </c>
      <c r="CY100" s="134" t="str">
        <f>_xlfn.IFNA(MATCH(BY100,Achievements[[#All],[Column121]],0)+10,"")</f>
        <v/>
      </c>
      <c r="CZ100" s="118" t="e">
        <f t="shared" ca="1" si="3"/>
        <v>#NAME?</v>
      </c>
    </row>
    <row r="101" spans="1:104" x14ac:dyDescent="0.25">
      <c r="A101" t="e" cm="1">
        <f t="array" aca="1" ref="A101" ca="1">SplitValues("; ",#REF!)</f>
        <v>#NAME?</v>
      </c>
      <c r="AA101" t="e">
        <f ca="1">_xlfn.IFNA(MATCH(A101,Achievements[[#All],[Column1]],0)+11,"")</f>
        <v>#NAME?</v>
      </c>
      <c r="AB101" s="134" t="str">
        <f>_xlfn.IFNA(MATCH(B101,Achievements[[#All],[Column1]],0)+10,"")</f>
        <v/>
      </c>
      <c r="AC101" s="134" t="str">
        <f>_xlfn.IFNA(MATCH(C101,Achievements[[#All],[Column1]],0)+10,"")</f>
        <v/>
      </c>
      <c r="AD101" s="134" t="str">
        <f>_xlfn.IFNA(MATCH(D101,Achievements[[#All],[Column110]],0)+10,"")</f>
        <v/>
      </c>
      <c r="AE101" s="134" t="str">
        <f>_xlfn.IFNA(MATCH(E101,Achievements[[#All],[Column110]],0)+10,"")</f>
        <v/>
      </c>
      <c r="AF101" s="134" t="str">
        <f>_xlfn.IFNA(MATCH(F101,Achievements[[#All],[Column111]],0)+10,"")</f>
        <v/>
      </c>
      <c r="AG101" s="134" t="str">
        <f>_xlfn.IFNA(MATCH(G101,Achievements[[#All],[Column111]],0)+10,"")</f>
        <v/>
      </c>
      <c r="AH101" s="134" t="str">
        <f>_xlfn.IFNA(MATCH(H101,Achievements[[#All],[Column112]],0)+10,"")</f>
        <v/>
      </c>
      <c r="AI101" s="134" t="str">
        <f>_xlfn.IFNA(MATCH(I101,Achievements[[#All],[Column112]],0)+10,"")</f>
        <v/>
      </c>
      <c r="AJ101" s="134" t="str">
        <f>_xlfn.IFNA(MATCH(J101,Achievements[[#All],[Column113]],0)+10,"")</f>
        <v/>
      </c>
      <c r="AK101" s="134" t="str">
        <f>_xlfn.IFNA(MATCH(K101,Achievements[[#All],[Column113]],0)+10,"")</f>
        <v/>
      </c>
      <c r="AL101" s="134" t="str">
        <f>_xlfn.IFNA(MATCH(L101,Achievements[[#All],[Column114]],0)+10,"")</f>
        <v/>
      </c>
      <c r="AM101" s="134" t="str">
        <f>_xlfn.IFNA(MATCH(M101,Achievements[[#All],[Column114]],0)+10,"")</f>
        <v/>
      </c>
      <c r="AN101" s="134" t="str">
        <f>_xlfn.IFNA(MATCH(N101,Achievements[[#All],[Column115]],0)+10,"")</f>
        <v/>
      </c>
      <c r="AO101" s="134" t="str">
        <f>_xlfn.IFNA(MATCH(O101,Achievements[[#All],[Column115]],0)+10,"")</f>
        <v/>
      </c>
      <c r="AP101" s="134" t="str">
        <f>_xlfn.IFNA(MATCH(P101,Achievements[[#All],[Column116]],0)+10,"")</f>
        <v/>
      </c>
      <c r="AQ101" s="134" t="str">
        <f>_xlfn.IFNA(MATCH(Q101,Achievements[[#All],[Column116]],0)+10,"")</f>
        <v/>
      </c>
      <c r="AR101" s="134" t="str">
        <f>_xlfn.IFNA(MATCH(R101,Achievements[[#All],[Column117]],0)+10,"")</f>
        <v/>
      </c>
      <c r="AS101" s="134" t="str">
        <f>_xlfn.IFNA(MATCH(S101,Achievements[[#All],[Column117]],0)+10,"")</f>
        <v/>
      </c>
      <c r="AT101" s="134" t="str">
        <f>_xlfn.IFNA(MATCH(T101,Achievements[[#All],[Column118]],0)+10,"")</f>
        <v/>
      </c>
      <c r="AU101" s="134" t="str">
        <f>_xlfn.IFNA(MATCH(U101,Achievements[[#All],[Column118]],0)+10,"")</f>
        <v/>
      </c>
      <c r="AV101" s="134" t="str">
        <f>_xlfn.IFNA(MATCH(V101,Achievements[[#All],[Column119]],0)+10,"")</f>
        <v/>
      </c>
      <c r="AW101" s="134" t="str">
        <f>_xlfn.IFNA(MATCH(W101,Achievements[[#All],[Column119]],0)+10,"")</f>
        <v/>
      </c>
      <c r="AX101" s="134" t="str">
        <f>_xlfn.IFNA(MATCH(X101,Achievements[[#All],[Column120]],0)+10,"")</f>
        <v/>
      </c>
      <c r="AY101" s="134" t="str">
        <f>_xlfn.IFNA(MATCH(Y101,Achievements[[#All],[Column120]],0)+10,"")</f>
        <v/>
      </c>
      <c r="AZ101" s="116" t="e">
        <f t="shared" ca="1" si="2"/>
        <v>#NAME?</v>
      </c>
      <c r="BA101" s="134" t="e" cm="1">
        <f t="array" aca="1" ref="BA101" ca="1">SplitValues("; ",Persons[[#This Row],[Column1]])</f>
        <v>#NAME?</v>
      </c>
      <c r="CA101" s="134" t="e">
        <f ca="1">_xlfn.IFNA(MATCH(BA101,Achievements[[#All],[Column1]],0)+10,"")</f>
        <v>#NAME?</v>
      </c>
      <c r="CB101" s="134" t="str">
        <f>_xlfn.IFNA(MATCH(BB101,Achievements[[#All],[Column1]],0)+10,"")</f>
        <v/>
      </c>
      <c r="CC101" s="134" t="str">
        <f>_xlfn.IFNA(MATCH(BC101,Achievements[[#All],[Column110]],0)+10,"")</f>
        <v/>
      </c>
      <c r="CD101" s="134" t="str">
        <f>_xlfn.IFNA(MATCH(BD101,Achievements[[#All],[Column110]],0)+10,"")</f>
        <v/>
      </c>
      <c r="CE101" s="134" t="str">
        <f>_xlfn.IFNA(MATCH(BE101,Achievements[[#All],[Column111]],0)+10,"")</f>
        <v/>
      </c>
      <c r="CF101" s="134" t="str">
        <f>_xlfn.IFNA(MATCH(BF101,Achievements[[#All],[Column111]],0)+10,"")</f>
        <v/>
      </c>
      <c r="CG101" s="134" t="str">
        <f>_xlfn.IFNA(MATCH(BG101,Achievements[[#All],[Column112]],0)+10,"")</f>
        <v/>
      </c>
      <c r="CH101" s="134" t="str">
        <f>_xlfn.IFNA(MATCH(BH101,Achievements[[#All],[Column112]],0)+10,"")</f>
        <v/>
      </c>
      <c r="CI101" s="134" t="str">
        <f>_xlfn.IFNA(MATCH(BI101,Achievements[[#All],[Column113]],0)+10,"")</f>
        <v/>
      </c>
      <c r="CJ101" s="134" t="str">
        <f>_xlfn.IFNA(MATCH(BJ101,Achievements[[#All],[Column113]],0)+10,"")</f>
        <v/>
      </c>
      <c r="CK101" s="134" t="str">
        <f>_xlfn.IFNA(MATCH(BK101,Achievements[[#All],[Column114]],0)+10,"")</f>
        <v/>
      </c>
      <c r="CL101" s="134" t="str">
        <f>_xlfn.IFNA(MATCH(BL101,Achievements[[#All],[Column114]],0)+10,"")</f>
        <v/>
      </c>
      <c r="CM101" s="134" t="str">
        <f>_xlfn.IFNA(MATCH(BM101,Achievements[[#All],[Column115]],0)+10,"")</f>
        <v/>
      </c>
      <c r="CN101" s="134" t="str">
        <f>_xlfn.IFNA(MATCH(BN101,Achievements[[#All],[Column115]],0)+10,"")</f>
        <v/>
      </c>
      <c r="CO101" s="134" t="str">
        <f>_xlfn.IFNA(MATCH(BO101,Achievements[[#All],[Column116]],0)+10,"")</f>
        <v/>
      </c>
      <c r="CP101" s="134" t="str">
        <f>_xlfn.IFNA(MATCH(BP101,Achievements[[#All],[Column116]],0)+10,"")</f>
        <v/>
      </c>
      <c r="CQ101" s="134" t="str">
        <f>_xlfn.IFNA(MATCH(BQ101,Achievements[[#All],[Column117]],0)+10,"")</f>
        <v/>
      </c>
      <c r="CR101" s="134" t="str">
        <f>_xlfn.IFNA(MATCH(BR101,Achievements[[#All],[Column117]],0)+10,"")</f>
        <v/>
      </c>
      <c r="CS101" s="134" t="str">
        <f>_xlfn.IFNA(MATCH(BS101,Achievements[[#All],[Column118]],0)+10,"")</f>
        <v/>
      </c>
      <c r="CT101" s="134" t="str">
        <f>_xlfn.IFNA(MATCH(BT101,Achievements[[#All],[Column118]],0)+10,"")</f>
        <v/>
      </c>
      <c r="CU101" s="134" t="str">
        <f>_xlfn.IFNA(MATCH(BU101,Achievements[[#All],[Column119]],0)+10,"")</f>
        <v/>
      </c>
      <c r="CV101" s="134" t="str">
        <f>_xlfn.IFNA(MATCH(BV101,Achievements[[#All],[Column119]],0)+10,"")</f>
        <v/>
      </c>
      <c r="CW101" s="134" t="str">
        <f>_xlfn.IFNA(MATCH(BW101,Achievements[[#All],[Column120]],0)+10,"")</f>
        <v/>
      </c>
      <c r="CX101" s="134" t="str">
        <f>_xlfn.IFNA(MATCH(BX101,Achievements[[#All],[Column120]],0)+10,"")</f>
        <v/>
      </c>
      <c r="CY101" s="134" t="str">
        <f>_xlfn.IFNA(MATCH(BY101,Achievements[[#All],[Column121]],0)+10,"")</f>
        <v/>
      </c>
      <c r="CZ101" s="118" t="e">
        <f t="shared" ca="1" si="3"/>
        <v>#NAME?</v>
      </c>
    </row>
    <row r="102" spans="1:104" x14ac:dyDescent="0.25">
      <c r="A102" t="e" cm="1">
        <f t="array" aca="1" ref="A102" ca="1">SplitValues("; ",#REF!)</f>
        <v>#NAME?</v>
      </c>
      <c r="AA102" t="e">
        <f ca="1">_xlfn.IFNA(MATCH(A102,Achievements[[#All],[Column1]],0)+11,"")</f>
        <v>#NAME?</v>
      </c>
      <c r="AB102" s="134" t="str">
        <f>_xlfn.IFNA(MATCH(B102,Achievements[[#All],[Column1]],0)+10,"")</f>
        <v/>
      </c>
      <c r="AC102" s="134" t="str">
        <f>_xlfn.IFNA(MATCH(C102,Achievements[[#All],[Column1]],0)+10,"")</f>
        <v/>
      </c>
      <c r="AD102" s="134" t="str">
        <f>_xlfn.IFNA(MATCH(D102,Achievements[[#All],[Column110]],0)+10,"")</f>
        <v/>
      </c>
      <c r="AE102" s="134" t="str">
        <f>_xlfn.IFNA(MATCH(E102,Achievements[[#All],[Column110]],0)+10,"")</f>
        <v/>
      </c>
      <c r="AF102" s="134" t="str">
        <f>_xlfn.IFNA(MATCH(F102,Achievements[[#All],[Column111]],0)+10,"")</f>
        <v/>
      </c>
      <c r="AG102" s="134" t="str">
        <f>_xlfn.IFNA(MATCH(G102,Achievements[[#All],[Column111]],0)+10,"")</f>
        <v/>
      </c>
      <c r="AH102" s="134" t="str">
        <f>_xlfn.IFNA(MATCH(H102,Achievements[[#All],[Column112]],0)+10,"")</f>
        <v/>
      </c>
      <c r="AI102" s="134" t="str">
        <f>_xlfn.IFNA(MATCH(I102,Achievements[[#All],[Column112]],0)+10,"")</f>
        <v/>
      </c>
      <c r="AJ102" s="134" t="str">
        <f>_xlfn.IFNA(MATCH(J102,Achievements[[#All],[Column113]],0)+10,"")</f>
        <v/>
      </c>
      <c r="AK102" s="134" t="str">
        <f>_xlfn.IFNA(MATCH(K102,Achievements[[#All],[Column113]],0)+10,"")</f>
        <v/>
      </c>
      <c r="AL102" s="134" t="str">
        <f>_xlfn.IFNA(MATCH(L102,Achievements[[#All],[Column114]],0)+10,"")</f>
        <v/>
      </c>
      <c r="AM102" s="134" t="str">
        <f>_xlfn.IFNA(MATCH(M102,Achievements[[#All],[Column114]],0)+10,"")</f>
        <v/>
      </c>
      <c r="AN102" s="134" t="str">
        <f>_xlfn.IFNA(MATCH(N102,Achievements[[#All],[Column115]],0)+10,"")</f>
        <v/>
      </c>
      <c r="AO102" s="134" t="str">
        <f>_xlfn.IFNA(MATCH(O102,Achievements[[#All],[Column115]],0)+10,"")</f>
        <v/>
      </c>
      <c r="AP102" s="134" t="str">
        <f>_xlfn.IFNA(MATCH(P102,Achievements[[#All],[Column116]],0)+10,"")</f>
        <v/>
      </c>
      <c r="AQ102" s="134" t="str">
        <f>_xlfn.IFNA(MATCH(Q102,Achievements[[#All],[Column116]],0)+10,"")</f>
        <v/>
      </c>
      <c r="AR102" s="134" t="str">
        <f>_xlfn.IFNA(MATCH(R102,Achievements[[#All],[Column117]],0)+10,"")</f>
        <v/>
      </c>
      <c r="AS102" s="134" t="str">
        <f>_xlfn.IFNA(MATCH(S102,Achievements[[#All],[Column117]],0)+10,"")</f>
        <v/>
      </c>
      <c r="AT102" s="134" t="str">
        <f>_xlfn.IFNA(MATCH(T102,Achievements[[#All],[Column118]],0)+10,"")</f>
        <v/>
      </c>
      <c r="AU102" s="134" t="str">
        <f>_xlfn.IFNA(MATCH(U102,Achievements[[#All],[Column118]],0)+10,"")</f>
        <v/>
      </c>
      <c r="AV102" s="134" t="str">
        <f>_xlfn.IFNA(MATCH(V102,Achievements[[#All],[Column119]],0)+10,"")</f>
        <v/>
      </c>
      <c r="AW102" s="134" t="str">
        <f>_xlfn.IFNA(MATCH(W102,Achievements[[#All],[Column119]],0)+10,"")</f>
        <v/>
      </c>
      <c r="AX102" s="134" t="str">
        <f>_xlfn.IFNA(MATCH(X102,Achievements[[#All],[Column120]],0)+10,"")</f>
        <v/>
      </c>
      <c r="AY102" s="134" t="str">
        <f>_xlfn.IFNA(MATCH(Y102,Achievements[[#All],[Column120]],0)+10,"")</f>
        <v/>
      </c>
      <c r="AZ102" s="116" t="e">
        <f t="shared" ca="1" si="2"/>
        <v>#NAME?</v>
      </c>
      <c r="BA102" s="134" t="e" cm="1">
        <f t="array" aca="1" ref="BA102" ca="1">SplitValues("; ",Persons[[#This Row],[Column1]])</f>
        <v>#NAME?</v>
      </c>
      <c r="CA102" s="134" t="e">
        <f ca="1">_xlfn.IFNA(MATCH(BA102,Achievements[[#All],[Column1]],0)+10,"")</f>
        <v>#NAME?</v>
      </c>
      <c r="CB102" s="134" t="str">
        <f>_xlfn.IFNA(MATCH(BB102,Achievements[[#All],[Column1]],0)+10,"")</f>
        <v/>
      </c>
      <c r="CC102" s="134" t="str">
        <f>_xlfn.IFNA(MATCH(BC102,Achievements[[#All],[Column110]],0)+10,"")</f>
        <v/>
      </c>
      <c r="CD102" s="134" t="str">
        <f>_xlfn.IFNA(MATCH(BD102,Achievements[[#All],[Column110]],0)+10,"")</f>
        <v/>
      </c>
      <c r="CE102" s="134" t="str">
        <f>_xlfn.IFNA(MATCH(BE102,Achievements[[#All],[Column111]],0)+10,"")</f>
        <v/>
      </c>
      <c r="CF102" s="134" t="str">
        <f>_xlfn.IFNA(MATCH(BF102,Achievements[[#All],[Column111]],0)+10,"")</f>
        <v/>
      </c>
      <c r="CG102" s="134" t="str">
        <f>_xlfn.IFNA(MATCH(BG102,Achievements[[#All],[Column112]],0)+10,"")</f>
        <v/>
      </c>
      <c r="CH102" s="134" t="str">
        <f>_xlfn.IFNA(MATCH(BH102,Achievements[[#All],[Column112]],0)+10,"")</f>
        <v/>
      </c>
      <c r="CI102" s="134" t="str">
        <f>_xlfn.IFNA(MATCH(BI102,Achievements[[#All],[Column113]],0)+10,"")</f>
        <v/>
      </c>
      <c r="CJ102" s="134" t="str">
        <f>_xlfn.IFNA(MATCH(BJ102,Achievements[[#All],[Column113]],0)+10,"")</f>
        <v/>
      </c>
      <c r="CK102" s="134" t="str">
        <f>_xlfn.IFNA(MATCH(BK102,Achievements[[#All],[Column114]],0)+10,"")</f>
        <v/>
      </c>
      <c r="CL102" s="134" t="str">
        <f>_xlfn.IFNA(MATCH(BL102,Achievements[[#All],[Column114]],0)+10,"")</f>
        <v/>
      </c>
      <c r="CM102" s="134" t="str">
        <f>_xlfn.IFNA(MATCH(BM102,Achievements[[#All],[Column115]],0)+10,"")</f>
        <v/>
      </c>
      <c r="CN102" s="134" t="str">
        <f>_xlfn.IFNA(MATCH(BN102,Achievements[[#All],[Column115]],0)+10,"")</f>
        <v/>
      </c>
      <c r="CO102" s="134" t="str">
        <f>_xlfn.IFNA(MATCH(BO102,Achievements[[#All],[Column116]],0)+10,"")</f>
        <v/>
      </c>
      <c r="CP102" s="134" t="str">
        <f>_xlfn.IFNA(MATCH(BP102,Achievements[[#All],[Column116]],0)+10,"")</f>
        <v/>
      </c>
      <c r="CQ102" s="134" t="str">
        <f>_xlfn.IFNA(MATCH(BQ102,Achievements[[#All],[Column117]],0)+10,"")</f>
        <v/>
      </c>
      <c r="CR102" s="134" t="str">
        <f>_xlfn.IFNA(MATCH(BR102,Achievements[[#All],[Column117]],0)+10,"")</f>
        <v/>
      </c>
      <c r="CS102" s="134" t="str">
        <f>_xlfn.IFNA(MATCH(BS102,Achievements[[#All],[Column118]],0)+10,"")</f>
        <v/>
      </c>
      <c r="CT102" s="134" t="str">
        <f>_xlfn.IFNA(MATCH(BT102,Achievements[[#All],[Column118]],0)+10,"")</f>
        <v/>
      </c>
      <c r="CU102" s="134" t="str">
        <f>_xlfn.IFNA(MATCH(BU102,Achievements[[#All],[Column119]],0)+10,"")</f>
        <v/>
      </c>
      <c r="CV102" s="134" t="str">
        <f>_xlfn.IFNA(MATCH(BV102,Achievements[[#All],[Column119]],0)+10,"")</f>
        <v/>
      </c>
      <c r="CW102" s="134" t="str">
        <f>_xlfn.IFNA(MATCH(BW102,Achievements[[#All],[Column120]],0)+10,"")</f>
        <v/>
      </c>
      <c r="CX102" s="134" t="str">
        <f>_xlfn.IFNA(MATCH(BX102,Achievements[[#All],[Column120]],0)+10,"")</f>
        <v/>
      </c>
      <c r="CY102" s="134" t="str">
        <f>_xlfn.IFNA(MATCH(BY102,Achievements[[#All],[Column121]],0)+10,"")</f>
        <v/>
      </c>
      <c r="CZ102" s="118" t="e">
        <f t="shared" ca="1" si="3"/>
        <v>#NAME?</v>
      </c>
    </row>
    <row r="103" spans="1:104" x14ac:dyDescent="0.25">
      <c r="A103" t="e" cm="1">
        <f t="array" aca="1" ref="A103" ca="1">SplitValues("; ",#REF!)</f>
        <v>#NAME?</v>
      </c>
      <c r="AA103" t="e">
        <f ca="1">_xlfn.IFNA(MATCH(A103,Achievements[[#All],[Column1]],0)+11,"")</f>
        <v>#NAME?</v>
      </c>
      <c r="AB103" s="134" t="str">
        <f>_xlfn.IFNA(MATCH(B103,Achievements[[#All],[Column1]],0)+10,"")</f>
        <v/>
      </c>
      <c r="AC103" s="134" t="str">
        <f>_xlfn.IFNA(MATCH(C103,Achievements[[#All],[Column1]],0)+10,"")</f>
        <v/>
      </c>
      <c r="AD103" s="134" t="str">
        <f>_xlfn.IFNA(MATCH(D103,Achievements[[#All],[Column110]],0)+10,"")</f>
        <v/>
      </c>
      <c r="AE103" s="134" t="str">
        <f>_xlfn.IFNA(MATCH(E103,Achievements[[#All],[Column110]],0)+10,"")</f>
        <v/>
      </c>
      <c r="AF103" s="134" t="str">
        <f>_xlfn.IFNA(MATCH(F103,Achievements[[#All],[Column111]],0)+10,"")</f>
        <v/>
      </c>
      <c r="AG103" s="134" t="str">
        <f>_xlfn.IFNA(MATCH(G103,Achievements[[#All],[Column111]],0)+10,"")</f>
        <v/>
      </c>
      <c r="AH103" s="134" t="str">
        <f>_xlfn.IFNA(MATCH(H103,Achievements[[#All],[Column112]],0)+10,"")</f>
        <v/>
      </c>
      <c r="AI103" s="134" t="str">
        <f>_xlfn.IFNA(MATCH(I103,Achievements[[#All],[Column112]],0)+10,"")</f>
        <v/>
      </c>
      <c r="AJ103" s="134" t="str">
        <f>_xlfn.IFNA(MATCH(J103,Achievements[[#All],[Column113]],0)+10,"")</f>
        <v/>
      </c>
      <c r="AK103" s="134" t="str">
        <f>_xlfn.IFNA(MATCH(K103,Achievements[[#All],[Column113]],0)+10,"")</f>
        <v/>
      </c>
      <c r="AL103" s="134" t="str">
        <f>_xlfn.IFNA(MATCH(L103,Achievements[[#All],[Column114]],0)+10,"")</f>
        <v/>
      </c>
      <c r="AM103" s="134" t="str">
        <f>_xlfn.IFNA(MATCH(M103,Achievements[[#All],[Column114]],0)+10,"")</f>
        <v/>
      </c>
      <c r="AN103" s="134" t="str">
        <f>_xlfn.IFNA(MATCH(N103,Achievements[[#All],[Column115]],0)+10,"")</f>
        <v/>
      </c>
      <c r="AO103" s="134" t="str">
        <f>_xlfn.IFNA(MATCH(O103,Achievements[[#All],[Column115]],0)+10,"")</f>
        <v/>
      </c>
      <c r="AP103" s="134" t="str">
        <f>_xlfn.IFNA(MATCH(P103,Achievements[[#All],[Column116]],0)+10,"")</f>
        <v/>
      </c>
      <c r="AQ103" s="134" t="str">
        <f>_xlfn.IFNA(MATCH(Q103,Achievements[[#All],[Column116]],0)+10,"")</f>
        <v/>
      </c>
      <c r="AR103" s="134" t="str">
        <f>_xlfn.IFNA(MATCH(R103,Achievements[[#All],[Column117]],0)+10,"")</f>
        <v/>
      </c>
      <c r="AS103" s="134" t="str">
        <f>_xlfn.IFNA(MATCH(S103,Achievements[[#All],[Column117]],0)+10,"")</f>
        <v/>
      </c>
      <c r="AT103" s="134" t="str">
        <f>_xlfn.IFNA(MATCH(T103,Achievements[[#All],[Column118]],0)+10,"")</f>
        <v/>
      </c>
      <c r="AU103" s="134" t="str">
        <f>_xlfn.IFNA(MATCH(U103,Achievements[[#All],[Column118]],0)+10,"")</f>
        <v/>
      </c>
      <c r="AV103" s="134" t="str">
        <f>_xlfn.IFNA(MATCH(V103,Achievements[[#All],[Column119]],0)+10,"")</f>
        <v/>
      </c>
      <c r="AW103" s="134" t="str">
        <f>_xlfn.IFNA(MATCH(W103,Achievements[[#All],[Column119]],0)+10,"")</f>
        <v/>
      </c>
      <c r="AX103" s="134" t="str">
        <f>_xlfn.IFNA(MATCH(X103,Achievements[[#All],[Column120]],0)+10,"")</f>
        <v/>
      </c>
      <c r="AY103" s="134" t="str">
        <f>_xlfn.IFNA(MATCH(Y103,Achievements[[#All],[Column120]],0)+10,"")</f>
        <v/>
      </c>
      <c r="AZ103" s="116" t="e">
        <f t="shared" ca="1" si="2"/>
        <v>#NAME?</v>
      </c>
      <c r="BA103" s="134" t="e" cm="1">
        <f t="array" aca="1" ref="BA103" ca="1">SplitValues("; ",Persons[[#This Row],[Column1]])</f>
        <v>#NAME?</v>
      </c>
      <c r="CA103" s="134" t="e">
        <f ca="1">_xlfn.IFNA(MATCH(BA103,Achievements[[#All],[Column1]],0)+10,"")</f>
        <v>#NAME?</v>
      </c>
      <c r="CB103" s="134" t="str">
        <f>_xlfn.IFNA(MATCH(BB103,Achievements[[#All],[Column1]],0)+10,"")</f>
        <v/>
      </c>
      <c r="CC103" s="134" t="str">
        <f>_xlfn.IFNA(MATCH(BC103,Achievements[[#All],[Column110]],0)+10,"")</f>
        <v/>
      </c>
      <c r="CD103" s="134" t="str">
        <f>_xlfn.IFNA(MATCH(BD103,Achievements[[#All],[Column110]],0)+10,"")</f>
        <v/>
      </c>
      <c r="CE103" s="134" t="str">
        <f>_xlfn.IFNA(MATCH(BE103,Achievements[[#All],[Column111]],0)+10,"")</f>
        <v/>
      </c>
      <c r="CF103" s="134" t="str">
        <f>_xlfn.IFNA(MATCH(BF103,Achievements[[#All],[Column111]],0)+10,"")</f>
        <v/>
      </c>
      <c r="CG103" s="134" t="str">
        <f>_xlfn.IFNA(MATCH(BG103,Achievements[[#All],[Column112]],0)+10,"")</f>
        <v/>
      </c>
      <c r="CH103" s="134" t="str">
        <f>_xlfn.IFNA(MATCH(BH103,Achievements[[#All],[Column112]],0)+10,"")</f>
        <v/>
      </c>
      <c r="CI103" s="134" t="str">
        <f>_xlfn.IFNA(MATCH(BI103,Achievements[[#All],[Column113]],0)+10,"")</f>
        <v/>
      </c>
      <c r="CJ103" s="134" t="str">
        <f>_xlfn.IFNA(MATCH(BJ103,Achievements[[#All],[Column113]],0)+10,"")</f>
        <v/>
      </c>
      <c r="CK103" s="134" t="str">
        <f>_xlfn.IFNA(MATCH(BK103,Achievements[[#All],[Column114]],0)+10,"")</f>
        <v/>
      </c>
      <c r="CL103" s="134" t="str">
        <f>_xlfn.IFNA(MATCH(BL103,Achievements[[#All],[Column114]],0)+10,"")</f>
        <v/>
      </c>
      <c r="CM103" s="134" t="str">
        <f>_xlfn.IFNA(MATCH(BM103,Achievements[[#All],[Column115]],0)+10,"")</f>
        <v/>
      </c>
      <c r="CN103" s="134" t="str">
        <f>_xlfn.IFNA(MATCH(BN103,Achievements[[#All],[Column115]],0)+10,"")</f>
        <v/>
      </c>
      <c r="CO103" s="134" t="str">
        <f>_xlfn.IFNA(MATCH(BO103,Achievements[[#All],[Column116]],0)+10,"")</f>
        <v/>
      </c>
      <c r="CP103" s="134" t="str">
        <f>_xlfn.IFNA(MATCH(BP103,Achievements[[#All],[Column116]],0)+10,"")</f>
        <v/>
      </c>
      <c r="CQ103" s="134" t="str">
        <f>_xlfn.IFNA(MATCH(BQ103,Achievements[[#All],[Column117]],0)+10,"")</f>
        <v/>
      </c>
      <c r="CR103" s="134" t="str">
        <f>_xlfn.IFNA(MATCH(BR103,Achievements[[#All],[Column117]],0)+10,"")</f>
        <v/>
      </c>
      <c r="CS103" s="134" t="str">
        <f>_xlfn.IFNA(MATCH(BS103,Achievements[[#All],[Column118]],0)+10,"")</f>
        <v/>
      </c>
      <c r="CT103" s="134" t="str">
        <f>_xlfn.IFNA(MATCH(BT103,Achievements[[#All],[Column118]],0)+10,"")</f>
        <v/>
      </c>
      <c r="CU103" s="134" t="str">
        <f>_xlfn.IFNA(MATCH(BU103,Achievements[[#All],[Column119]],0)+10,"")</f>
        <v/>
      </c>
      <c r="CV103" s="134" t="str">
        <f>_xlfn.IFNA(MATCH(BV103,Achievements[[#All],[Column119]],0)+10,"")</f>
        <v/>
      </c>
      <c r="CW103" s="134" t="str">
        <f>_xlfn.IFNA(MATCH(BW103,Achievements[[#All],[Column120]],0)+10,"")</f>
        <v/>
      </c>
      <c r="CX103" s="134" t="str">
        <f>_xlfn.IFNA(MATCH(BX103,Achievements[[#All],[Column120]],0)+10,"")</f>
        <v/>
      </c>
      <c r="CY103" s="134" t="str">
        <f>_xlfn.IFNA(MATCH(BY103,Achievements[[#All],[Column121]],0)+10,"")</f>
        <v/>
      </c>
      <c r="CZ103" s="118" t="e">
        <f t="shared" ca="1" si="3"/>
        <v>#NAME?</v>
      </c>
    </row>
    <row r="104" spans="1:104" x14ac:dyDescent="0.25">
      <c r="A104" t="e" cm="1">
        <f t="array" aca="1" ref="A104" ca="1">SplitValues("; ",#REF!)</f>
        <v>#NAME?</v>
      </c>
      <c r="AA104" t="e">
        <f ca="1">_xlfn.IFNA(MATCH(A104,Achievements[[#All],[Column1]],0)+11,"")</f>
        <v>#NAME?</v>
      </c>
      <c r="AB104" s="134" t="str">
        <f>_xlfn.IFNA(MATCH(B104,Achievements[[#All],[Column1]],0)+10,"")</f>
        <v/>
      </c>
      <c r="AC104" s="134" t="str">
        <f>_xlfn.IFNA(MATCH(C104,Achievements[[#All],[Column1]],0)+10,"")</f>
        <v/>
      </c>
      <c r="AD104" s="134" t="str">
        <f>_xlfn.IFNA(MATCH(D104,Achievements[[#All],[Column110]],0)+10,"")</f>
        <v/>
      </c>
      <c r="AE104" s="134" t="str">
        <f>_xlfn.IFNA(MATCH(E104,Achievements[[#All],[Column110]],0)+10,"")</f>
        <v/>
      </c>
      <c r="AF104" s="134" t="str">
        <f>_xlfn.IFNA(MATCH(F104,Achievements[[#All],[Column111]],0)+10,"")</f>
        <v/>
      </c>
      <c r="AG104" s="134" t="str">
        <f>_xlfn.IFNA(MATCH(G104,Achievements[[#All],[Column111]],0)+10,"")</f>
        <v/>
      </c>
      <c r="AH104" s="134" t="str">
        <f>_xlfn.IFNA(MATCH(H104,Achievements[[#All],[Column112]],0)+10,"")</f>
        <v/>
      </c>
      <c r="AI104" s="134" t="str">
        <f>_xlfn.IFNA(MATCH(I104,Achievements[[#All],[Column112]],0)+10,"")</f>
        <v/>
      </c>
      <c r="AJ104" s="134" t="str">
        <f>_xlfn.IFNA(MATCH(J104,Achievements[[#All],[Column113]],0)+10,"")</f>
        <v/>
      </c>
      <c r="AK104" s="134" t="str">
        <f>_xlfn.IFNA(MATCH(K104,Achievements[[#All],[Column113]],0)+10,"")</f>
        <v/>
      </c>
      <c r="AL104" s="134" t="str">
        <f>_xlfn.IFNA(MATCH(L104,Achievements[[#All],[Column114]],0)+10,"")</f>
        <v/>
      </c>
      <c r="AM104" s="134" t="str">
        <f>_xlfn.IFNA(MATCH(M104,Achievements[[#All],[Column114]],0)+10,"")</f>
        <v/>
      </c>
      <c r="AN104" s="134" t="str">
        <f>_xlfn.IFNA(MATCH(N104,Achievements[[#All],[Column115]],0)+10,"")</f>
        <v/>
      </c>
      <c r="AO104" s="134" t="str">
        <f>_xlfn.IFNA(MATCH(O104,Achievements[[#All],[Column115]],0)+10,"")</f>
        <v/>
      </c>
      <c r="AP104" s="134" t="str">
        <f>_xlfn.IFNA(MATCH(P104,Achievements[[#All],[Column116]],0)+10,"")</f>
        <v/>
      </c>
      <c r="AQ104" s="134" t="str">
        <f>_xlfn.IFNA(MATCH(Q104,Achievements[[#All],[Column116]],0)+10,"")</f>
        <v/>
      </c>
      <c r="AR104" s="134" t="str">
        <f>_xlfn.IFNA(MATCH(R104,Achievements[[#All],[Column117]],0)+10,"")</f>
        <v/>
      </c>
      <c r="AS104" s="134" t="str">
        <f>_xlfn.IFNA(MATCH(S104,Achievements[[#All],[Column117]],0)+10,"")</f>
        <v/>
      </c>
      <c r="AT104" s="134" t="str">
        <f>_xlfn.IFNA(MATCH(T104,Achievements[[#All],[Column118]],0)+10,"")</f>
        <v/>
      </c>
      <c r="AU104" s="134" t="str">
        <f>_xlfn.IFNA(MATCH(U104,Achievements[[#All],[Column118]],0)+10,"")</f>
        <v/>
      </c>
      <c r="AV104" s="134" t="str">
        <f>_xlfn.IFNA(MATCH(V104,Achievements[[#All],[Column119]],0)+10,"")</f>
        <v/>
      </c>
      <c r="AW104" s="134" t="str">
        <f>_xlfn.IFNA(MATCH(W104,Achievements[[#All],[Column119]],0)+10,"")</f>
        <v/>
      </c>
      <c r="AX104" s="134" t="str">
        <f>_xlfn.IFNA(MATCH(X104,Achievements[[#All],[Column120]],0)+10,"")</f>
        <v/>
      </c>
      <c r="AY104" s="134" t="str">
        <f>_xlfn.IFNA(MATCH(Y104,Achievements[[#All],[Column120]],0)+10,"")</f>
        <v/>
      </c>
      <c r="AZ104" s="116" t="e">
        <f t="shared" ca="1" si="2"/>
        <v>#NAME?</v>
      </c>
      <c r="BA104" s="134" t="e" cm="1">
        <f t="array" aca="1" ref="BA104" ca="1">SplitValues("; ",Persons[[#This Row],[Column1]])</f>
        <v>#NAME?</v>
      </c>
      <c r="CA104" s="134" t="e">
        <f ca="1">_xlfn.IFNA(MATCH(BA104,Achievements[[#All],[Column1]],0)+10,"")</f>
        <v>#NAME?</v>
      </c>
      <c r="CB104" s="134" t="str">
        <f>_xlfn.IFNA(MATCH(BB104,Achievements[[#All],[Column1]],0)+10,"")</f>
        <v/>
      </c>
      <c r="CC104" s="134" t="str">
        <f>_xlfn.IFNA(MATCH(BC104,Achievements[[#All],[Column110]],0)+10,"")</f>
        <v/>
      </c>
      <c r="CD104" s="134" t="str">
        <f>_xlfn.IFNA(MATCH(BD104,Achievements[[#All],[Column110]],0)+10,"")</f>
        <v/>
      </c>
      <c r="CE104" s="134" t="str">
        <f>_xlfn.IFNA(MATCH(BE104,Achievements[[#All],[Column111]],0)+10,"")</f>
        <v/>
      </c>
      <c r="CF104" s="134" t="str">
        <f>_xlfn.IFNA(MATCH(BF104,Achievements[[#All],[Column111]],0)+10,"")</f>
        <v/>
      </c>
      <c r="CG104" s="134" t="str">
        <f>_xlfn.IFNA(MATCH(BG104,Achievements[[#All],[Column112]],0)+10,"")</f>
        <v/>
      </c>
      <c r="CH104" s="134" t="str">
        <f>_xlfn.IFNA(MATCH(BH104,Achievements[[#All],[Column112]],0)+10,"")</f>
        <v/>
      </c>
      <c r="CI104" s="134" t="str">
        <f>_xlfn.IFNA(MATCH(BI104,Achievements[[#All],[Column113]],0)+10,"")</f>
        <v/>
      </c>
      <c r="CJ104" s="134" t="str">
        <f>_xlfn.IFNA(MATCH(BJ104,Achievements[[#All],[Column113]],0)+10,"")</f>
        <v/>
      </c>
      <c r="CK104" s="134" t="str">
        <f>_xlfn.IFNA(MATCH(BK104,Achievements[[#All],[Column114]],0)+10,"")</f>
        <v/>
      </c>
      <c r="CL104" s="134" t="str">
        <f>_xlfn.IFNA(MATCH(BL104,Achievements[[#All],[Column114]],0)+10,"")</f>
        <v/>
      </c>
      <c r="CM104" s="134" t="str">
        <f>_xlfn.IFNA(MATCH(BM104,Achievements[[#All],[Column115]],0)+10,"")</f>
        <v/>
      </c>
      <c r="CN104" s="134" t="str">
        <f>_xlfn.IFNA(MATCH(BN104,Achievements[[#All],[Column115]],0)+10,"")</f>
        <v/>
      </c>
      <c r="CO104" s="134" t="str">
        <f>_xlfn.IFNA(MATCH(BO104,Achievements[[#All],[Column116]],0)+10,"")</f>
        <v/>
      </c>
      <c r="CP104" s="134" t="str">
        <f>_xlfn.IFNA(MATCH(BP104,Achievements[[#All],[Column116]],0)+10,"")</f>
        <v/>
      </c>
      <c r="CQ104" s="134" t="str">
        <f>_xlfn.IFNA(MATCH(BQ104,Achievements[[#All],[Column117]],0)+10,"")</f>
        <v/>
      </c>
      <c r="CR104" s="134" t="str">
        <f>_xlfn.IFNA(MATCH(BR104,Achievements[[#All],[Column117]],0)+10,"")</f>
        <v/>
      </c>
      <c r="CS104" s="134" t="str">
        <f>_xlfn.IFNA(MATCH(BS104,Achievements[[#All],[Column118]],0)+10,"")</f>
        <v/>
      </c>
      <c r="CT104" s="134" t="str">
        <f>_xlfn.IFNA(MATCH(BT104,Achievements[[#All],[Column118]],0)+10,"")</f>
        <v/>
      </c>
      <c r="CU104" s="134" t="str">
        <f>_xlfn.IFNA(MATCH(BU104,Achievements[[#All],[Column119]],0)+10,"")</f>
        <v/>
      </c>
      <c r="CV104" s="134" t="str">
        <f>_xlfn.IFNA(MATCH(BV104,Achievements[[#All],[Column119]],0)+10,"")</f>
        <v/>
      </c>
      <c r="CW104" s="134" t="str">
        <f>_xlfn.IFNA(MATCH(BW104,Achievements[[#All],[Column120]],0)+10,"")</f>
        <v/>
      </c>
      <c r="CX104" s="134" t="str">
        <f>_xlfn.IFNA(MATCH(BX104,Achievements[[#All],[Column120]],0)+10,"")</f>
        <v/>
      </c>
      <c r="CY104" s="134" t="str">
        <f>_xlfn.IFNA(MATCH(BY104,Achievements[[#All],[Column121]],0)+10,"")</f>
        <v/>
      </c>
      <c r="CZ104" s="118" t="e">
        <f t="shared" ca="1" si="3"/>
        <v>#NAME?</v>
      </c>
    </row>
    <row r="105" spans="1:104" x14ac:dyDescent="0.25">
      <c r="A105" t="e" cm="1">
        <f t="array" aca="1" ref="A105" ca="1">SplitValues("; ",#REF!)</f>
        <v>#NAME?</v>
      </c>
      <c r="AA105" t="e">
        <f ca="1">_xlfn.IFNA(MATCH(A105,Achievements[[#All],[Column1]],0)+11,"")</f>
        <v>#NAME?</v>
      </c>
      <c r="AB105" s="134" t="str">
        <f>_xlfn.IFNA(MATCH(B105,Achievements[[#All],[Column1]],0)+10,"")</f>
        <v/>
      </c>
      <c r="AC105" s="134" t="str">
        <f>_xlfn.IFNA(MATCH(C105,Achievements[[#All],[Column1]],0)+10,"")</f>
        <v/>
      </c>
      <c r="AD105" s="134" t="str">
        <f>_xlfn.IFNA(MATCH(D105,Achievements[[#All],[Column110]],0)+10,"")</f>
        <v/>
      </c>
      <c r="AE105" s="134" t="str">
        <f>_xlfn.IFNA(MATCH(E105,Achievements[[#All],[Column110]],0)+10,"")</f>
        <v/>
      </c>
      <c r="AF105" s="134" t="str">
        <f>_xlfn.IFNA(MATCH(F105,Achievements[[#All],[Column111]],0)+10,"")</f>
        <v/>
      </c>
      <c r="AG105" s="134" t="str">
        <f>_xlfn.IFNA(MATCH(G105,Achievements[[#All],[Column111]],0)+10,"")</f>
        <v/>
      </c>
      <c r="AH105" s="134" t="str">
        <f>_xlfn.IFNA(MATCH(H105,Achievements[[#All],[Column112]],0)+10,"")</f>
        <v/>
      </c>
      <c r="AI105" s="134" t="str">
        <f>_xlfn.IFNA(MATCH(I105,Achievements[[#All],[Column112]],0)+10,"")</f>
        <v/>
      </c>
      <c r="AJ105" s="134" t="str">
        <f>_xlfn.IFNA(MATCH(J105,Achievements[[#All],[Column113]],0)+10,"")</f>
        <v/>
      </c>
      <c r="AK105" s="134" t="str">
        <f>_xlfn.IFNA(MATCH(K105,Achievements[[#All],[Column113]],0)+10,"")</f>
        <v/>
      </c>
      <c r="AL105" s="134" t="str">
        <f>_xlfn.IFNA(MATCH(L105,Achievements[[#All],[Column114]],0)+10,"")</f>
        <v/>
      </c>
      <c r="AM105" s="134" t="str">
        <f>_xlfn.IFNA(MATCH(M105,Achievements[[#All],[Column114]],0)+10,"")</f>
        <v/>
      </c>
      <c r="AN105" s="134" t="str">
        <f>_xlfn.IFNA(MATCH(N105,Achievements[[#All],[Column115]],0)+10,"")</f>
        <v/>
      </c>
      <c r="AO105" s="134" t="str">
        <f>_xlfn.IFNA(MATCH(O105,Achievements[[#All],[Column115]],0)+10,"")</f>
        <v/>
      </c>
      <c r="AP105" s="134" t="str">
        <f>_xlfn.IFNA(MATCH(P105,Achievements[[#All],[Column116]],0)+10,"")</f>
        <v/>
      </c>
      <c r="AQ105" s="134" t="str">
        <f>_xlfn.IFNA(MATCH(Q105,Achievements[[#All],[Column116]],0)+10,"")</f>
        <v/>
      </c>
      <c r="AR105" s="134" t="str">
        <f>_xlfn.IFNA(MATCH(R105,Achievements[[#All],[Column117]],0)+10,"")</f>
        <v/>
      </c>
      <c r="AS105" s="134" t="str">
        <f>_xlfn.IFNA(MATCH(S105,Achievements[[#All],[Column117]],0)+10,"")</f>
        <v/>
      </c>
      <c r="AT105" s="134" t="str">
        <f>_xlfn.IFNA(MATCH(T105,Achievements[[#All],[Column118]],0)+10,"")</f>
        <v/>
      </c>
      <c r="AU105" s="134" t="str">
        <f>_xlfn.IFNA(MATCH(U105,Achievements[[#All],[Column118]],0)+10,"")</f>
        <v/>
      </c>
      <c r="AV105" s="134" t="str">
        <f>_xlfn.IFNA(MATCH(V105,Achievements[[#All],[Column119]],0)+10,"")</f>
        <v/>
      </c>
      <c r="AW105" s="134" t="str">
        <f>_xlfn.IFNA(MATCH(W105,Achievements[[#All],[Column119]],0)+10,"")</f>
        <v/>
      </c>
      <c r="AX105" s="134" t="str">
        <f>_xlfn.IFNA(MATCH(X105,Achievements[[#All],[Column120]],0)+10,"")</f>
        <v/>
      </c>
      <c r="AY105" s="134" t="str">
        <f>_xlfn.IFNA(MATCH(Y105,Achievements[[#All],[Column120]],0)+10,"")</f>
        <v/>
      </c>
      <c r="AZ105" s="116" t="e">
        <f t="shared" ca="1" si="2"/>
        <v>#NAME?</v>
      </c>
      <c r="BA105" s="134" t="e" cm="1">
        <f t="array" aca="1" ref="BA105" ca="1">SplitValues("; ",Persons[[#This Row],[Column1]])</f>
        <v>#NAME?</v>
      </c>
      <c r="CA105" s="134" t="e">
        <f ca="1">_xlfn.IFNA(MATCH(BA105,Achievements[[#All],[Column1]],0)+10,"")</f>
        <v>#NAME?</v>
      </c>
      <c r="CB105" s="134" t="str">
        <f>_xlfn.IFNA(MATCH(BB105,Achievements[[#All],[Column1]],0)+10,"")</f>
        <v/>
      </c>
      <c r="CC105" s="134" t="str">
        <f>_xlfn.IFNA(MATCH(BC105,Achievements[[#All],[Column110]],0)+10,"")</f>
        <v/>
      </c>
      <c r="CD105" s="134" t="str">
        <f>_xlfn.IFNA(MATCH(BD105,Achievements[[#All],[Column110]],0)+10,"")</f>
        <v/>
      </c>
      <c r="CE105" s="134" t="str">
        <f>_xlfn.IFNA(MATCH(BE105,Achievements[[#All],[Column111]],0)+10,"")</f>
        <v/>
      </c>
      <c r="CF105" s="134" t="str">
        <f>_xlfn.IFNA(MATCH(BF105,Achievements[[#All],[Column111]],0)+10,"")</f>
        <v/>
      </c>
      <c r="CG105" s="134" t="str">
        <f>_xlfn.IFNA(MATCH(BG105,Achievements[[#All],[Column112]],0)+10,"")</f>
        <v/>
      </c>
      <c r="CH105" s="134" t="str">
        <f>_xlfn.IFNA(MATCH(BH105,Achievements[[#All],[Column112]],0)+10,"")</f>
        <v/>
      </c>
      <c r="CI105" s="134" t="str">
        <f>_xlfn.IFNA(MATCH(BI105,Achievements[[#All],[Column113]],0)+10,"")</f>
        <v/>
      </c>
      <c r="CJ105" s="134" t="str">
        <f>_xlfn.IFNA(MATCH(BJ105,Achievements[[#All],[Column113]],0)+10,"")</f>
        <v/>
      </c>
      <c r="CK105" s="134" t="str">
        <f>_xlfn.IFNA(MATCH(BK105,Achievements[[#All],[Column114]],0)+10,"")</f>
        <v/>
      </c>
      <c r="CL105" s="134" t="str">
        <f>_xlfn.IFNA(MATCH(BL105,Achievements[[#All],[Column114]],0)+10,"")</f>
        <v/>
      </c>
      <c r="CM105" s="134" t="str">
        <f>_xlfn.IFNA(MATCH(BM105,Achievements[[#All],[Column115]],0)+10,"")</f>
        <v/>
      </c>
      <c r="CN105" s="134" t="str">
        <f>_xlfn.IFNA(MATCH(BN105,Achievements[[#All],[Column115]],0)+10,"")</f>
        <v/>
      </c>
      <c r="CO105" s="134" t="str">
        <f>_xlfn.IFNA(MATCH(BO105,Achievements[[#All],[Column116]],0)+10,"")</f>
        <v/>
      </c>
      <c r="CP105" s="134" t="str">
        <f>_xlfn.IFNA(MATCH(BP105,Achievements[[#All],[Column116]],0)+10,"")</f>
        <v/>
      </c>
      <c r="CQ105" s="134" t="str">
        <f>_xlfn.IFNA(MATCH(BQ105,Achievements[[#All],[Column117]],0)+10,"")</f>
        <v/>
      </c>
      <c r="CR105" s="134" t="str">
        <f>_xlfn.IFNA(MATCH(BR105,Achievements[[#All],[Column117]],0)+10,"")</f>
        <v/>
      </c>
      <c r="CS105" s="134" t="str">
        <f>_xlfn.IFNA(MATCH(BS105,Achievements[[#All],[Column118]],0)+10,"")</f>
        <v/>
      </c>
      <c r="CT105" s="134" t="str">
        <f>_xlfn.IFNA(MATCH(BT105,Achievements[[#All],[Column118]],0)+10,"")</f>
        <v/>
      </c>
      <c r="CU105" s="134" t="str">
        <f>_xlfn.IFNA(MATCH(BU105,Achievements[[#All],[Column119]],0)+10,"")</f>
        <v/>
      </c>
      <c r="CV105" s="134" t="str">
        <f>_xlfn.IFNA(MATCH(BV105,Achievements[[#All],[Column119]],0)+10,"")</f>
        <v/>
      </c>
      <c r="CW105" s="134" t="str">
        <f>_xlfn.IFNA(MATCH(BW105,Achievements[[#All],[Column120]],0)+10,"")</f>
        <v/>
      </c>
      <c r="CX105" s="134" t="str">
        <f>_xlfn.IFNA(MATCH(BX105,Achievements[[#All],[Column120]],0)+10,"")</f>
        <v/>
      </c>
      <c r="CY105" s="134" t="str">
        <f>_xlfn.IFNA(MATCH(BY105,Achievements[[#All],[Column121]],0)+10,"")</f>
        <v/>
      </c>
      <c r="CZ105" s="118" t="e">
        <f t="shared" ca="1" si="3"/>
        <v>#NAME?</v>
      </c>
    </row>
    <row r="106" spans="1:104" x14ac:dyDescent="0.25">
      <c r="A106" t="e" cm="1">
        <f t="array" aca="1" ref="A106" ca="1">SplitValues("; ",#REF!)</f>
        <v>#NAME?</v>
      </c>
      <c r="AA106" t="e">
        <f ca="1">_xlfn.IFNA(MATCH(A106,Achievements[[#All],[Column1]],0)+11,"")</f>
        <v>#NAME?</v>
      </c>
      <c r="AB106" s="134" t="str">
        <f>_xlfn.IFNA(MATCH(B106,Achievements[[#All],[Column1]],0)+10,"")</f>
        <v/>
      </c>
      <c r="AC106" s="134" t="str">
        <f>_xlfn.IFNA(MATCH(C106,Achievements[[#All],[Column1]],0)+10,"")</f>
        <v/>
      </c>
      <c r="AD106" s="134" t="str">
        <f>_xlfn.IFNA(MATCH(D106,Achievements[[#All],[Column110]],0)+10,"")</f>
        <v/>
      </c>
      <c r="AE106" s="134" t="str">
        <f>_xlfn.IFNA(MATCH(E106,Achievements[[#All],[Column110]],0)+10,"")</f>
        <v/>
      </c>
      <c r="AF106" s="134" t="str">
        <f>_xlfn.IFNA(MATCH(F106,Achievements[[#All],[Column111]],0)+10,"")</f>
        <v/>
      </c>
      <c r="AG106" s="134" t="str">
        <f>_xlfn.IFNA(MATCH(G106,Achievements[[#All],[Column111]],0)+10,"")</f>
        <v/>
      </c>
      <c r="AH106" s="134" t="str">
        <f>_xlfn.IFNA(MATCH(H106,Achievements[[#All],[Column112]],0)+10,"")</f>
        <v/>
      </c>
      <c r="AI106" s="134" t="str">
        <f>_xlfn.IFNA(MATCH(I106,Achievements[[#All],[Column112]],0)+10,"")</f>
        <v/>
      </c>
      <c r="AJ106" s="134" t="str">
        <f>_xlfn.IFNA(MATCH(J106,Achievements[[#All],[Column113]],0)+10,"")</f>
        <v/>
      </c>
      <c r="AK106" s="134" t="str">
        <f>_xlfn.IFNA(MATCH(K106,Achievements[[#All],[Column113]],0)+10,"")</f>
        <v/>
      </c>
      <c r="AL106" s="134" t="str">
        <f>_xlfn.IFNA(MATCH(L106,Achievements[[#All],[Column114]],0)+10,"")</f>
        <v/>
      </c>
      <c r="AM106" s="134" t="str">
        <f>_xlfn.IFNA(MATCH(M106,Achievements[[#All],[Column114]],0)+10,"")</f>
        <v/>
      </c>
      <c r="AN106" s="134" t="str">
        <f>_xlfn.IFNA(MATCH(N106,Achievements[[#All],[Column115]],0)+10,"")</f>
        <v/>
      </c>
      <c r="AO106" s="134" t="str">
        <f>_xlfn.IFNA(MATCH(O106,Achievements[[#All],[Column115]],0)+10,"")</f>
        <v/>
      </c>
      <c r="AP106" s="134" t="str">
        <f>_xlfn.IFNA(MATCH(P106,Achievements[[#All],[Column116]],0)+10,"")</f>
        <v/>
      </c>
      <c r="AQ106" s="134" t="str">
        <f>_xlfn.IFNA(MATCH(Q106,Achievements[[#All],[Column116]],0)+10,"")</f>
        <v/>
      </c>
      <c r="AR106" s="134" t="str">
        <f>_xlfn.IFNA(MATCH(R106,Achievements[[#All],[Column117]],0)+10,"")</f>
        <v/>
      </c>
      <c r="AS106" s="134" t="str">
        <f>_xlfn.IFNA(MATCH(S106,Achievements[[#All],[Column117]],0)+10,"")</f>
        <v/>
      </c>
      <c r="AT106" s="134" t="str">
        <f>_xlfn.IFNA(MATCH(T106,Achievements[[#All],[Column118]],0)+10,"")</f>
        <v/>
      </c>
      <c r="AU106" s="134" t="str">
        <f>_xlfn.IFNA(MATCH(U106,Achievements[[#All],[Column118]],0)+10,"")</f>
        <v/>
      </c>
      <c r="AV106" s="134" t="str">
        <f>_xlfn.IFNA(MATCH(V106,Achievements[[#All],[Column119]],0)+10,"")</f>
        <v/>
      </c>
      <c r="AW106" s="134" t="str">
        <f>_xlfn.IFNA(MATCH(W106,Achievements[[#All],[Column119]],0)+10,"")</f>
        <v/>
      </c>
      <c r="AX106" s="134" t="str">
        <f>_xlfn.IFNA(MATCH(X106,Achievements[[#All],[Column120]],0)+10,"")</f>
        <v/>
      </c>
      <c r="AY106" s="134" t="str">
        <f>_xlfn.IFNA(MATCH(Y106,Achievements[[#All],[Column120]],0)+10,"")</f>
        <v/>
      </c>
      <c r="AZ106" s="116" t="e">
        <f t="shared" ca="1" si="2"/>
        <v>#NAME?</v>
      </c>
      <c r="BA106" s="134" t="e" cm="1">
        <f t="array" aca="1" ref="BA106" ca="1">SplitValues("; ",Persons[[#This Row],[Column1]])</f>
        <v>#NAME?</v>
      </c>
      <c r="CA106" s="134" t="e">
        <f ca="1">_xlfn.IFNA(MATCH(BA106,Achievements[[#All],[Column1]],0)+10,"")</f>
        <v>#NAME?</v>
      </c>
      <c r="CB106" s="134" t="str">
        <f>_xlfn.IFNA(MATCH(BB106,Achievements[[#All],[Column1]],0)+10,"")</f>
        <v/>
      </c>
      <c r="CC106" s="134" t="str">
        <f>_xlfn.IFNA(MATCH(BC106,Achievements[[#All],[Column110]],0)+10,"")</f>
        <v/>
      </c>
      <c r="CD106" s="134" t="str">
        <f>_xlfn.IFNA(MATCH(BD106,Achievements[[#All],[Column110]],0)+10,"")</f>
        <v/>
      </c>
      <c r="CE106" s="134" t="str">
        <f>_xlfn.IFNA(MATCH(BE106,Achievements[[#All],[Column111]],0)+10,"")</f>
        <v/>
      </c>
      <c r="CF106" s="134" t="str">
        <f>_xlfn.IFNA(MATCH(BF106,Achievements[[#All],[Column111]],0)+10,"")</f>
        <v/>
      </c>
      <c r="CG106" s="134" t="str">
        <f>_xlfn.IFNA(MATCH(BG106,Achievements[[#All],[Column112]],0)+10,"")</f>
        <v/>
      </c>
      <c r="CH106" s="134" t="str">
        <f>_xlfn.IFNA(MATCH(BH106,Achievements[[#All],[Column112]],0)+10,"")</f>
        <v/>
      </c>
      <c r="CI106" s="134" t="str">
        <f>_xlfn.IFNA(MATCH(BI106,Achievements[[#All],[Column113]],0)+10,"")</f>
        <v/>
      </c>
      <c r="CJ106" s="134" t="str">
        <f>_xlfn.IFNA(MATCH(BJ106,Achievements[[#All],[Column113]],0)+10,"")</f>
        <v/>
      </c>
      <c r="CK106" s="134" t="str">
        <f>_xlfn.IFNA(MATCH(BK106,Achievements[[#All],[Column114]],0)+10,"")</f>
        <v/>
      </c>
      <c r="CL106" s="134" t="str">
        <f>_xlfn.IFNA(MATCH(BL106,Achievements[[#All],[Column114]],0)+10,"")</f>
        <v/>
      </c>
      <c r="CM106" s="134" t="str">
        <f>_xlfn.IFNA(MATCH(BM106,Achievements[[#All],[Column115]],0)+10,"")</f>
        <v/>
      </c>
      <c r="CN106" s="134" t="str">
        <f>_xlfn.IFNA(MATCH(BN106,Achievements[[#All],[Column115]],0)+10,"")</f>
        <v/>
      </c>
      <c r="CO106" s="134" t="str">
        <f>_xlfn.IFNA(MATCH(BO106,Achievements[[#All],[Column116]],0)+10,"")</f>
        <v/>
      </c>
      <c r="CP106" s="134" t="str">
        <f>_xlfn.IFNA(MATCH(BP106,Achievements[[#All],[Column116]],0)+10,"")</f>
        <v/>
      </c>
      <c r="CQ106" s="134" t="str">
        <f>_xlfn.IFNA(MATCH(BQ106,Achievements[[#All],[Column117]],0)+10,"")</f>
        <v/>
      </c>
      <c r="CR106" s="134" t="str">
        <f>_xlfn.IFNA(MATCH(BR106,Achievements[[#All],[Column117]],0)+10,"")</f>
        <v/>
      </c>
      <c r="CS106" s="134" t="str">
        <f>_xlfn.IFNA(MATCH(BS106,Achievements[[#All],[Column118]],0)+10,"")</f>
        <v/>
      </c>
      <c r="CT106" s="134" t="str">
        <f>_xlfn.IFNA(MATCH(BT106,Achievements[[#All],[Column118]],0)+10,"")</f>
        <v/>
      </c>
      <c r="CU106" s="134" t="str">
        <f>_xlfn.IFNA(MATCH(BU106,Achievements[[#All],[Column119]],0)+10,"")</f>
        <v/>
      </c>
      <c r="CV106" s="134" t="str">
        <f>_xlfn.IFNA(MATCH(BV106,Achievements[[#All],[Column119]],0)+10,"")</f>
        <v/>
      </c>
      <c r="CW106" s="134" t="str">
        <f>_xlfn.IFNA(MATCH(BW106,Achievements[[#All],[Column120]],0)+10,"")</f>
        <v/>
      </c>
      <c r="CX106" s="134" t="str">
        <f>_xlfn.IFNA(MATCH(BX106,Achievements[[#All],[Column120]],0)+10,"")</f>
        <v/>
      </c>
      <c r="CY106" s="134" t="str">
        <f>_xlfn.IFNA(MATCH(BY106,Achievements[[#All],[Column121]],0)+10,"")</f>
        <v/>
      </c>
      <c r="CZ106" s="118" t="e">
        <f t="shared" ca="1" si="3"/>
        <v>#NAME?</v>
      </c>
    </row>
    <row r="107" spans="1:104" x14ac:dyDescent="0.25">
      <c r="A107" t="e" cm="1">
        <f t="array" aca="1" ref="A107" ca="1">SplitValues("; ",#REF!)</f>
        <v>#NAME?</v>
      </c>
      <c r="AA107" t="e">
        <f ca="1">_xlfn.IFNA(MATCH(A107,Achievements[[#All],[Column1]],0)+11,"")</f>
        <v>#NAME?</v>
      </c>
      <c r="AB107" s="134" t="str">
        <f>_xlfn.IFNA(MATCH(B107,Achievements[[#All],[Column1]],0)+10,"")</f>
        <v/>
      </c>
      <c r="AC107" s="134" t="str">
        <f>_xlfn.IFNA(MATCH(C107,Achievements[[#All],[Column1]],0)+10,"")</f>
        <v/>
      </c>
      <c r="AD107" s="134" t="str">
        <f>_xlfn.IFNA(MATCH(D107,Achievements[[#All],[Column110]],0)+10,"")</f>
        <v/>
      </c>
      <c r="AE107" s="134" t="str">
        <f>_xlfn.IFNA(MATCH(E107,Achievements[[#All],[Column110]],0)+10,"")</f>
        <v/>
      </c>
      <c r="AF107" s="134" t="str">
        <f>_xlfn.IFNA(MATCH(F107,Achievements[[#All],[Column111]],0)+10,"")</f>
        <v/>
      </c>
      <c r="AG107" s="134" t="str">
        <f>_xlfn.IFNA(MATCH(G107,Achievements[[#All],[Column111]],0)+10,"")</f>
        <v/>
      </c>
      <c r="AH107" s="134" t="str">
        <f>_xlfn.IFNA(MATCH(H107,Achievements[[#All],[Column112]],0)+10,"")</f>
        <v/>
      </c>
      <c r="AI107" s="134" t="str">
        <f>_xlfn.IFNA(MATCH(I107,Achievements[[#All],[Column112]],0)+10,"")</f>
        <v/>
      </c>
      <c r="AJ107" s="134" t="str">
        <f>_xlfn.IFNA(MATCH(J107,Achievements[[#All],[Column113]],0)+10,"")</f>
        <v/>
      </c>
      <c r="AK107" s="134" t="str">
        <f>_xlfn.IFNA(MATCH(K107,Achievements[[#All],[Column113]],0)+10,"")</f>
        <v/>
      </c>
      <c r="AL107" s="134" t="str">
        <f>_xlfn.IFNA(MATCH(L107,Achievements[[#All],[Column114]],0)+10,"")</f>
        <v/>
      </c>
      <c r="AM107" s="134" t="str">
        <f>_xlfn.IFNA(MATCH(M107,Achievements[[#All],[Column114]],0)+10,"")</f>
        <v/>
      </c>
      <c r="AN107" s="134" t="str">
        <f>_xlfn.IFNA(MATCH(N107,Achievements[[#All],[Column115]],0)+10,"")</f>
        <v/>
      </c>
      <c r="AO107" s="134" t="str">
        <f>_xlfn.IFNA(MATCH(O107,Achievements[[#All],[Column115]],0)+10,"")</f>
        <v/>
      </c>
      <c r="AP107" s="134" t="str">
        <f>_xlfn.IFNA(MATCH(P107,Achievements[[#All],[Column116]],0)+10,"")</f>
        <v/>
      </c>
      <c r="AQ107" s="134" t="str">
        <f>_xlfn.IFNA(MATCH(Q107,Achievements[[#All],[Column116]],0)+10,"")</f>
        <v/>
      </c>
      <c r="AR107" s="134" t="str">
        <f>_xlfn.IFNA(MATCH(R107,Achievements[[#All],[Column117]],0)+10,"")</f>
        <v/>
      </c>
      <c r="AS107" s="134" t="str">
        <f>_xlfn.IFNA(MATCH(S107,Achievements[[#All],[Column117]],0)+10,"")</f>
        <v/>
      </c>
      <c r="AT107" s="134" t="str">
        <f>_xlfn.IFNA(MATCH(T107,Achievements[[#All],[Column118]],0)+10,"")</f>
        <v/>
      </c>
      <c r="AU107" s="134" t="str">
        <f>_xlfn.IFNA(MATCH(U107,Achievements[[#All],[Column118]],0)+10,"")</f>
        <v/>
      </c>
      <c r="AV107" s="134" t="str">
        <f>_xlfn.IFNA(MATCH(V107,Achievements[[#All],[Column119]],0)+10,"")</f>
        <v/>
      </c>
      <c r="AW107" s="134" t="str">
        <f>_xlfn.IFNA(MATCH(W107,Achievements[[#All],[Column119]],0)+10,"")</f>
        <v/>
      </c>
      <c r="AX107" s="134" t="str">
        <f>_xlfn.IFNA(MATCH(X107,Achievements[[#All],[Column120]],0)+10,"")</f>
        <v/>
      </c>
      <c r="AY107" s="134" t="str">
        <f>_xlfn.IFNA(MATCH(Y107,Achievements[[#All],[Column120]],0)+10,"")</f>
        <v/>
      </c>
      <c r="AZ107" s="116" t="e">
        <f t="shared" ca="1" si="2"/>
        <v>#NAME?</v>
      </c>
      <c r="BA107" s="134" t="e" cm="1">
        <f t="array" aca="1" ref="BA107" ca="1">SplitValues("; ",Persons[[#This Row],[Column1]])</f>
        <v>#NAME?</v>
      </c>
      <c r="CA107" s="134" t="e">
        <f ca="1">_xlfn.IFNA(MATCH(BA107,Achievements[[#All],[Column1]],0)+10,"")</f>
        <v>#NAME?</v>
      </c>
      <c r="CB107" s="134" t="str">
        <f>_xlfn.IFNA(MATCH(BB107,Achievements[[#All],[Column1]],0)+10,"")</f>
        <v/>
      </c>
      <c r="CC107" s="134" t="str">
        <f>_xlfn.IFNA(MATCH(BC107,Achievements[[#All],[Column110]],0)+10,"")</f>
        <v/>
      </c>
      <c r="CD107" s="134" t="str">
        <f>_xlfn.IFNA(MATCH(BD107,Achievements[[#All],[Column110]],0)+10,"")</f>
        <v/>
      </c>
      <c r="CE107" s="134" t="str">
        <f>_xlfn.IFNA(MATCH(BE107,Achievements[[#All],[Column111]],0)+10,"")</f>
        <v/>
      </c>
      <c r="CF107" s="134" t="str">
        <f>_xlfn.IFNA(MATCH(BF107,Achievements[[#All],[Column111]],0)+10,"")</f>
        <v/>
      </c>
      <c r="CG107" s="134" t="str">
        <f>_xlfn.IFNA(MATCH(BG107,Achievements[[#All],[Column112]],0)+10,"")</f>
        <v/>
      </c>
      <c r="CH107" s="134" t="str">
        <f>_xlfn.IFNA(MATCH(BH107,Achievements[[#All],[Column112]],0)+10,"")</f>
        <v/>
      </c>
      <c r="CI107" s="134" t="str">
        <f>_xlfn.IFNA(MATCH(BI107,Achievements[[#All],[Column113]],0)+10,"")</f>
        <v/>
      </c>
      <c r="CJ107" s="134" t="str">
        <f>_xlfn.IFNA(MATCH(BJ107,Achievements[[#All],[Column113]],0)+10,"")</f>
        <v/>
      </c>
      <c r="CK107" s="134" t="str">
        <f>_xlfn.IFNA(MATCH(BK107,Achievements[[#All],[Column114]],0)+10,"")</f>
        <v/>
      </c>
      <c r="CL107" s="134" t="str">
        <f>_xlfn.IFNA(MATCH(BL107,Achievements[[#All],[Column114]],0)+10,"")</f>
        <v/>
      </c>
      <c r="CM107" s="134" t="str">
        <f>_xlfn.IFNA(MATCH(BM107,Achievements[[#All],[Column115]],0)+10,"")</f>
        <v/>
      </c>
      <c r="CN107" s="134" t="str">
        <f>_xlfn.IFNA(MATCH(BN107,Achievements[[#All],[Column115]],0)+10,"")</f>
        <v/>
      </c>
      <c r="CO107" s="134" t="str">
        <f>_xlfn.IFNA(MATCH(BO107,Achievements[[#All],[Column116]],0)+10,"")</f>
        <v/>
      </c>
      <c r="CP107" s="134" t="str">
        <f>_xlfn.IFNA(MATCH(BP107,Achievements[[#All],[Column116]],0)+10,"")</f>
        <v/>
      </c>
      <c r="CQ107" s="134" t="str">
        <f>_xlfn.IFNA(MATCH(BQ107,Achievements[[#All],[Column117]],0)+10,"")</f>
        <v/>
      </c>
      <c r="CR107" s="134" t="str">
        <f>_xlfn.IFNA(MATCH(BR107,Achievements[[#All],[Column117]],0)+10,"")</f>
        <v/>
      </c>
      <c r="CS107" s="134" t="str">
        <f>_xlfn.IFNA(MATCH(BS107,Achievements[[#All],[Column118]],0)+10,"")</f>
        <v/>
      </c>
      <c r="CT107" s="134" t="str">
        <f>_xlfn.IFNA(MATCH(BT107,Achievements[[#All],[Column118]],0)+10,"")</f>
        <v/>
      </c>
      <c r="CU107" s="134" t="str">
        <f>_xlfn.IFNA(MATCH(BU107,Achievements[[#All],[Column119]],0)+10,"")</f>
        <v/>
      </c>
      <c r="CV107" s="134" t="str">
        <f>_xlfn.IFNA(MATCH(BV107,Achievements[[#All],[Column119]],0)+10,"")</f>
        <v/>
      </c>
      <c r="CW107" s="134" t="str">
        <f>_xlfn.IFNA(MATCH(BW107,Achievements[[#All],[Column120]],0)+10,"")</f>
        <v/>
      </c>
      <c r="CX107" s="134" t="str">
        <f>_xlfn.IFNA(MATCH(BX107,Achievements[[#All],[Column120]],0)+10,"")</f>
        <v/>
      </c>
      <c r="CY107" s="134" t="str">
        <f>_xlfn.IFNA(MATCH(BY107,Achievements[[#All],[Column121]],0)+10,"")</f>
        <v/>
      </c>
      <c r="CZ107" s="118" t="e">
        <f t="shared" ca="1" si="3"/>
        <v>#NAME?</v>
      </c>
    </row>
    <row r="108" spans="1:104" x14ac:dyDescent="0.25">
      <c r="A108" t="e" cm="1">
        <f t="array" aca="1" ref="A108" ca="1">SplitValues("; ",#REF!)</f>
        <v>#NAME?</v>
      </c>
      <c r="AA108" t="e">
        <f ca="1">_xlfn.IFNA(MATCH(A108,Achievements[[#All],[Column1]],0)+11,"")</f>
        <v>#NAME?</v>
      </c>
      <c r="AB108" s="134" t="str">
        <f>_xlfn.IFNA(MATCH(B108,Achievements[[#All],[Column1]],0)+10,"")</f>
        <v/>
      </c>
      <c r="AC108" s="134" t="str">
        <f>_xlfn.IFNA(MATCH(C108,Achievements[[#All],[Column1]],0)+10,"")</f>
        <v/>
      </c>
      <c r="AD108" s="134" t="str">
        <f>_xlfn.IFNA(MATCH(D108,Achievements[[#All],[Column110]],0)+10,"")</f>
        <v/>
      </c>
      <c r="AE108" s="134" t="str">
        <f>_xlfn.IFNA(MATCH(E108,Achievements[[#All],[Column110]],0)+10,"")</f>
        <v/>
      </c>
      <c r="AF108" s="134" t="str">
        <f>_xlfn.IFNA(MATCH(F108,Achievements[[#All],[Column111]],0)+10,"")</f>
        <v/>
      </c>
      <c r="AG108" s="134" t="str">
        <f>_xlfn.IFNA(MATCH(G108,Achievements[[#All],[Column111]],0)+10,"")</f>
        <v/>
      </c>
      <c r="AH108" s="134" t="str">
        <f>_xlfn.IFNA(MATCH(H108,Achievements[[#All],[Column112]],0)+10,"")</f>
        <v/>
      </c>
      <c r="AI108" s="134" t="str">
        <f>_xlfn.IFNA(MATCH(I108,Achievements[[#All],[Column112]],0)+10,"")</f>
        <v/>
      </c>
      <c r="AJ108" s="134" t="str">
        <f>_xlfn.IFNA(MATCH(J108,Achievements[[#All],[Column113]],0)+10,"")</f>
        <v/>
      </c>
      <c r="AK108" s="134" t="str">
        <f>_xlfn.IFNA(MATCH(K108,Achievements[[#All],[Column113]],0)+10,"")</f>
        <v/>
      </c>
      <c r="AL108" s="134" t="str">
        <f>_xlfn.IFNA(MATCH(L108,Achievements[[#All],[Column114]],0)+10,"")</f>
        <v/>
      </c>
      <c r="AM108" s="134" t="str">
        <f>_xlfn.IFNA(MATCH(M108,Achievements[[#All],[Column114]],0)+10,"")</f>
        <v/>
      </c>
      <c r="AN108" s="134" t="str">
        <f>_xlfn.IFNA(MATCH(N108,Achievements[[#All],[Column115]],0)+10,"")</f>
        <v/>
      </c>
      <c r="AO108" s="134" t="str">
        <f>_xlfn.IFNA(MATCH(O108,Achievements[[#All],[Column115]],0)+10,"")</f>
        <v/>
      </c>
      <c r="AP108" s="134" t="str">
        <f>_xlfn.IFNA(MATCH(P108,Achievements[[#All],[Column116]],0)+10,"")</f>
        <v/>
      </c>
      <c r="AQ108" s="134" t="str">
        <f>_xlfn.IFNA(MATCH(Q108,Achievements[[#All],[Column116]],0)+10,"")</f>
        <v/>
      </c>
      <c r="AR108" s="134" t="str">
        <f>_xlfn.IFNA(MATCH(R108,Achievements[[#All],[Column117]],0)+10,"")</f>
        <v/>
      </c>
      <c r="AS108" s="134" t="str">
        <f>_xlfn.IFNA(MATCH(S108,Achievements[[#All],[Column117]],0)+10,"")</f>
        <v/>
      </c>
      <c r="AT108" s="134" t="str">
        <f>_xlfn.IFNA(MATCH(T108,Achievements[[#All],[Column118]],0)+10,"")</f>
        <v/>
      </c>
      <c r="AU108" s="134" t="str">
        <f>_xlfn.IFNA(MATCH(U108,Achievements[[#All],[Column118]],0)+10,"")</f>
        <v/>
      </c>
      <c r="AV108" s="134" t="str">
        <f>_xlfn.IFNA(MATCH(V108,Achievements[[#All],[Column119]],0)+10,"")</f>
        <v/>
      </c>
      <c r="AW108" s="134" t="str">
        <f>_xlfn.IFNA(MATCH(W108,Achievements[[#All],[Column119]],0)+10,"")</f>
        <v/>
      </c>
      <c r="AX108" s="134" t="str">
        <f>_xlfn.IFNA(MATCH(X108,Achievements[[#All],[Column120]],0)+10,"")</f>
        <v/>
      </c>
      <c r="AY108" s="134" t="str">
        <f>_xlfn.IFNA(MATCH(Y108,Achievements[[#All],[Column120]],0)+10,"")</f>
        <v/>
      </c>
      <c r="AZ108" s="116" t="e">
        <f t="shared" ca="1" si="2"/>
        <v>#NAME?</v>
      </c>
      <c r="BA108" s="134" t="e" cm="1">
        <f t="array" aca="1" ref="BA108" ca="1">SplitValues("; ",Persons[[#This Row],[Column1]])</f>
        <v>#NAME?</v>
      </c>
      <c r="CA108" s="134" t="e">
        <f ca="1">_xlfn.IFNA(MATCH(BA108,Achievements[[#All],[Column1]],0)+10,"")</f>
        <v>#NAME?</v>
      </c>
      <c r="CB108" s="134" t="str">
        <f>_xlfn.IFNA(MATCH(BB108,Achievements[[#All],[Column1]],0)+10,"")</f>
        <v/>
      </c>
      <c r="CC108" s="134" t="str">
        <f>_xlfn.IFNA(MATCH(BC108,Achievements[[#All],[Column110]],0)+10,"")</f>
        <v/>
      </c>
      <c r="CD108" s="134" t="str">
        <f>_xlfn.IFNA(MATCH(BD108,Achievements[[#All],[Column110]],0)+10,"")</f>
        <v/>
      </c>
      <c r="CE108" s="134" t="str">
        <f>_xlfn.IFNA(MATCH(BE108,Achievements[[#All],[Column111]],0)+10,"")</f>
        <v/>
      </c>
      <c r="CF108" s="134" t="str">
        <f>_xlfn.IFNA(MATCH(BF108,Achievements[[#All],[Column111]],0)+10,"")</f>
        <v/>
      </c>
      <c r="CG108" s="134" t="str">
        <f>_xlfn.IFNA(MATCH(BG108,Achievements[[#All],[Column112]],0)+10,"")</f>
        <v/>
      </c>
      <c r="CH108" s="134" t="str">
        <f>_xlfn.IFNA(MATCH(BH108,Achievements[[#All],[Column112]],0)+10,"")</f>
        <v/>
      </c>
      <c r="CI108" s="134" t="str">
        <f>_xlfn.IFNA(MATCH(BI108,Achievements[[#All],[Column113]],0)+10,"")</f>
        <v/>
      </c>
      <c r="CJ108" s="134" t="str">
        <f>_xlfn.IFNA(MATCH(BJ108,Achievements[[#All],[Column113]],0)+10,"")</f>
        <v/>
      </c>
      <c r="CK108" s="134" t="str">
        <f>_xlfn.IFNA(MATCH(BK108,Achievements[[#All],[Column114]],0)+10,"")</f>
        <v/>
      </c>
      <c r="CL108" s="134" t="str">
        <f>_xlfn.IFNA(MATCH(BL108,Achievements[[#All],[Column114]],0)+10,"")</f>
        <v/>
      </c>
      <c r="CM108" s="134" t="str">
        <f>_xlfn.IFNA(MATCH(BM108,Achievements[[#All],[Column115]],0)+10,"")</f>
        <v/>
      </c>
      <c r="CN108" s="134" t="str">
        <f>_xlfn.IFNA(MATCH(BN108,Achievements[[#All],[Column115]],0)+10,"")</f>
        <v/>
      </c>
      <c r="CO108" s="134" t="str">
        <f>_xlfn.IFNA(MATCH(BO108,Achievements[[#All],[Column116]],0)+10,"")</f>
        <v/>
      </c>
      <c r="CP108" s="134" t="str">
        <f>_xlfn.IFNA(MATCH(BP108,Achievements[[#All],[Column116]],0)+10,"")</f>
        <v/>
      </c>
      <c r="CQ108" s="134" t="str">
        <f>_xlfn.IFNA(MATCH(BQ108,Achievements[[#All],[Column117]],0)+10,"")</f>
        <v/>
      </c>
      <c r="CR108" s="134" t="str">
        <f>_xlfn.IFNA(MATCH(BR108,Achievements[[#All],[Column117]],0)+10,"")</f>
        <v/>
      </c>
      <c r="CS108" s="134" t="str">
        <f>_xlfn.IFNA(MATCH(BS108,Achievements[[#All],[Column118]],0)+10,"")</f>
        <v/>
      </c>
      <c r="CT108" s="134" t="str">
        <f>_xlfn.IFNA(MATCH(BT108,Achievements[[#All],[Column118]],0)+10,"")</f>
        <v/>
      </c>
      <c r="CU108" s="134" t="str">
        <f>_xlfn.IFNA(MATCH(BU108,Achievements[[#All],[Column119]],0)+10,"")</f>
        <v/>
      </c>
      <c r="CV108" s="134" t="str">
        <f>_xlfn.IFNA(MATCH(BV108,Achievements[[#All],[Column119]],0)+10,"")</f>
        <v/>
      </c>
      <c r="CW108" s="134" t="str">
        <f>_xlfn.IFNA(MATCH(BW108,Achievements[[#All],[Column120]],0)+10,"")</f>
        <v/>
      </c>
      <c r="CX108" s="134" t="str">
        <f>_xlfn.IFNA(MATCH(BX108,Achievements[[#All],[Column120]],0)+10,"")</f>
        <v/>
      </c>
      <c r="CY108" s="134" t="str">
        <f>_xlfn.IFNA(MATCH(BY108,Achievements[[#All],[Column121]],0)+10,"")</f>
        <v/>
      </c>
      <c r="CZ108" s="118" t="e">
        <f t="shared" ca="1" si="3"/>
        <v>#NAME?</v>
      </c>
    </row>
    <row r="109" spans="1:104" x14ac:dyDescent="0.25">
      <c r="A109" t="e" cm="1">
        <f t="array" aca="1" ref="A109" ca="1">SplitValues("; ",#REF!)</f>
        <v>#NAME?</v>
      </c>
      <c r="AA109" t="e">
        <f ca="1">_xlfn.IFNA(MATCH(A109,Achievements[[#All],[Column1]],0)+11,"")</f>
        <v>#NAME?</v>
      </c>
      <c r="AB109" s="134" t="str">
        <f>_xlfn.IFNA(MATCH(B109,Achievements[[#All],[Column1]],0)+10,"")</f>
        <v/>
      </c>
      <c r="AC109" s="134" t="str">
        <f>_xlfn.IFNA(MATCH(C109,Achievements[[#All],[Column1]],0)+10,"")</f>
        <v/>
      </c>
      <c r="AD109" s="134" t="str">
        <f>_xlfn.IFNA(MATCH(D109,Achievements[[#All],[Column110]],0)+10,"")</f>
        <v/>
      </c>
      <c r="AE109" s="134" t="str">
        <f>_xlfn.IFNA(MATCH(E109,Achievements[[#All],[Column110]],0)+10,"")</f>
        <v/>
      </c>
      <c r="AF109" s="134" t="str">
        <f>_xlfn.IFNA(MATCH(F109,Achievements[[#All],[Column111]],0)+10,"")</f>
        <v/>
      </c>
      <c r="AG109" s="134" t="str">
        <f>_xlfn.IFNA(MATCH(G109,Achievements[[#All],[Column111]],0)+10,"")</f>
        <v/>
      </c>
      <c r="AH109" s="134" t="str">
        <f>_xlfn.IFNA(MATCH(H109,Achievements[[#All],[Column112]],0)+10,"")</f>
        <v/>
      </c>
      <c r="AI109" s="134" t="str">
        <f>_xlfn.IFNA(MATCH(I109,Achievements[[#All],[Column112]],0)+10,"")</f>
        <v/>
      </c>
      <c r="AJ109" s="134" t="str">
        <f>_xlfn.IFNA(MATCH(J109,Achievements[[#All],[Column113]],0)+10,"")</f>
        <v/>
      </c>
      <c r="AK109" s="134" t="str">
        <f>_xlfn.IFNA(MATCH(K109,Achievements[[#All],[Column113]],0)+10,"")</f>
        <v/>
      </c>
      <c r="AL109" s="134" t="str">
        <f>_xlfn.IFNA(MATCH(L109,Achievements[[#All],[Column114]],0)+10,"")</f>
        <v/>
      </c>
      <c r="AM109" s="134" t="str">
        <f>_xlfn.IFNA(MATCH(M109,Achievements[[#All],[Column114]],0)+10,"")</f>
        <v/>
      </c>
      <c r="AN109" s="134" t="str">
        <f>_xlfn.IFNA(MATCH(N109,Achievements[[#All],[Column115]],0)+10,"")</f>
        <v/>
      </c>
      <c r="AO109" s="134" t="str">
        <f>_xlfn.IFNA(MATCH(O109,Achievements[[#All],[Column115]],0)+10,"")</f>
        <v/>
      </c>
      <c r="AP109" s="134" t="str">
        <f>_xlfn.IFNA(MATCH(P109,Achievements[[#All],[Column116]],0)+10,"")</f>
        <v/>
      </c>
      <c r="AQ109" s="134" t="str">
        <f>_xlfn.IFNA(MATCH(Q109,Achievements[[#All],[Column116]],0)+10,"")</f>
        <v/>
      </c>
      <c r="AR109" s="134" t="str">
        <f>_xlfn.IFNA(MATCH(R109,Achievements[[#All],[Column117]],0)+10,"")</f>
        <v/>
      </c>
      <c r="AS109" s="134" t="str">
        <f>_xlfn.IFNA(MATCH(S109,Achievements[[#All],[Column117]],0)+10,"")</f>
        <v/>
      </c>
      <c r="AT109" s="134" t="str">
        <f>_xlfn.IFNA(MATCH(T109,Achievements[[#All],[Column118]],0)+10,"")</f>
        <v/>
      </c>
      <c r="AU109" s="134" t="str">
        <f>_xlfn.IFNA(MATCH(U109,Achievements[[#All],[Column118]],0)+10,"")</f>
        <v/>
      </c>
      <c r="AV109" s="134" t="str">
        <f>_xlfn.IFNA(MATCH(V109,Achievements[[#All],[Column119]],0)+10,"")</f>
        <v/>
      </c>
      <c r="AW109" s="134" t="str">
        <f>_xlfn.IFNA(MATCH(W109,Achievements[[#All],[Column119]],0)+10,"")</f>
        <v/>
      </c>
      <c r="AX109" s="134" t="str">
        <f>_xlfn.IFNA(MATCH(X109,Achievements[[#All],[Column120]],0)+10,"")</f>
        <v/>
      </c>
      <c r="AY109" s="134" t="str">
        <f>_xlfn.IFNA(MATCH(Y109,Achievements[[#All],[Column120]],0)+10,"")</f>
        <v/>
      </c>
      <c r="AZ109" s="116" t="e">
        <f t="shared" ca="1" si="2"/>
        <v>#NAME?</v>
      </c>
      <c r="BA109" s="134" t="e" cm="1">
        <f t="array" aca="1" ref="BA109" ca="1">SplitValues("; ",Persons[[#This Row],[Column1]])</f>
        <v>#NAME?</v>
      </c>
      <c r="CA109" s="134" t="e">
        <f ca="1">_xlfn.IFNA(MATCH(BA109,Achievements[[#All],[Column1]],0)+10,"")</f>
        <v>#NAME?</v>
      </c>
      <c r="CB109" s="134" t="str">
        <f>_xlfn.IFNA(MATCH(BB109,Achievements[[#All],[Column1]],0)+10,"")</f>
        <v/>
      </c>
      <c r="CC109" s="134" t="str">
        <f>_xlfn.IFNA(MATCH(BC109,Achievements[[#All],[Column110]],0)+10,"")</f>
        <v/>
      </c>
      <c r="CD109" s="134" t="str">
        <f>_xlfn.IFNA(MATCH(BD109,Achievements[[#All],[Column110]],0)+10,"")</f>
        <v/>
      </c>
      <c r="CE109" s="134" t="str">
        <f>_xlfn.IFNA(MATCH(BE109,Achievements[[#All],[Column111]],0)+10,"")</f>
        <v/>
      </c>
      <c r="CF109" s="134" t="str">
        <f>_xlfn.IFNA(MATCH(BF109,Achievements[[#All],[Column111]],0)+10,"")</f>
        <v/>
      </c>
      <c r="CG109" s="134" t="str">
        <f>_xlfn.IFNA(MATCH(BG109,Achievements[[#All],[Column112]],0)+10,"")</f>
        <v/>
      </c>
      <c r="CH109" s="134" t="str">
        <f>_xlfn.IFNA(MATCH(BH109,Achievements[[#All],[Column112]],0)+10,"")</f>
        <v/>
      </c>
      <c r="CI109" s="134" t="str">
        <f>_xlfn.IFNA(MATCH(BI109,Achievements[[#All],[Column113]],0)+10,"")</f>
        <v/>
      </c>
      <c r="CJ109" s="134" t="str">
        <f>_xlfn.IFNA(MATCH(BJ109,Achievements[[#All],[Column113]],0)+10,"")</f>
        <v/>
      </c>
      <c r="CK109" s="134" t="str">
        <f>_xlfn.IFNA(MATCH(BK109,Achievements[[#All],[Column114]],0)+10,"")</f>
        <v/>
      </c>
      <c r="CL109" s="134" t="str">
        <f>_xlfn.IFNA(MATCH(BL109,Achievements[[#All],[Column114]],0)+10,"")</f>
        <v/>
      </c>
      <c r="CM109" s="134" t="str">
        <f>_xlfn.IFNA(MATCH(BM109,Achievements[[#All],[Column115]],0)+10,"")</f>
        <v/>
      </c>
      <c r="CN109" s="134" t="str">
        <f>_xlfn.IFNA(MATCH(BN109,Achievements[[#All],[Column115]],0)+10,"")</f>
        <v/>
      </c>
      <c r="CO109" s="134" t="str">
        <f>_xlfn.IFNA(MATCH(BO109,Achievements[[#All],[Column116]],0)+10,"")</f>
        <v/>
      </c>
      <c r="CP109" s="134" t="str">
        <f>_xlfn.IFNA(MATCH(BP109,Achievements[[#All],[Column116]],0)+10,"")</f>
        <v/>
      </c>
      <c r="CQ109" s="134" t="str">
        <f>_xlfn.IFNA(MATCH(BQ109,Achievements[[#All],[Column117]],0)+10,"")</f>
        <v/>
      </c>
      <c r="CR109" s="134" t="str">
        <f>_xlfn.IFNA(MATCH(BR109,Achievements[[#All],[Column117]],0)+10,"")</f>
        <v/>
      </c>
      <c r="CS109" s="134" t="str">
        <f>_xlfn.IFNA(MATCH(BS109,Achievements[[#All],[Column118]],0)+10,"")</f>
        <v/>
      </c>
      <c r="CT109" s="134" t="str">
        <f>_xlfn.IFNA(MATCH(BT109,Achievements[[#All],[Column118]],0)+10,"")</f>
        <v/>
      </c>
      <c r="CU109" s="134" t="str">
        <f>_xlfn.IFNA(MATCH(BU109,Achievements[[#All],[Column119]],0)+10,"")</f>
        <v/>
      </c>
      <c r="CV109" s="134" t="str">
        <f>_xlfn.IFNA(MATCH(BV109,Achievements[[#All],[Column119]],0)+10,"")</f>
        <v/>
      </c>
      <c r="CW109" s="134" t="str">
        <f>_xlfn.IFNA(MATCH(BW109,Achievements[[#All],[Column120]],0)+10,"")</f>
        <v/>
      </c>
      <c r="CX109" s="134" t="str">
        <f>_xlfn.IFNA(MATCH(BX109,Achievements[[#All],[Column120]],0)+10,"")</f>
        <v/>
      </c>
      <c r="CY109" s="134" t="str">
        <f>_xlfn.IFNA(MATCH(BY109,Achievements[[#All],[Column121]],0)+10,"")</f>
        <v/>
      </c>
      <c r="CZ109" s="118" t="e">
        <f t="shared" ca="1" si="3"/>
        <v>#NAME?</v>
      </c>
    </row>
    <row r="110" spans="1:104" x14ac:dyDescent="0.25">
      <c r="A110" t="e" cm="1">
        <f t="array" aca="1" ref="A110" ca="1">SplitValues("; ",#REF!)</f>
        <v>#NAME?</v>
      </c>
      <c r="AA110" t="e">
        <f ca="1">_xlfn.IFNA(MATCH(A110,Achievements[[#All],[Column1]],0)+11,"")</f>
        <v>#NAME?</v>
      </c>
      <c r="AB110" s="134" t="str">
        <f>_xlfn.IFNA(MATCH(B110,Achievements[[#All],[Column1]],0)+10,"")</f>
        <v/>
      </c>
      <c r="AC110" s="134" t="str">
        <f>_xlfn.IFNA(MATCH(C110,Achievements[[#All],[Column1]],0)+10,"")</f>
        <v/>
      </c>
      <c r="AD110" s="134" t="str">
        <f>_xlfn.IFNA(MATCH(D110,Achievements[[#All],[Column110]],0)+10,"")</f>
        <v/>
      </c>
      <c r="AE110" s="134" t="str">
        <f>_xlfn.IFNA(MATCH(E110,Achievements[[#All],[Column110]],0)+10,"")</f>
        <v/>
      </c>
      <c r="AF110" s="134" t="str">
        <f>_xlfn.IFNA(MATCH(F110,Achievements[[#All],[Column111]],0)+10,"")</f>
        <v/>
      </c>
      <c r="AG110" s="134" t="str">
        <f>_xlfn.IFNA(MATCH(G110,Achievements[[#All],[Column111]],0)+10,"")</f>
        <v/>
      </c>
      <c r="AH110" s="134" t="str">
        <f>_xlfn.IFNA(MATCH(H110,Achievements[[#All],[Column112]],0)+10,"")</f>
        <v/>
      </c>
      <c r="AI110" s="134" t="str">
        <f>_xlfn.IFNA(MATCH(I110,Achievements[[#All],[Column112]],0)+10,"")</f>
        <v/>
      </c>
      <c r="AJ110" s="134" t="str">
        <f>_xlfn.IFNA(MATCH(J110,Achievements[[#All],[Column113]],0)+10,"")</f>
        <v/>
      </c>
      <c r="AK110" s="134" t="str">
        <f>_xlfn.IFNA(MATCH(K110,Achievements[[#All],[Column113]],0)+10,"")</f>
        <v/>
      </c>
      <c r="AL110" s="134" t="str">
        <f>_xlfn.IFNA(MATCH(L110,Achievements[[#All],[Column114]],0)+10,"")</f>
        <v/>
      </c>
      <c r="AM110" s="134" t="str">
        <f>_xlfn.IFNA(MATCH(M110,Achievements[[#All],[Column114]],0)+10,"")</f>
        <v/>
      </c>
      <c r="AN110" s="134" t="str">
        <f>_xlfn.IFNA(MATCH(N110,Achievements[[#All],[Column115]],0)+10,"")</f>
        <v/>
      </c>
      <c r="AO110" s="134" t="str">
        <f>_xlfn.IFNA(MATCH(O110,Achievements[[#All],[Column115]],0)+10,"")</f>
        <v/>
      </c>
      <c r="AP110" s="134" t="str">
        <f>_xlfn.IFNA(MATCH(P110,Achievements[[#All],[Column116]],0)+10,"")</f>
        <v/>
      </c>
      <c r="AQ110" s="134" t="str">
        <f>_xlfn.IFNA(MATCH(Q110,Achievements[[#All],[Column116]],0)+10,"")</f>
        <v/>
      </c>
      <c r="AR110" s="134" t="str">
        <f>_xlfn.IFNA(MATCH(R110,Achievements[[#All],[Column117]],0)+10,"")</f>
        <v/>
      </c>
      <c r="AS110" s="134" t="str">
        <f>_xlfn.IFNA(MATCH(S110,Achievements[[#All],[Column117]],0)+10,"")</f>
        <v/>
      </c>
      <c r="AT110" s="134" t="str">
        <f>_xlfn.IFNA(MATCH(T110,Achievements[[#All],[Column118]],0)+10,"")</f>
        <v/>
      </c>
      <c r="AU110" s="134" t="str">
        <f>_xlfn.IFNA(MATCH(U110,Achievements[[#All],[Column118]],0)+10,"")</f>
        <v/>
      </c>
      <c r="AV110" s="134" t="str">
        <f>_xlfn.IFNA(MATCH(V110,Achievements[[#All],[Column119]],0)+10,"")</f>
        <v/>
      </c>
      <c r="AW110" s="134" t="str">
        <f>_xlfn.IFNA(MATCH(W110,Achievements[[#All],[Column119]],0)+10,"")</f>
        <v/>
      </c>
      <c r="AX110" s="134" t="str">
        <f>_xlfn.IFNA(MATCH(X110,Achievements[[#All],[Column120]],0)+10,"")</f>
        <v/>
      </c>
      <c r="AY110" s="134" t="str">
        <f>_xlfn.IFNA(MATCH(Y110,Achievements[[#All],[Column120]],0)+10,"")</f>
        <v/>
      </c>
      <c r="AZ110" s="116" t="e">
        <f t="shared" ca="1" si="2"/>
        <v>#NAME?</v>
      </c>
      <c r="BA110" s="134" t="e" cm="1">
        <f t="array" aca="1" ref="BA110" ca="1">SplitValues("; ",Persons[[#This Row],[Column1]])</f>
        <v>#NAME?</v>
      </c>
      <c r="CA110" s="134" t="e">
        <f ca="1">_xlfn.IFNA(MATCH(BA110,Achievements[[#All],[Column1]],0)+10,"")</f>
        <v>#NAME?</v>
      </c>
      <c r="CB110" s="134" t="str">
        <f>_xlfn.IFNA(MATCH(BB110,Achievements[[#All],[Column1]],0)+10,"")</f>
        <v/>
      </c>
      <c r="CC110" s="134" t="str">
        <f>_xlfn.IFNA(MATCH(BC110,Achievements[[#All],[Column110]],0)+10,"")</f>
        <v/>
      </c>
      <c r="CD110" s="134" t="str">
        <f>_xlfn.IFNA(MATCH(BD110,Achievements[[#All],[Column110]],0)+10,"")</f>
        <v/>
      </c>
      <c r="CE110" s="134" t="str">
        <f>_xlfn.IFNA(MATCH(BE110,Achievements[[#All],[Column111]],0)+10,"")</f>
        <v/>
      </c>
      <c r="CF110" s="134" t="str">
        <f>_xlfn.IFNA(MATCH(BF110,Achievements[[#All],[Column111]],0)+10,"")</f>
        <v/>
      </c>
      <c r="CG110" s="134" t="str">
        <f>_xlfn.IFNA(MATCH(BG110,Achievements[[#All],[Column112]],0)+10,"")</f>
        <v/>
      </c>
      <c r="CH110" s="134" t="str">
        <f>_xlfn.IFNA(MATCH(BH110,Achievements[[#All],[Column112]],0)+10,"")</f>
        <v/>
      </c>
      <c r="CI110" s="134" t="str">
        <f>_xlfn.IFNA(MATCH(BI110,Achievements[[#All],[Column113]],0)+10,"")</f>
        <v/>
      </c>
      <c r="CJ110" s="134" t="str">
        <f>_xlfn.IFNA(MATCH(BJ110,Achievements[[#All],[Column113]],0)+10,"")</f>
        <v/>
      </c>
      <c r="CK110" s="134" t="str">
        <f>_xlfn.IFNA(MATCH(BK110,Achievements[[#All],[Column114]],0)+10,"")</f>
        <v/>
      </c>
      <c r="CL110" s="134" t="str">
        <f>_xlfn.IFNA(MATCH(BL110,Achievements[[#All],[Column114]],0)+10,"")</f>
        <v/>
      </c>
      <c r="CM110" s="134" t="str">
        <f>_xlfn.IFNA(MATCH(BM110,Achievements[[#All],[Column115]],0)+10,"")</f>
        <v/>
      </c>
      <c r="CN110" s="134" t="str">
        <f>_xlfn.IFNA(MATCH(BN110,Achievements[[#All],[Column115]],0)+10,"")</f>
        <v/>
      </c>
      <c r="CO110" s="134" t="str">
        <f>_xlfn.IFNA(MATCH(BO110,Achievements[[#All],[Column116]],0)+10,"")</f>
        <v/>
      </c>
      <c r="CP110" s="134" t="str">
        <f>_xlfn.IFNA(MATCH(BP110,Achievements[[#All],[Column116]],0)+10,"")</f>
        <v/>
      </c>
      <c r="CQ110" s="134" t="str">
        <f>_xlfn.IFNA(MATCH(BQ110,Achievements[[#All],[Column117]],0)+10,"")</f>
        <v/>
      </c>
      <c r="CR110" s="134" t="str">
        <f>_xlfn.IFNA(MATCH(BR110,Achievements[[#All],[Column117]],0)+10,"")</f>
        <v/>
      </c>
      <c r="CS110" s="134" t="str">
        <f>_xlfn.IFNA(MATCH(BS110,Achievements[[#All],[Column118]],0)+10,"")</f>
        <v/>
      </c>
      <c r="CT110" s="134" t="str">
        <f>_xlfn.IFNA(MATCH(BT110,Achievements[[#All],[Column118]],0)+10,"")</f>
        <v/>
      </c>
      <c r="CU110" s="134" t="str">
        <f>_xlfn.IFNA(MATCH(BU110,Achievements[[#All],[Column119]],0)+10,"")</f>
        <v/>
      </c>
      <c r="CV110" s="134" t="str">
        <f>_xlfn.IFNA(MATCH(BV110,Achievements[[#All],[Column119]],0)+10,"")</f>
        <v/>
      </c>
      <c r="CW110" s="134" t="str">
        <f>_xlfn.IFNA(MATCH(BW110,Achievements[[#All],[Column120]],0)+10,"")</f>
        <v/>
      </c>
      <c r="CX110" s="134" t="str">
        <f>_xlfn.IFNA(MATCH(BX110,Achievements[[#All],[Column120]],0)+10,"")</f>
        <v/>
      </c>
      <c r="CY110" s="134" t="str">
        <f>_xlfn.IFNA(MATCH(BY110,Achievements[[#All],[Column121]],0)+10,"")</f>
        <v/>
      </c>
      <c r="CZ110" s="118" t="e">
        <f t="shared" ca="1" si="3"/>
        <v>#NAME?</v>
      </c>
    </row>
    <row r="111" spans="1:104" x14ac:dyDescent="0.25">
      <c r="A111" t="e" cm="1">
        <f t="array" aca="1" ref="A111" ca="1">SplitValues("; ",#REF!)</f>
        <v>#NAME?</v>
      </c>
      <c r="AA111" t="e">
        <f ca="1">_xlfn.IFNA(MATCH(A111,Achievements[[#All],[Column1]],0)+11,"")</f>
        <v>#NAME?</v>
      </c>
      <c r="AB111" s="134" t="str">
        <f>_xlfn.IFNA(MATCH(B111,Achievements[[#All],[Column1]],0)+10,"")</f>
        <v/>
      </c>
      <c r="AC111" s="134" t="str">
        <f>_xlfn.IFNA(MATCH(C111,Achievements[[#All],[Column1]],0)+10,"")</f>
        <v/>
      </c>
      <c r="AD111" s="134" t="str">
        <f>_xlfn.IFNA(MATCH(D111,Achievements[[#All],[Column110]],0)+10,"")</f>
        <v/>
      </c>
      <c r="AE111" s="134" t="str">
        <f>_xlfn.IFNA(MATCH(E111,Achievements[[#All],[Column110]],0)+10,"")</f>
        <v/>
      </c>
      <c r="AF111" s="134" t="str">
        <f>_xlfn.IFNA(MATCH(F111,Achievements[[#All],[Column111]],0)+10,"")</f>
        <v/>
      </c>
      <c r="AG111" s="134" t="str">
        <f>_xlfn.IFNA(MATCH(G111,Achievements[[#All],[Column111]],0)+10,"")</f>
        <v/>
      </c>
      <c r="AH111" s="134" t="str">
        <f>_xlfn.IFNA(MATCH(H111,Achievements[[#All],[Column112]],0)+10,"")</f>
        <v/>
      </c>
      <c r="AI111" s="134" t="str">
        <f>_xlfn.IFNA(MATCH(I111,Achievements[[#All],[Column112]],0)+10,"")</f>
        <v/>
      </c>
      <c r="AJ111" s="134" t="str">
        <f>_xlfn.IFNA(MATCH(J111,Achievements[[#All],[Column113]],0)+10,"")</f>
        <v/>
      </c>
      <c r="AK111" s="134" t="str">
        <f>_xlfn.IFNA(MATCH(K111,Achievements[[#All],[Column113]],0)+10,"")</f>
        <v/>
      </c>
      <c r="AL111" s="134" t="str">
        <f>_xlfn.IFNA(MATCH(L111,Achievements[[#All],[Column114]],0)+10,"")</f>
        <v/>
      </c>
      <c r="AM111" s="134" t="str">
        <f>_xlfn.IFNA(MATCH(M111,Achievements[[#All],[Column114]],0)+10,"")</f>
        <v/>
      </c>
      <c r="AN111" s="134" t="str">
        <f>_xlfn.IFNA(MATCH(N111,Achievements[[#All],[Column115]],0)+10,"")</f>
        <v/>
      </c>
      <c r="AO111" s="134" t="str">
        <f>_xlfn.IFNA(MATCH(O111,Achievements[[#All],[Column115]],0)+10,"")</f>
        <v/>
      </c>
      <c r="AP111" s="134" t="str">
        <f>_xlfn.IFNA(MATCH(P111,Achievements[[#All],[Column116]],0)+10,"")</f>
        <v/>
      </c>
      <c r="AQ111" s="134" t="str">
        <f>_xlfn.IFNA(MATCH(Q111,Achievements[[#All],[Column116]],0)+10,"")</f>
        <v/>
      </c>
      <c r="AR111" s="134" t="str">
        <f>_xlfn.IFNA(MATCH(R111,Achievements[[#All],[Column117]],0)+10,"")</f>
        <v/>
      </c>
      <c r="AS111" s="134" t="str">
        <f>_xlfn.IFNA(MATCH(S111,Achievements[[#All],[Column117]],0)+10,"")</f>
        <v/>
      </c>
      <c r="AT111" s="134" t="str">
        <f>_xlfn.IFNA(MATCH(T111,Achievements[[#All],[Column118]],0)+10,"")</f>
        <v/>
      </c>
      <c r="AU111" s="134" t="str">
        <f>_xlfn.IFNA(MATCH(U111,Achievements[[#All],[Column118]],0)+10,"")</f>
        <v/>
      </c>
      <c r="AV111" s="134" t="str">
        <f>_xlfn.IFNA(MATCH(V111,Achievements[[#All],[Column119]],0)+10,"")</f>
        <v/>
      </c>
      <c r="AW111" s="134" t="str">
        <f>_xlfn.IFNA(MATCH(W111,Achievements[[#All],[Column119]],0)+10,"")</f>
        <v/>
      </c>
      <c r="AX111" s="134" t="str">
        <f>_xlfn.IFNA(MATCH(X111,Achievements[[#All],[Column120]],0)+10,"")</f>
        <v/>
      </c>
      <c r="AY111" s="134" t="str">
        <f>_xlfn.IFNA(MATCH(Y111,Achievements[[#All],[Column120]],0)+10,"")</f>
        <v/>
      </c>
      <c r="AZ111" s="116" t="e">
        <f t="shared" ca="1" si="2"/>
        <v>#NAME?</v>
      </c>
      <c r="BA111" s="134" t="e" cm="1">
        <f t="array" aca="1" ref="BA111" ca="1">SplitValues("; ",Persons[[#This Row],[Column1]])</f>
        <v>#NAME?</v>
      </c>
      <c r="CA111" s="134" t="e">
        <f ca="1">_xlfn.IFNA(MATCH(BA111,Achievements[[#All],[Column1]],0)+10,"")</f>
        <v>#NAME?</v>
      </c>
      <c r="CB111" s="134" t="str">
        <f>_xlfn.IFNA(MATCH(BB111,Achievements[[#All],[Column1]],0)+10,"")</f>
        <v/>
      </c>
      <c r="CC111" s="134" t="str">
        <f>_xlfn.IFNA(MATCH(BC111,Achievements[[#All],[Column110]],0)+10,"")</f>
        <v/>
      </c>
      <c r="CD111" s="134" t="str">
        <f>_xlfn.IFNA(MATCH(BD111,Achievements[[#All],[Column110]],0)+10,"")</f>
        <v/>
      </c>
      <c r="CE111" s="134" t="str">
        <f>_xlfn.IFNA(MATCH(BE111,Achievements[[#All],[Column111]],0)+10,"")</f>
        <v/>
      </c>
      <c r="CF111" s="134" t="str">
        <f>_xlfn.IFNA(MATCH(BF111,Achievements[[#All],[Column111]],0)+10,"")</f>
        <v/>
      </c>
      <c r="CG111" s="134" t="str">
        <f>_xlfn.IFNA(MATCH(BG111,Achievements[[#All],[Column112]],0)+10,"")</f>
        <v/>
      </c>
      <c r="CH111" s="134" t="str">
        <f>_xlfn.IFNA(MATCH(BH111,Achievements[[#All],[Column112]],0)+10,"")</f>
        <v/>
      </c>
      <c r="CI111" s="134" t="str">
        <f>_xlfn.IFNA(MATCH(BI111,Achievements[[#All],[Column113]],0)+10,"")</f>
        <v/>
      </c>
      <c r="CJ111" s="134" t="str">
        <f>_xlfn.IFNA(MATCH(BJ111,Achievements[[#All],[Column113]],0)+10,"")</f>
        <v/>
      </c>
      <c r="CK111" s="134" t="str">
        <f>_xlfn.IFNA(MATCH(BK111,Achievements[[#All],[Column114]],0)+10,"")</f>
        <v/>
      </c>
      <c r="CL111" s="134" t="str">
        <f>_xlfn.IFNA(MATCH(BL111,Achievements[[#All],[Column114]],0)+10,"")</f>
        <v/>
      </c>
      <c r="CM111" s="134" t="str">
        <f>_xlfn.IFNA(MATCH(BM111,Achievements[[#All],[Column115]],0)+10,"")</f>
        <v/>
      </c>
      <c r="CN111" s="134" t="str">
        <f>_xlfn.IFNA(MATCH(BN111,Achievements[[#All],[Column115]],0)+10,"")</f>
        <v/>
      </c>
      <c r="CO111" s="134" t="str">
        <f>_xlfn.IFNA(MATCH(BO111,Achievements[[#All],[Column116]],0)+10,"")</f>
        <v/>
      </c>
      <c r="CP111" s="134" t="str">
        <f>_xlfn.IFNA(MATCH(BP111,Achievements[[#All],[Column116]],0)+10,"")</f>
        <v/>
      </c>
      <c r="CQ111" s="134" t="str">
        <f>_xlfn.IFNA(MATCH(BQ111,Achievements[[#All],[Column117]],0)+10,"")</f>
        <v/>
      </c>
      <c r="CR111" s="134" t="str">
        <f>_xlfn.IFNA(MATCH(BR111,Achievements[[#All],[Column117]],0)+10,"")</f>
        <v/>
      </c>
      <c r="CS111" s="134" t="str">
        <f>_xlfn.IFNA(MATCH(BS111,Achievements[[#All],[Column118]],0)+10,"")</f>
        <v/>
      </c>
      <c r="CT111" s="134" t="str">
        <f>_xlfn.IFNA(MATCH(BT111,Achievements[[#All],[Column118]],0)+10,"")</f>
        <v/>
      </c>
      <c r="CU111" s="134" t="str">
        <f>_xlfn.IFNA(MATCH(BU111,Achievements[[#All],[Column119]],0)+10,"")</f>
        <v/>
      </c>
      <c r="CV111" s="134" t="str">
        <f>_xlfn.IFNA(MATCH(BV111,Achievements[[#All],[Column119]],0)+10,"")</f>
        <v/>
      </c>
      <c r="CW111" s="134" t="str">
        <f>_xlfn.IFNA(MATCH(BW111,Achievements[[#All],[Column120]],0)+10,"")</f>
        <v/>
      </c>
      <c r="CX111" s="134" t="str">
        <f>_xlfn.IFNA(MATCH(BX111,Achievements[[#All],[Column120]],0)+10,"")</f>
        <v/>
      </c>
      <c r="CY111" s="134" t="str">
        <f>_xlfn.IFNA(MATCH(BY111,Achievements[[#All],[Column121]],0)+10,"")</f>
        <v/>
      </c>
      <c r="CZ111" s="118" t="e">
        <f t="shared" ca="1" si="3"/>
        <v>#NAME?</v>
      </c>
    </row>
    <row r="112" spans="1:104" x14ac:dyDescent="0.25">
      <c r="A112" t="e" cm="1">
        <f t="array" aca="1" ref="A112" ca="1">SplitValues("; ",#REF!)</f>
        <v>#NAME?</v>
      </c>
      <c r="AA112" t="e">
        <f ca="1">_xlfn.IFNA(MATCH(A112,Achievements[[#All],[Column1]],0)+11,"")</f>
        <v>#NAME?</v>
      </c>
      <c r="AB112" s="134" t="str">
        <f>_xlfn.IFNA(MATCH(B112,Achievements[[#All],[Column1]],0)+10,"")</f>
        <v/>
      </c>
      <c r="AC112" s="134" t="str">
        <f>_xlfn.IFNA(MATCH(C112,Achievements[[#All],[Column1]],0)+10,"")</f>
        <v/>
      </c>
      <c r="AD112" s="134" t="str">
        <f>_xlfn.IFNA(MATCH(D112,Achievements[[#All],[Column110]],0)+10,"")</f>
        <v/>
      </c>
      <c r="AE112" s="134" t="str">
        <f>_xlfn.IFNA(MATCH(E112,Achievements[[#All],[Column110]],0)+10,"")</f>
        <v/>
      </c>
      <c r="AF112" s="134" t="str">
        <f>_xlfn.IFNA(MATCH(F112,Achievements[[#All],[Column111]],0)+10,"")</f>
        <v/>
      </c>
      <c r="AG112" s="134" t="str">
        <f>_xlfn.IFNA(MATCH(G112,Achievements[[#All],[Column111]],0)+10,"")</f>
        <v/>
      </c>
      <c r="AH112" s="134" t="str">
        <f>_xlfn.IFNA(MATCH(H112,Achievements[[#All],[Column112]],0)+10,"")</f>
        <v/>
      </c>
      <c r="AI112" s="134" t="str">
        <f>_xlfn.IFNA(MATCH(I112,Achievements[[#All],[Column112]],0)+10,"")</f>
        <v/>
      </c>
      <c r="AJ112" s="134" t="str">
        <f>_xlfn.IFNA(MATCH(J112,Achievements[[#All],[Column113]],0)+10,"")</f>
        <v/>
      </c>
      <c r="AK112" s="134" t="str">
        <f>_xlfn.IFNA(MATCH(K112,Achievements[[#All],[Column113]],0)+10,"")</f>
        <v/>
      </c>
      <c r="AL112" s="134" t="str">
        <f>_xlfn.IFNA(MATCH(L112,Achievements[[#All],[Column114]],0)+10,"")</f>
        <v/>
      </c>
      <c r="AM112" s="134" t="str">
        <f>_xlfn.IFNA(MATCH(M112,Achievements[[#All],[Column114]],0)+10,"")</f>
        <v/>
      </c>
      <c r="AN112" s="134" t="str">
        <f>_xlfn.IFNA(MATCH(N112,Achievements[[#All],[Column115]],0)+10,"")</f>
        <v/>
      </c>
      <c r="AO112" s="134" t="str">
        <f>_xlfn.IFNA(MATCH(O112,Achievements[[#All],[Column115]],0)+10,"")</f>
        <v/>
      </c>
      <c r="AP112" s="134" t="str">
        <f>_xlfn.IFNA(MATCH(P112,Achievements[[#All],[Column116]],0)+10,"")</f>
        <v/>
      </c>
      <c r="AQ112" s="134" t="str">
        <f>_xlfn.IFNA(MATCH(Q112,Achievements[[#All],[Column116]],0)+10,"")</f>
        <v/>
      </c>
      <c r="AR112" s="134" t="str">
        <f>_xlfn.IFNA(MATCH(R112,Achievements[[#All],[Column117]],0)+10,"")</f>
        <v/>
      </c>
      <c r="AS112" s="134" t="str">
        <f>_xlfn.IFNA(MATCH(S112,Achievements[[#All],[Column117]],0)+10,"")</f>
        <v/>
      </c>
      <c r="AT112" s="134" t="str">
        <f>_xlfn.IFNA(MATCH(T112,Achievements[[#All],[Column118]],0)+10,"")</f>
        <v/>
      </c>
      <c r="AU112" s="134" t="str">
        <f>_xlfn.IFNA(MATCH(U112,Achievements[[#All],[Column118]],0)+10,"")</f>
        <v/>
      </c>
      <c r="AV112" s="134" t="str">
        <f>_xlfn.IFNA(MATCH(V112,Achievements[[#All],[Column119]],0)+10,"")</f>
        <v/>
      </c>
      <c r="AW112" s="134" t="str">
        <f>_xlfn.IFNA(MATCH(W112,Achievements[[#All],[Column119]],0)+10,"")</f>
        <v/>
      </c>
      <c r="AX112" s="134" t="str">
        <f>_xlfn.IFNA(MATCH(X112,Achievements[[#All],[Column120]],0)+10,"")</f>
        <v/>
      </c>
      <c r="AY112" s="134" t="str">
        <f>_xlfn.IFNA(MATCH(Y112,Achievements[[#All],[Column120]],0)+10,"")</f>
        <v/>
      </c>
      <c r="AZ112" s="116" t="e">
        <f t="shared" ca="1" si="2"/>
        <v>#NAME?</v>
      </c>
      <c r="BA112" s="134" t="e" cm="1">
        <f t="array" aca="1" ref="BA112" ca="1">SplitValues("; ",Persons[[#This Row],[Column1]])</f>
        <v>#NAME?</v>
      </c>
      <c r="CA112" s="134" t="e">
        <f ca="1">_xlfn.IFNA(MATCH(BA112,Achievements[[#All],[Column1]],0)+10,"")</f>
        <v>#NAME?</v>
      </c>
      <c r="CB112" s="134" t="str">
        <f>_xlfn.IFNA(MATCH(BB112,Achievements[[#All],[Column1]],0)+10,"")</f>
        <v/>
      </c>
      <c r="CC112" s="134" t="str">
        <f>_xlfn.IFNA(MATCH(BC112,Achievements[[#All],[Column110]],0)+10,"")</f>
        <v/>
      </c>
      <c r="CD112" s="134" t="str">
        <f>_xlfn.IFNA(MATCH(BD112,Achievements[[#All],[Column110]],0)+10,"")</f>
        <v/>
      </c>
      <c r="CE112" s="134" t="str">
        <f>_xlfn.IFNA(MATCH(BE112,Achievements[[#All],[Column111]],0)+10,"")</f>
        <v/>
      </c>
      <c r="CF112" s="134" t="str">
        <f>_xlfn.IFNA(MATCH(BF112,Achievements[[#All],[Column111]],0)+10,"")</f>
        <v/>
      </c>
      <c r="CG112" s="134" t="str">
        <f>_xlfn.IFNA(MATCH(BG112,Achievements[[#All],[Column112]],0)+10,"")</f>
        <v/>
      </c>
      <c r="CH112" s="134" t="str">
        <f>_xlfn.IFNA(MATCH(BH112,Achievements[[#All],[Column112]],0)+10,"")</f>
        <v/>
      </c>
      <c r="CI112" s="134" t="str">
        <f>_xlfn.IFNA(MATCH(BI112,Achievements[[#All],[Column113]],0)+10,"")</f>
        <v/>
      </c>
      <c r="CJ112" s="134" t="str">
        <f>_xlfn.IFNA(MATCH(BJ112,Achievements[[#All],[Column113]],0)+10,"")</f>
        <v/>
      </c>
      <c r="CK112" s="134" t="str">
        <f>_xlfn.IFNA(MATCH(BK112,Achievements[[#All],[Column114]],0)+10,"")</f>
        <v/>
      </c>
      <c r="CL112" s="134" t="str">
        <f>_xlfn.IFNA(MATCH(BL112,Achievements[[#All],[Column114]],0)+10,"")</f>
        <v/>
      </c>
      <c r="CM112" s="134" t="str">
        <f>_xlfn.IFNA(MATCH(BM112,Achievements[[#All],[Column115]],0)+10,"")</f>
        <v/>
      </c>
      <c r="CN112" s="134" t="str">
        <f>_xlfn.IFNA(MATCH(BN112,Achievements[[#All],[Column115]],0)+10,"")</f>
        <v/>
      </c>
      <c r="CO112" s="134" t="str">
        <f>_xlfn.IFNA(MATCH(BO112,Achievements[[#All],[Column116]],0)+10,"")</f>
        <v/>
      </c>
      <c r="CP112" s="134" t="str">
        <f>_xlfn.IFNA(MATCH(BP112,Achievements[[#All],[Column116]],0)+10,"")</f>
        <v/>
      </c>
      <c r="CQ112" s="134" t="str">
        <f>_xlfn.IFNA(MATCH(BQ112,Achievements[[#All],[Column117]],0)+10,"")</f>
        <v/>
      </c>
      <c r="CR112" s="134" t="str">
        <f>_xlfn.IFNA(MATCH(BR112,Achievements[[#All],[Column117]],0)+10,"")</f>
        <v/>
      </c>
      <c r="CS112" s="134" t="str">
        <f>_xlfn.IFNA(MATCH(BS112,Achievements[[#All],[Column118]],0)+10,"")</f>
        <v/>
      </c>
      <c r="CT112" s="134" t="str">
        <f>_xlfn.IFNA(MATCH(BT112,Achievements[[#All],[Column118]],0)+10,"")</f>
        <v/>
      </c>
      <c r="CU112" s="134" t="str">
        <f>_xlfn.IFNA(MATCH(BU112,Achievements[[#All],[Column119]],0)+10,"")</f>
        <v/>
      </c>
      <c r="CV112" s="134" t="str">
        <f>_xlfn.IFNA(MATCH(BV112,Achievements[[#All],[Column119]],0)+10,"")</f>
        <v/>
      </c>
      <c r="CW112" s="134" t="str">
        <f>_xlfn.IFNA(MATCH(BW112,Achievements[[#All],[Column120]],0)+10,"")</f>
        <v/>
      </c>
      <c r="CX112" s="134" t="str">
        <f>_xlfn.IFNA(MATCH(BX112,Achievements[[#All],[Column120]],0)+10,"")</f>
        <v/>
      </c>
      <c r="CY112" s="134" t="str">
        <f>_xlfn.IFNA(MATCH(BY112,Achievements[[#All],[Column121]],0)+10,"")</f>
        <v/>
      </c>
      <c r="CZ112" s="118" t="e">
        <f t="shared" ca="1" si="3"/>
        <v>#NAME?</v>
      </c>
    </row>
    <row r="113" spans="1:104" x14ac:dyDescent="0.25">
      <c r="A113" t="e" cm="1">
        <f t="array" aca="1" ref="A113" ca="1">SplitValues("; ",#REF!)</f>
        <v>#NAME?</v>
      </c>
      <c r="AA113" t="e">
        <f ca="1">_xlfn.IFNA(MATCH(A113,Achievements[[#All],[Column1]],0)+11,"")</f>
        <v>#NAME?</v>
      </c>
      <c r="AB113" s="134" t="str">
        <f>_xlfn.IFNA(MATCH(B113,Achievements[[#All],[Column1]],0)+10,"")</f>
        <v/>
      </c>
      <c r="AC113" s="134" t="str">
        <f>_xlfn.IFNA(MATCH(C113,Achievements[[#All],[Column1]],0)+10,"")</f>
        <v/>
      </c>
      <c r="AD113" s="134" t="str">
        <f>_xlfn.IFNA(MATCH(D113,Achievements[[#All],[Column110]],0)+10,"")</f>
        <v/>
      </c>
      <c r="AE113" s="134" t="str">
        <f>_xlfn.IFNA(MATCH(E113,Achievements[[#All],[Column110]],0)+10,"")</f>
        <v/>
      </c>
      <c r="AF113" s="134" t="str">
        <f>_xlfn.IFNA(MATCH(F113,Achievements[[#All],[Column111]],0)+10,"")</f>
        <v/>
      </c>
      <c r="AG113" s="134" t="str">
        <f>_xlfn.IFNA(MATCH(G113,Achievements[[#All],[Column111]],0)+10,"")</f>
        <v/>
      </c>
      <c r="AH113" s="134" t="str">
        <f>_xlfn.IFNA(MATCH(H113,Achievements[[#All],[Column112]],0)+10,"")</f>
        <v/>
      </c>
      <c r="AI113" s="134" t="str">
        <f>_xlfn.IFNA(MATCH(I113,Achievements[[#All],[Column112]],0)+10,"")</f>
        <v/>
      </c>
      <c r="AJ113" s="134" t="str">
        <f>_xlfn.IFNA(MATCH(J113,Achievements[[#All],[Column113]],0)+10,"")</f>
        <v/>
      </c>
      <c r="AK113" s="134" t="str">
        <f>_xlfn.IFNA(MATCH(K113,Achievements[[#All],[Column113]],0)+10,"")</f>
        <v/>
      </c>
      <c r="AL113" s="134" t="str">
        <f>_xlfn.IFNA(MATCH(L113,Achievements[[#All],[Column114]],0)+10,"")</f>
        <v/>
      </c>
      <c r="AM113" s="134" t="str">
        <f>_xlfn.IFNA(MATCH(M113,Achievements[[#All],[Column114]],0)+10,"")</f>
        <v/>
      </c>
      <c r="AN113" s="134" t="str">
        <f>_xlfn.IFNA(MATCH(N113,Achievements[[#All],[Column115]],0)+10,"")</f>
        <v/>
      </c>
      <c r="AO113" s="134" t="str">
        <f>_xlfn.IFNA(MATCH(O113,Achievements[[#All],[Column115]],0)+10,"")</f>
        <v/>
      </c>
      <c r="AP113" s="134" t="str">
        <f>_xlfn.IFNA(MATCH(P113,Achievements[[#All],[Column116]],0)+10,"")</f>
        <v/>
      </c>
      <c r="AQ113" s="134" t="str">
        <f>_xlfn.IFNA(MATCH(Q113,Achievements[[#All],[Column116]],0)+10,"")</f>
        <v/>
      </c>
      <c r="AR113" s="134" t="str">
        <f>_xlfn.IFNA(MATCH(R113,Achievements[[#All],[Column117]],0)+10,"")</f>
        <v/>
      </c>
      <c r="AS113" s="134" t="str">
        <f>_xlfn.IFNA(MATCH(S113,Achievements[[#All],[Column117]],0)+10,"")</f>
        <v/>
      </c>
      <c r="AT113" s="134" t="str">
        <f>_xlfn.IFNA(MATCH(T113,Achievements[[#All],[Column118]],0)+10,"")</f>
        <v/>
      </c>
      <c r="AU113" s="134" t="str">
        <f>_xlfn.IFNA(MATCH(U113,Achievements[[#All],[Column118]],0)+10,"")</f>
        <v/>
      </c>
      <c r="AV113" s="134" t="str">
        <f>_xlfn.IFNA(MATCH(V113,Achievements[[#All],[Column119]],0)+10,"")</f>
        <v/>
      </c>
      <c r="AW113" s="134" t="str">
        <f>_xlfn.IFNA(MATCH(W113,Achievements[[#All],[Column119]],0)+10,"")</f>
        <v/>
      </c>
      <c r="AX113" s="134" t="str">
        <f>_xlfn.IFNA(MATCH(X113,Achievements[[#All],[Column120]],0)+10,"")</f>
        <v/>
      </c>
      <c r="AY113" s="134" t="str">
        <f>_xlfn.IFNA(MATCH(Y113,Achievements[[#All],[Column120]],0)+10,"")</f>
        <v/>
      </c>
      <c r="AZ113" s="116" t="e">
        <f t="shared" ca="1" si="2"/>
        <v>#NAME?</v>
      </c>
      <c r="BA113" s="134" t="e" cm="1">
        <f t="array" aca="1" ref="BA113" ca="1">SplitValues("; ",Persons[[#This Row],[Column1]])</f>
        <v>#NAME?</v>
      </c>
      <c r="CA113" s="134" t="e">
        <f ca="1">_xlfn.IFNA(MATCH(BA113,Achievements[[#All],[Column1]],0)+10,"")</f>
        <v>#NAME?</v>
      </c>
      <c r="CB113" s="134" t="str">
        <f>_xlfn.IFNA(MATCH(BB113,Achievements[[#All],[Column1]],0)+10,"")</f>
        <v/>
      </c>
      <c r="CC113" s="134" t="str">
        <f>_xlfn.IFNA(MATCH(BC113,Achievements[[#All],[Column110]],0)+10,"")</f>
        <v/>
      </c>
      <c r="CD113" s="134" t="str">
        <f>_xlfn.IFNA(MATCH(BD113,Achievements[[#All],[Column110]],0)+10,"")</f>
        <v/>
      </c>
      <c r="CE113" s="134" t="str">
        <f>_xlfn.IFNA(MATCH(BE113,Achievements[[#All],[Column111]],0)+10,"")</f>
        <v/>
      </c>
      <c r="CF113" s="134" t="str">
        <f>_xlfn.IFNA(MATCH(BF113,Achievements[[#All],[Column111]],0)+10,"")</f>
        <v/>
      </c>
      <c r="CG113" s="134" t="str">
        <f>_xlfn.IFNA(MATCH(BG113,Achievements[[#All],[Column112]],0)+10,"")</f>
        <v/>
      </c>
      <c r="CH113" s="134" t="str">
        <f>_xlfn.IFNA(MATCH(BH113,Achievements[[#All],[Column112]],0)+10,"")</f>
        <v/>
      </c>
      <c r="CI113" s="134" t="str">
        <f>_xlfn.IFNA(MATCH(BI113,Achievements[[#All],[Column113]],0)+10,"")</f>
        <v/>
      </c>
      <c r="CJ113" s="134" t="str">
        <f>_xlfn.IFNA(MATCH(BJ113,Achievements[[#All],[Column113]],0)+10,"")</f>
        <v/>
      </c>
      <c r="CK113" s="134" t="str">
        <f>_xlfn.IFNA(MATCH(BK113,Achievements[[#All],[Column114]],0)+10,"")</f>
        <v/>
      </c>
      <c r="CL113" s="134" t="str">
        <f>_xlfn.IFNA(MATCH(BL113,Achievements[[#All],[Column114]],0)+10,"")</f>
        <v/>
      </c>
      <c r="CM113" s="134" t="str">
        <f>_xlfn.IFNA(MATCH(BM113,Achievements[[#All],[Column115]],0)+10,"")</f>
        <v/>
      </c>
      <c r="CN113" s="134" t="str">
        <f>_xlfn.IFNA(MATCH(BN113,Achievements[[#All],[Column115]],0)+10,"")</f>
        <v/>
      </c>
      <c r="CO113" s="134" t="str">
        <f>_xlfn.IFNA(MATCH(BO113,Achievements[[#All],[Column116]],0)+10,"")</f>
        <v/>
      </c>
      <c r="CP113" s="134" t="str">
        <f>_xlfn.IFNA(MATCH(BP113,Achievements[[#All],[Column116]],0)+10,"")</f>
        <v/>
      </c>
      <c r="CQ113" s="134" t="str">
        <f>_xlfn.IFNA(MATCH(BQ113,Achievements[[#All],[Column117]],0)+10,"")</f>
        <v/>
      </c>
      <c r="CR113" s="134" t="str">
        <f>_xlfn.IFNA(MATCH(BR113,Achievements[[#All],[Column117]],0)+10,"")</f>
        <v/>
      </c>
      <c r="CS113" s="134" t="str">
        <f>_xlfn.IFNA(MATCH(BS113,Achievements[[#All],[Column118]],0)+10,"")</f>
        <v/>
      </c>
      <c r="CT113" s="134" t="str">
        <f>_xlfn.IFNA(MATCH(BT113,Achievements[[#All],[Column118]],0)+10,"")</f>
        <v/>
      </c>
      <c r="CU113" s="134" t="str">
        <f>_xlfn.IFNA(MATCH(BU113,Achievements[[#All],[Column119]],0)+10,"")</f>
        <v/>
      </c>
      <c r="CV113" s="134" t="str">
        <f>_xlfn.IFNA(MATCH(BV113,Achievements[[#All],[Column119]],0)+10,"")</f>
        <v/>
      </c>
      <c r="CW113" s="134" t="str">
        <f>_xlfn.IFNA(MATCH(BW113,Achievements[[#All],[Column120]],0)+10,"")</f>
        <v/>
      </c>
      <c r="CX113" s="134" t="str">
        <f>_xlfn.IFNA(MATCH(BX113,Achievements[[#All],[Column120]],0)+10,"")</f>
        <v/>
      </c>
      <c r="CY113" s="134" t="str">
        <f>_xlfn.IFNA(MATCH(BY113,Achievements[[#All],[Column121]],0)+10,"")</f>
        <v/>
      </c>
      <c r="CZ113" s="118" t="e">
        <f t="shared" ca="1" si="3"/>
        <v>#NAME?</v>
      </c>
    </row>
    <row r="114" spans="1:104" x14ac:dyDescent="0.25">
      <c r="A114" t="e" cm="1">
        <f t="array" aca="1" ref="A114" ca="1">SplitValues("; ",#REF!)</f>
        <v>#NAME?</v>
      </c>
      <c r="AA114" t="e">
        <f ca="1">_xlfn.IFNA(MATCH(A114,Achievements[[#All],[Column1]],0)+11,"")</f>
        <v>#NAME?</v>
      </c>
      <c r="AB114" s="134" t="str">
        <f>_xlfn.IFNA(MATCH(B114,Achievements[[#All],[Column1]],0)+10,"")</f>
        <v/>
      </c>
      <c r="AC114" s="134" t="str">
        <f>_xlfn.IFNA(MATCH(C114,Achievements[[#All],[Column1]],0)+10,"")</f>
        <v/>
      </c>
      <c r="AD114" s="134" t="str">
        <f>_xlfn.IFNA(MATCH(D114,Achievements[[#All],[Column110]],0)+10,"")</f>
        <v/>
      </c>
      <c r="AE114" s="134" t="str">
        <f>_xlfn.IFNA(MATCH(E114,Achievements[[#All],[Column110]],0)+10,"")</f>
        <v/>
      </c>
      <c r="AF114" s="134" t="str">
        <f>_xlfn.IFNA(MATCH(F114,Achievements[[#All],[Column111]],0)+10,"")</f>
        <v/>
      </c>
      <c r="AG114" s="134" t="str">
        <f>_xlfn.IFNA(MATCH(G114,Achievements[[#All],[Column111]],0)+10,"")</f>
        <v/>
      </c>
      <c r="AH114" s="134" t="str">
        <f>_xlfn.IFNA(MATCH(H114,Achievements[[#All],[Column112]],0)+10,"")</f>
        <v/>
      </c>
      <c r="AI114" s="134" t="str">
        <f>_xlfn.IFNA(MATCH(I114,Achievements[[#All],[Column112]],0)+10,"")</f>
        <v/>
      </c>
      <c r="AJ114" s="134" t="str">
        <f>_xlfn.IFNA(MATCH(J114,Achievements[[#All],[Column113]],0)+10,"")</f>
        <v/>
      </c>
      <c r="AK114" s="134" t="str">
        <f>_xlfn.IFNA(MATCH(K114,Achievements[[#All],[Column113]],0)+10,"")</f>
        <v/>
      </c>
      <c r="AL114" s="134" t="str">
        <f>_xlfn.IFNA(MATCH(L114,Achievements[[#All],[Column114]],0)+10,"")</f>
        <v/>
      </c>
      <c r="AM114" s="134" t="str">
        <f>_xlfn.IFNA(MATCH(M114,Achievements[[#All],[Column114]],0)+10,"")</f>
        <v/>
      </c>
      <c r="AN114" s="134" t="str">
        <f>_xlfn.IFNA(MATCH(N114,Achievements[[#All],[Column115]],0)+10,"")</f>
        <v/>
      </c>
      <c r="AO114" s="134" t="str">
        <f>_xlfn.IFNA(MATCH(O114,Achievements[[#All],[Column115]],0)+10,"")</f>
        <v/>
      </c>
      <c r="AP114" s="134" t="str">
        <f>_xlfn.IFNA(MATCH(P114,Achievements[[#All],[Column116]],0)+10,"")</f>
        <v/>
      </c>
      <c r="AQ114" s="134" t="str">
        <f>_xlfn.IFNA(MATCH(Q114,Achievements[[#All],[Column116]],0)+10,"")</f>
        <v/>
      </c>
      <c r="AR114" s="134" t="str">
        <f>_xlfn.IFNA(MATCH(R114,Achievements[[#All],[Column117]],0)+10,"")</f>
        <v/>
      </c>
      <c r="AS114" s="134" t="str">
        <f>_xlfn.IFNA(MATCH(S114,Achievements[[#All],[Column117]],0)+10,"")</f>
        <v/>
      </c>
      <c r="AT114" s="134" t="str">
        <f>_xlfn.IFNA(MATCH(T114,Achievements[[#All],[Column118]],0)+10,"")</f>
        <v/>
      </c>
      <c r="AU114" s="134" t="str">
        <f>_xlfn.IFNA(MATCH(U114,Achievements[[#All],[Column118]],0)+10,"")</f>
        <v/>
      </c>
      <c r="AV114" s="134" t="str">
        <f>_xlfn.IFNA(MATCH(V114,Achievements[[#All],[Column119]],0)+10,"")</f>
        <v/>
      </c>
      <c r="AW114" s="134" t="str">
        <f>_xlfn.IFNA(MATCH(W114,Achievements[[#All],[Column119]],0)+10,"")</f>
        <v/>
      </c>
      <c r="AX114" s="134" t="str">
        <f>_xlfn.IFNA(MATCH(X114,Achievements[[#All],[Column120]],0)+10,"")</f>
        <v/>
      </c>
      <c r="AY114" s="134" t="str">
        <f>_xlfn.IFNA(MATCH(Y114,Achievements[[#All],[Column120]],0)+10,"")</f>
        <v/>
      </c>
      <c r="AZ114" s="116" t="e">
        <f t="shared" ca="1" si="2"/>
        <v>#NAME?</v>
      </c>
      <c r="BA114" s="134" t="e" cm="1">
        <f t="array" aca="1" ref="BA114" ca="1">SplitValues("; ",Persons[[#This Row],[Column1]])</f>
        <v>#NAME?</v>
      </c>
      <c r="CA114" s="134" t="e">
        <f ca="1">_xlfn.IFNA(MATCH(BA114,Achievements[[#All],[Column1]],0)+10,"")</f>
        <v>#NAME?</v>
      </c>
      <c r="CB114" s="134" t="str">
        <f>_xlfn.IFNA(MATCH(BB114,Achievements[[#All],[Column1]],0)+10,"")</f>
        <v/>
      </c>
      <c r="CC114" s="134" t="str">
        <f>_xlfn.IFNA(MATCH(BC114,Achievements[[#All],[Column110]],0)+10,"")</f>
        <v/>
      </c>
      <c r="CD114" s="134" t="str">
        <f>_xlfn.IFNA(MATCH(BD114,Achievements[[#All],[Column110]],0)+10,"")</f>
        <v/>
      </c>
      <c r="CE114" s="134" t="str">
        <f>_xlfn.IFNA(MATCH(BE114,Achievements[[#All],[Column111]],0)+10,"")</f>
        <v/>
      </c>
      <c r="CF114" s="134" t="str">
        <f>_xlfn.IFNA(MATCH(BF114,Achievements[[#All],[Column111]],0)+10,"")</f>
        <v/>
      </c>
      <c r="CG114" s="134" t="str">
        <f>_xlfn.IFNA(MATCH(BG114,Achievements[[#All],[Column112]],0)+10,"")</f>
        <v/>
      </c>
      <c r="CH114" s="134" t="str">
        <f>_xlfn.IFNA(MATCH(BH114,Achievements[[#All],[Column112]],0)+10,"")</f>
        <v/>
      </c>
      <c r="CI114" s="134" t="str">
        <f>_xlfn.IFNA(MATCH(BI114,Achievements[[#All],[Column113]],0)+10,"")</f>
        <v/>
      </c>
      <c r="CJ114" s="134" t="str">
        <f>_xlfn.IFNA(MATCH(BJ114,Achievements[[#All],[Column113]],0)+10,"")</f>
        <v/>
      </c>
      <c r="CK114" s="134" t="str">
        <f>_xlfn.IFNA(MATCH(BK114,Achievements[[#All],[Column114]],0)+10,"")</f>
        <v/>
      </c>
      <c r="CL114" s="134" t="str">
        <f>_xlfn.IFNA(MATCH(BL114,Achievements[[#All],[Column114]],0)+10,"")</f>
        <v/>
      </c>
      <c r="CM114" s="134" t="str">
        <f>_xlfn.IFNA(MATCH(BM114,Achievements[[#All],[Column115]],0)+10,"")</f>
        <v/>
      </c>
      <c r="CN114" s="134" t="str">
        <f>_xlfn.IFNA(MATCH(BN114,Achievements[[#All],[Column115]],0)+10,"")</f>
        <v/>
      </c>
      <c r="CO114" s="134" t="str">
        <f>_xlfn.IFNA(MATCH(BO114,Achievements[[#All],[Column116]],0)+10,"")</f>
        <v/>
      </c>
      <c r="CP114" s="134" t="str">
        <f>_xlfn.IFNA(MATCH(BP114,Achievements[[#All],[Column116]],0)+10,"")</f>
        <v/>
      </c>
      <c r="CQ114" s="134" t="str">
        <f>_xlfn.IFNA(MATCH(BQ114,Achievements[[#All],[Column117]],0)+10,"")</f>
        <v/>
      </c>
      <c r="CR114" s="134" t="str">
        <f>_xlfn.IFNA(MATCH(BR114,Achievements[[#All],[Column117]],0)+10,"")</f>
        <v/>
      </c>
      <c r="CS114" s="134" t="str">
        <f>_xlfn.IFNA(MATCH(BS114,Achievements[[#All],[Column118]],0)+10,"")</f>
        <v/>
      </c>
      <c r="CT114" s="134" t="str">
        <f>_xlfn.IFNA(MATCH(BT114,Achievements[[#All],[Column118]],0)+10,"")</f>
        <v/>
      </c>
      <c r="CU114" s="134" t="str">
        <f>_xlfn.IFNA(MATCH(BU114,Achievements[[#All],[Column119]],0)+10,"")</f>
        <v/>
      </c>
      <c r="CV114" s="134" t="str">
        <f>_xlfn.IFNA(MATCH(BV114,Achievements[[#All],[Column119]],0)+10,"")</f>
        <v/>
      </c>
      <c r="CW114" s="134" t="str">
        <f>_xlfn.IFNA(MATCH(BW114,Achievements[[#All],[Column120]],0)+10,"")</f>
        <v/>
      </c>
      <c r="CX114" s="134" t="str">
        <f>_xlfn.IFNA(MATCH(BX114,Achievements[[#All],[Column120]],0)+10,"")</f>
        <v/>
      </c>
      <c r="CY114" s="134" t="str">
        <f>_xlfn.IFNA(MATCH(BY114,Achievements[[#All],[Column121]],0)+10,"")</f>
        <v/>
      </c>
      <c r="CZ114" s="118" t="e">
        <f t="shared" ca="1" si="3"/>
        <v>#NAME?</v>
      </c>
    </row>
    <row r="115" spans="1:104" x14ac:dyDescent="0.25">
      <c r="A115" t="e" cm="1">
        <f t="array" aca="1" ref="A115" ca="1">SplitValues("; ",#REF!)</f>
        <v>#NAME?</v>
      </c>
      <c r="AA115" t="e">
        <f ca="1">_xlfn.IFNA(MATCH(A115,Achievements[[#All],[Column1]],0)+11,"")</f>
        <v>#NAME?</v>
      </c>
      <c r="AB115" s="134" t="str">
        <f>_xlfn.IFNA(MATCH(B115,Achievements[[#All],[Column1]],0)+10,"")</f>
        <v/>
      </c>
      <c r="AC115" s="134" t="str">
        <f>_xlfn.IFNA(MATCH(C115,Achievements[[#All],[Column1]],0)+10,"")</f>
        <v/>
      </c>
      <c r="AD115" s="134" t="str">
        <f>_xlfn.IFNA(MATCH(D115,Achievements[[#All],[Column110]],0)+10,"")</f>
        <v/>
      </c>
      <c r="AE115" s="134" t="str">
        <f>_xlfn.IFNA(MATCH(E115,Achievements[[#All],[Column110]],0)+10,"")</f>
        <v/>
      </c>
      <c r="AF115" s="134" t="str">
        <f>_xlfn.IFNA(MATCH(F115,Achievements[[#All],[Column111]],0)+10,"")</f>
        <v/>
      </c>
      <c r="AG115" s="134" t="str">
        <f>_xlfn.IFNA(MATCH(G115,Achievements[[#All],[Column111]],0)+10,"")</f>
        <v/>
      </c>
      <c r="AH115" s="134" t="str">
        <f>_xlfn.IFNA(MATCH(H115,Achievements[[#All],[Column112]],0)+10,"")</f>
        <v/>
      </c>
      <c r="AI115" s="134" t="str">
        <f>_xlfn.IFNA(MATCH(I115,Achievements[[#All],[Column112]],0)+10,"")</f>
        <v/>
      </c>
      <c r="AJ115" s="134" t="str">
        <f>_xlfn.IFNA(MATCH(J115,Achievements[[#All],[Column113]],0)+10,"")</f>
        <v/>
      </c>
      <c r="AK115" s="134" t="str">
        <f>_xlfn.IFNA(MATCH(K115,Achievements[[#All],[Column113]],0)+10,"")</f>
        <v/>
      </c>
      <c r="AL115" s="134" t="str">
        <f>_xlfn.IFNA(MATCH(L115,Achievements[[#All],[Column114]],0)+10,"")</f>
        <v/>
      </c>
      <c r="AM115" s="134" t="str">
        <f>_xlfn.IFNA(MATCH(M115,Achievements[[#All],[Column114]],0)+10,"")</f>
        <v/>
      </c>
      <c r="AN115" s="134" t="str">
        <f>_xlfn.IFNA(MATCH(N115,Achievements[[#All],[Column115]],0)+10,"")</f>
        <v/>
      </c>
      <c r="AO115" s="134" t="str">
        <f>_xlfn.IFNA(MATCH(O115,Achievements[[#All],[Column115]],0)+10,"")</f>
        <v/>
      </c>
      <c r="AP115" s="134" t="str">
        <f>_xlfn.IFNA(MATCH(P115,Achievements[[#All],[Column116]],0)+10,"")</f>
        <v/>
      </c>
      <c r="AQ115" s="134" t="str">
        <f>_xlfn.IFNA(MATCH(Q115,Achievements[[#All],[Column116]],0)+10,"")</f>
        <v/>
      </c>
      <c r="AR115" s="134" t="str">
        <f>_xlfn.IFNA(MATCH(R115,Achievements[[#All],[Column117]],0)+10,"")</f>
        <v/>
      </c>
      <c r="AS115" s="134" t="str">
        <f>_xlfn.IFNA(MATCH(S115,Achievements[[#All],[Column117]],0)+10,"")</f>
        <v/>
      </c>
      <c r="AT115" s="134" t="str">
        <f>_xlfn.IFNA(MATCH(T115,Achievements[[#All],[Column118]],0)+10,"")</f>
        <v/>
      </c>
      <c r="AU115" s="134" t="str">
        <f>_xlfn.IFNA(MATCH(U115,Achievements[[#All],[Column118]],0)+10,"")</f>
        <v/>
      </c>
      <c r="AV115" s="134" t="str">
        <f>_xlfn.IFNA(MATCH(V115,Achievements[[#All],[Column119]],0)+10,"")</f>
        <v/>
      </c>
      <c r="AW115" s="134" t="str">
        <f>_xlfn.IFNA(MATCH(W115,Achievements[[#All],[Column119]],0)+10,"")</f>
        <v/>
      </c>
      <c r="AX115" s="134" t="str">
        <f>_xlfn.IFNA(MATCH(X115,Achievements[[#All],[Column120]],0)+10,"")</f>
        <v/>
      </c>
      <c r="AY115" s="134" t="str">
        <f>_xlfn.IFNA(MATCH(Y115,Achievements[[#All],[Column120]],0)+10,"")</f>
        <v/>
      </c>
      <c r="AZ115" s="116" t="e">
        <f t="shared" ca="1" si="2"/>
        <v>#NAME?</v>
      </c>
      <c r="BA115" s="134" t="e" cm="1">
        <f t="array" aca="1" ref="BA115" ca="1">SplitValues("; ",Persons[[#This Row],[Column1]])</f>
        <v>#NAME?</v>
      </c>
      <c r="CA115" s="134" t="e">
        <f ca="1">_xlfn.IFNA(MATCH(BA115,Achievements[[#All],[Column1]],0)+10,"")</f>
        <v>#NAME?</v>
      </c>
      <c r="CB115" s="134" t="str">
        <f>_xlfn.IFNA(MATCH(BB115,Achievements[[#All],[Column1]],0)+10,"")</f>
        <v/>
      </c>
      <c r="CC115" s="134" t="str">
        <f>_xlfn.IFNA(MATCH(BC115,Achievements[[#All],[Column110]],0)+10,"")</f>
        <v/>
      </c>
      <c r="CD115" s="134" t="str">
        <f>_xlfn.IFNA(MATCH(BD115,Achievements[[#All],[Column110]],0)+10,"")</f>
        <v/>
      </c>
      <c r="CE115" s="134" t="str">
        <f>_xlfn.IFNA(MATCH(BE115,Achievements[[#All],[Column111]],0)+10,"")</f>
        <v/>
      </c>
      <c r="CF115" s="134" t="str">
        <f>_xlfn.IFNA(MATCH(BF115,Achievements[[#All],[Column111]],0)+10,"")</f>
        <v/>
      </c>
      <c r="CG115" s="134" t="str">
        <f>_xlfn.IFNA(MATCH(BG115,Achievements[[#All],[Column112]],0)+10,"")</f>
        <v/>
      </c>
      <c r="CH115" s="134" t="str">
        <f>_xlfn.IFNA(MATCH(BH115,Achievements[[#All],[Column112]],0)+10,"")</f>
        <v/>
      </c>
      <c r="CI115" s="134" t="str">
        <f>_xlfn.IFNA(MATCH(BI115,Achievements[[#All],[Column113]],0)+10,"")</f>
        <v/>
      </c>
      <c r="CJ115" s="134" t="str">
        <f>_xlfn.IFNA(MATCH(BJ115,Achievements[[#All],[Column113]],0)+10,"")</f>
        <v/>
      </c>
      <c r="CK115" s="134" t="str">
        <f>_xlfn.IFNA(MATCH(BK115,Achievements[[#All],[Column114]],0)+10,"")</f>
        <v/>
      </c>
      <c r="CL115" s="134" t="str">
        <f>_xlfn.IFNA(MATCH(BL115,Achievements[[#All],[Column114]],0)+10,"")</f>
        <v/>
      </c>
      <c r="CM115" s="134" t="str">
        <f>_xlfn.IFNA(MATCH(BM115,Achievements[[#All],[Column115]],0)+10,"")</f>
        <v/>
      </c>
      <c r="CN115" s="134" t="str">
        <f>_xlfn.IFNA(MATCH(BN115,Achievements[[#All],[Column115]],0)+10,"")</f>
        <v/>
      </c>
      <c r="CO115" s="134" t="str">
        <f>_xlfn.IFNA(MATCH(BO115,Achievements[[#All],[Column116]],0)+10,"")</f>
        <v/>
      </c>
      <c r="CP115" s="134" t="str">
        <f>_xlfn.IFNA(MATCH(BP115,Achievements[[#All],[Column116]],0)+10,"")</f>
        <v/>
      </c>
      <c r="CQ115" s="134" t="str">
        <f>_xlfn.IFNA(MATCH(BQ115,Achievements[[#All],[Column117]],0)+10,"")</f>
        <v/>
      </c>
      <c r="CR115" s="134" t="str">
        <f>_xlfn.IFNA(MATCH(BR115,Achievements[[#All],[Column117]],0)+10,"")</f>
        <v/>
      </c>
      <c r="CS115" s="134" t="str">
        <f>_xlfn.IFNA(MATCH(BS115,Achievements[[#All],[Column118]],0)+10,"")</f>
        <v/>
      </c>
      <c r="CT115" s="134" t="str">
        <f>_xlfn.IFNA(MATCH(BT115,Achievements[[#All],[Column118]],0)+10,"")</f>
        <v/>
      </c>
      <c r="CU115" s="134" t="str">
        <f>_xlfn.IFNA(MATCH(BU115,Achievements[[#All],[Column119]],0)+10,"")</f>
        <v/>
      </c>
      <c r="CV115" s="134" t="str">
        <f>_xlfn.IFNA(MATCH(BV115,Achievements[[#All],[Column119]],0)+10,"")</f>
        <v/>
      </c>
      <c r="CW115" s="134" t="str">
        <f>_xlfn.IFNA(MATCH(BW115,Achievements[[#All],[Column120]],0)+10,"")</f>
        <v/>
      </c>
      <c r="CX115" s="134" t="str">
        <f>_xlfn.IFNA(MATCH(BX115,Achievements[[#All],[Column120]],0)+10,"")</f>
        <v/>
      </c>
      <c r="CY115" s="134" t="str">
        <f>_xlfn.IFNA(MATCH(BY115,Achievements[[#All],[Column121]],0)+10,"")</f>
        <v/>
      </c>
      <c r="CZ115" s="118" t="e">
        <f t="shared" ca="1" si="3"/>
        <v>#NAME?</v>
      </c>
    </row>
    <row r="116" spans="1:104" x14ac:dyDescent="0.25">
      <c r="A116" t="e" cm="1">
        <f t="array" aca="1" ref="A116" ca="1">SplitValues("; ",#REF!)</f>
        <v>#NAME?</v>
      </c>
      <c r="AA116" t="e">
        <f ca="1">_xlfn.IFNA(MATCH(A116,Achievements[[#All],[Column1]],0)+11,"")</f>
        <v>#NAME?</v>
      </c>
      <c r="AB116" s="134" t="str">
        <f>_xlfn.IFNA(MATCH(B116,Achievements[[#All],[Column1]],0)+10,"")</f>
        <v/>
      </c>
      <c r="AC116" s="134" t="str">
        <f>_xlfn.IFNA(MATCH(C116,Achievements[[#All],[Column1]],0)+10,"")</f>
        <v/>
      </c>
      <c r="AD116" s="134" t="str">
        <f>_xlfn.IFNA(MATCH(D116,Achievements[[#All],[Column110]],0)+10,"")</f>
        <v/>
      </c>
      <c r="AE116" s="134" t="str">
        <f>_xlfn.IFNA(MATCH(E116,Achievements[[#All],[Column110]],0)+10,"")</f>
        <v/>
      </c>
      <c r="AF116" s="134" t="str">
        <f>_xlfn.IFNA(MATCH(F116,Achievements[[#All],[Column111]],0)+10,"")</f>
        <v/>
      </c>
      <c r="AG116" s="134" t="str">
        <f>_xlfn.IFNA(MATCH(G116,Achievements[[#All],[Column111]],0)+10,"")</f>
        <v/>
      </c>
      <c r="AH116" s="134" t="str">
        <f>_xlfn.IFNA(MATCH(H116,Achievements[[#All],[Column112]],0)+10,"")</f>
        <v/>
      </c>
      <c r="AI116" s="134" t="str">
        <f>_xlfn.IFNA(MATCH(I116,Achievements[[#All],[Column112]],0)+10,"")</f>
        <v/>
      </c>
      <c r="AJ116" s="134" t="str">
        <f>_xlfn.IFNA(MATCH(J116,Achievements[[#All],[Column113]],0)+10,"")</f>
        <v/>
      </c>
      <c r="AK116" s="134" t="str">
        <f>_xlfn.IFNA(MATCH(K116,Achievements[[#All],[Column113]],0)+10,"")</f>
        <v/>
      </c>
      <c r="AL116" s="134" t="str">
        <f>_xlfn.IFNA(MATCH(L116,Achievements[[#All],[Column114]],0)+10,"")</f>
        <v/>
      </c>
      <c r="AM116" s="134" t="str">
        <f>_xlfn.IFNA(MATCH(M116,Achievements[[#All],[Column114]],0)+10,"")</f>
        <v/>
      </c>
      <c r="AN116" s="134" t="str">
        <f>_xlfn.IFNA(MATCH(N116,Achievements[[#All],[Column115]],0)+10,"")</f>
        <v/>
      </c>
      <c r="AO116" s="134" t="str">
        <f>_xlfn.IFNA(MATCH(O116,Achievements[[#All],[Column115]],0)+10,"")</f>
        <v/>
      </c>
      <c r="AP116" s="134" t="str">
        <f>_xlfn.IFNA(MATCH(P116,Achievements[[#All],[Column116]],0)+10,"")</f>
        <v/>
      </c>
      <c r="AQ116" s="134" t="str">
        <f>_xlfn.IFNA(MATCH(Q116,Achievements[[#All],[Column116]],0)+10,"")</f>
        <v/>
      </c>
      <c r="AR116" s="134" t="str">
        <f>_xlfn.IFNA(MATCH(R116,Achievements[[#All],[Column117]],0)+10,"")</f>
        <v/>
      </c>
      <c r="AS116" s="134" t="str">
        <f>_xlfn.IFNA(MATCH(S116,Achievements[[#All],[Column117]],0)+10,"")</f>
        <v/>
      </c>
      <c r="AT116" s="134" t="str">
        <f>_xlfn.IFNA(MATCH(T116,Achievements[[#All],[Column118]],0)+10,"")</f>
        <v/>
      </c>
      <c r="AU116" s="134" t="str">
        <f>_xlfn.IFNA(MATCH(U116,Achievements[[#All],[Column118]],0)+10,"")</f>
        <v/>
      </c>
      <c r="AV116" s="134" t="str">
        <f>_xlfn.IFNA(MATCH(V116,Achievements[[#All],[Column119]],0)+10,"")</f>
        <v/>
      </c>
      <c r="AW116" s="134" t="str">
        <f>_xlfn.IFNA(MATCH(W116,Achievements[[#All],[Column119]],0)+10,"")</f>
        <v/>
      </c>
      <c r="AX116" s="134" t="str">
        <f>_xlfn.IFNA(MATCH(X116,Achievements[[#All],[Column120]],0)+10,"")</f>
        <v/>
      </c>
      <c r="AY116" s="134" t="str">
        <f>_xlfn.IFNA(MATCH(Y116,Achievements[[#All],[Column120]],0)+10,"")</f>
        <v/>
      </c>
      <c r="AZ116" s="116" t="e">
        <f t="shared" ca="1" si="2"/>
        <v>#NAME?</v>
      </c>
      <c r="BA116" s="134" t="e" cm="1">
        <f t="array" aca="1" ref="BA116" ca="1">SplitValues("; ",Persons[[#This Row],[Column1]])</f>
        <v>#NAME?</v>
      </c>
      <c r="CA116" s="134" t="e">
        <f ca="1">_xlfn.IFNA(MATCH(BA116,Achievements[[#All],[Column1]],0)+10,"")</f>
        <v>#NAME?</v>
      </c>
      <c r="CB116" s="134" t="str">
        <f>_xlfn.IFNA(MATCH(BB116,Achievements[[#All],[Column1]],0)+10,"")</f>
        <v/>
      </c>
      <c r="CC116" s="134" t="str">
        <f>_xlfn.IFNA(MATCH(BC116,Achievements[[#All],[Column110]],0)+10,"")</f>
        <v/>
      </c>
      <c r="CD116" s="134" t="str">
        <f>_xlfn.IFNA(MATCH(BD116,Achievements[[#All],[Column110]],0)+10,"")</f>
        <v/>
      </c>
      <c r="CE116" s="134" t="str">
        <f>_xlfn.IFNA(MATCH(BE116,Achievements[[#All],[Column111]],0)+10,"")</f>
        <v/>
      </c>
      <c r="CF116" s="134" t="str">
        <f>_xlfn.IFNA(MATCH(BF116,Achievements[[#All],[Column111]],0)+10,"")</f>
        <v/>
      </c>
      <c r="CG116" s="134" t="str">
        <f>_xlfn.IFNA(MATCH(BG116,Achievements[[#All],[Column112]],0)+10,"")</f>
        <v/>
      </c>
      <c r="CH116" s="134" t="str">
        <f>_xlfn.IFNA(MATCH(BH116,Achievements[[#All],[Column112]],0)+10,"")</f>
        <v/>
      </c>
      <c r="CI116" s="134" t="str">
        <f>_xlfn.IFNA(MATCH(BI116,Achievements[[#All],[Column113]],0)+10,"")</f>
        <v/>
      </c>
      <c r="CJ116" s="134" t="str">
        <f>_xlfn.IFNA(MATCH(BJ116,Achievements[[#All],[Column113]],0)+10,"")</f>
        <v/>
      </c>
      <c r="CK116" s="134" t="str">
        <f>_xlfn.IFNA(MATCH(BK116,Achievements[[#All],[Column114]],0)+10,"")</f>
        <v/>
      </c>
      <c r="CL116" s="134" t="str">
        <f>_xlfn.IFNA(MATCH(BL116,Achievements[[#All],[Column114]],0)+10,"")</f>
        <v/>
      </c>
      <c r="CM116" s="134" t="str">
        <f>_xlfn.IFNA(MATCH(BM116,Achievements[[#All],[Column115]],0)+10,"")</f>
        <v/>
      </c>
      <c r="CN116" s="134" t="str">
        <f>_xlfn.IFNA(MATCH(BN116,Achievements[[#All],[Column115]],0)+10,"")</f>
        <v/>
      </c>
      <c r="CO116" s="134" t="str">
        <f>_xlfn.IFNA(MATCH(BO116,Achievements[[#All],[Column116]],0)+10,"")</f>
        <v/>
      </c>
      <c r="CP116" s="134" t="str">
        <f>_xlfn.IFNA(MATCH(BP116,Achievements[[#All],[Column116]],0)+10,"")</f>
        <v/>
      </c>
      <c r="CQ116" s="134" t="str">
        <f>_xlfn.IFNA(MATCH(BQ116,Achievements[[#All],[Column117]],0)+10,"")</f>
        <v/>
      </c>
      <c r="CR116" s="134" t="str">
        <f>_xlfn.IFNA(MATCH(BR116,Achievements[[#All],[Column117]],0)+10,"")</f>
        <v/>
      </c>
      <c r="CS116" s="134" t="str">
        <f>_xlfn.IFNA(MATCH(BS116,Achievements[[#All],[Column118]],0)+10,"")</f>
        <v/>
      </c>
      <c r="CT116" s="134" t="str">
        <f>_xlfn.IFNA(MATCH(BT116,Achievements[[#All],[Column118]],0)+10,"")</f>
        <v/>
      </c>
      <c r="CU116" s="134" t="str">
        <f>_xlfn.IFNA(MATCH(BU116,Achievements[[#All],[Column119]],0)+10,"")</f>
        <v/>
      </c>
      <c r="CV116" s="134" t="str">
        <f>_xlfn.IFNA(MATCH(BV116,Achievements[[#All],[Column119]],0)+10,"")</f>
        <v/>
      </c>
      <c r="CW116" s="134" t="str">
        <f>_xlfn.IFNA(MATCH(BW116,Achievements[[#All],[Column120]],0)+10,"")</f>
        <v/>
      </c>
      <c r="CX116" s="134" t="str">
        <f>_xlfn.IFNA(MATCH(BX116,Achievements[[#All],[Column120]],0)+10,"")</f>
        <v/>
      </c>
      <c r="CY116" s="134" t="str">
        <f>_xlfn.IFNA(MATCH(BY116,Achievements[[#All],[Column121]],0)+10,"")</f>
        <v/>
      </c>
      <c r="CZ116" s="118" t="e">
        <f t="shared" ca="1" si="3"/>
        <v>#NAME?</v>
      </c>
    </row>
    <row r="117" spans="1:104" x14ac:dyDescent="0.25">
      <c r="A117" t="e" cm="1">
        <f t="array" aca="1" ref="A117" ca="1">SplitValues("; ",#REF!)</f>
        <v>#NAME?</v>
      </c>
      <c r="AA117" t="e">
        <f ca="1">_xlfn.IFNA(MATCH(A117,Achievements[[#All],[Column1]],0)+11,"")</f>
        <v>#NAME?</v>
      </c>
      <c r="AB117" s="134" t="str">
        <f>_xlfn.IFNA(MATCH(B117,Achievements[[#All],[Column1]],0)+10,"")</f>
        <v/>
      </c>
      <c r="AC117" s="134" t="str">
        <f>_xlfn.IFNA(MATCH(C117,Achievements[[#All],[Column1]],0)+10,"")</f>
        <v/>
      </c>
      <c r="AD117" s="134" t="str">
        <f>_xlfn.IFNA(MATCH(D117,Achievements[[#All],[Column110]],0)+10,"")</f>
        <v/>
      </c>
      <c r="AE117" s="134" t="str">
        <f>_xlfn.IFNA(MATCH(E117,Achievements[[#All],[Column110]],0)+10,"")</f>
        <v/>
      </c>
      <c r="AF117" s="134" t="str">
        <f>_xlfn.IFNA(MATCH(F117,Achievements[[#All],[Column111]],0)+10,"")</f>
        <v/>
      </c>
      <c r="AG117" s="134" t="str">
        <f>_xlfn.IFNA(MATCH(G117,Achievements[[#All],[Column111]],0)+10,"")</f>
        <v/>
      </c>
      <c r="AH117" s="134" t="str">
        <f>_xlfn.IFNA(MATCH(H117,Achievements[[#All],[Column112]],0)+10,"")</f>
        <v/>
      </c>
      <c r="AI117" s="134" t="str">
        <f>_xlfn.IFNA(MATCH(I117,Achievements[[#All],[Column112]],0)+10,"")</f>
        <v/>
      </c>
      <c r="AJ117" s="134" t="str">
        <f>_xlfn.IFNA(MATCH(J117,Achievements[[#All],[Column113]],0)+10,"")</f>
        <v/>
      </c>
      <c r="AK117" s="134" t="str">
        <f>_xlfn.IFNA(MATCH(K117,Achievements[[#All],[Column113]],0)+10,"")</f>
        <v/>
      </c>
      <c r="AL117" s="134" t="str">
        <f>_xlfn.IFNA(MATCH(L117,Achievements[[#All],[Column114]],0)+10,"")</f>
        <v/>
      </c>
      <c r="AM117" s="134" t="str">
        <f>_xlfn.IFNA(MATCH(M117,Achievements[[#All],[Column114]],0)+10,"")</f>
        <v/>
      </c>
      <c r="AN117" s="134" t="str">
        <f>_xlfn.IFNA(MATCH(N117,Achievements[[#All],[Column115]],0)+10,"")</f>
        <v/>
      </c>
      <c r="AO117" s="134" t="str">
        <f>_xlfn.IFNA(MATCH(O117,Achievements[[#All],[Column115]],0)+10,"")</f>
        <v/>
      </c>
      <c r="AP117" s="134" t="str">
        <f>_xlfn.IFNA(MATCH(P117,Achievements[[#All],[Column116]],0)+10,"")</f>
        <v/>
      </c>
      <c r="AQ117" s="134" t="str">
        <f>_xlfn.IFNA(MATCH(Q117,Achievements[[#All],[Column116]],0)+10,"")</f>
        <v/>
      </c>
      <c r="AR117" s="134" t="str">
        <f>_xlfn.IFNA(MATCH(R117,Achievements[[#All],[Column117]],0)+10,"")</f>
        <v/>
      </c>
      <c r="AS117" s="134" t="str">
        <f>_xlfn.IFNA(MATCH(S117,Achievements[[#All],[Column117]],0)+10,"")</f>
        <v/>
      </c>
      <c r="AT117" s="134" t="str">
        <f>_xlfn.IFNA(MATCH(T117,Achievements[[#All],[Column118]],0)+10,"")</f>
        <v/>
      </c>
      <c r="AU117" s="134" t="str">
        <f>_xlfn.IFNA(MATCH(U117,Achievements[[#All],[Column118]],0)+10,"")</f>
        <v/>
      </c>
      <c r="AV117" s="134" t="str">
        <f>_xlfn.IFNA(MATCH(V117,Achievements[[#All],[Column119]],0)+10,"")</f>
        <v/>
      </c>
      <c r="AW117" s="134" t="str">
        <f>_xlfn.IFNA(MATCH(W117,Achievements[[#All],[Column119]],0)+10,"")</f>
        <v/>
      </c>
      <c r="AX117" s="134" t="str">
        <f>_xlfn.IFNA(MATCH(X117,Achievements[[#All],[Column120]],0)+10,"")</f>
        <v/>
      </c>
      <c r="AY117" s="134" t="str">
        <f>_xlfn.IFNA(MATCH(Y117,Achievements[[#All],[Column120]],0)+10,"")</f>
        <v/>
      </c>
      <c r="AZ117" s="116" t="e">
        <f t="shared" ca="1" si="2"/>
        <v>#NAME?</v>
      </c>
      <c r="BA117" s="134" t="e" cm="1">
        <f t="array" aca="1" ref="BA117" ca="1">SplitValues("; ",Persons[[#This Row],[Column1]])</f>
        <v>#NAME?</v>
      </c>
      <c r="CA117" s="134" t="e">
        <f ca="1">_xlfn.IFNA(MATCH(BA117,Achievements[[#All],[Column1]],0)+10,"")</f>
        <v>#NAME?</v>
      </c>
      <c r="CB117" s="134" t="str">
        <f>_xlfn.IFNA(MATCH(BB117,Achievements[[#All],[Column1]],0)+10,"")</f>
        <v/>
      </c>
      <c r="CC117" s="134" t="str">
        <f>_xlfn.IFNA(MATCH(BC117,Achievements[[#All],[Column110]],0)+10,"")</f>
        <v/>
      </c>
      <c r="CD117" s="134" t="str">
        <f>_xlfn.IFNA(MATCH(BD117,Achievements[[#All],[Column110]],0)+10,"")</f>
        <v/>
      </c>
      <c r="CE117" s="134" t="str">
        <f>_xlfn.IFNA(MATCH(BE117,Achievements[[#All],[Column111]],0)+10,"")</f>
        <v/>
      </c>
      <c r="CF117" s="134" t="str">
        <f>_xlfn.IFNA(MATCH(BF117,Achievements[[#All],[Column111]],0)+10,"")</f>
        <v/>
      </c>
      <c r="CG117" s="134" t="str">
        <f>_xlfn.IFNA(MATCH(BG117,Achievements[[#All],[Column112]],0)+10,"")</f>
        <v/>
      </c>
      <c r="CH117" s="134" t="str">
        <f>_xlfn.IFNA(MATCH(BH117,Achievements[[#All],[Column112]],0)+10,"")</f>
        <v/>
      </c>
      <c r="CI117" s="134" t="str">
        <f>_xlfn.IFNA(MATCH(BI117,Achievements[[#All],[Column113]],0)+10,"")</f>
        <v/>
      </c>
      <c r="CJ117" s="134" t="str">
        <f>_xlfn.IFNA(MATCH(BJ117,Achievements[[#All],[Column113]],0)+10,"")</f>
        <v/>
      </c>
      <c r="CK117" s="134" t="str">
        <f>_xlfn.IFNA(MATCH(BK117,Achievements[[#All],[Column114]],0)+10,"")</f>
        <v/>
      </c>
      <c r="CL117" s="134" t="str">
        <f>_xlfn.IFNA(MATCH(BL117,Achievements[[#All],[Column114]],0)+10,"")</f>
        <v/>
      </c>
      <c r="CM117" s="134" t="str">
        <f>_xlfn.IFNA(MATCH(BM117,Achievements[[#All],[Column115]],0)+10,"")</f>
        <v/>
      </c>
      <c r="CN117" s="134" t="str">
        <f>_xlfn.IFNA(MATCH(BN117,Achievements[[#All],[Column115]],0)+10,"")</f>
        <v/>
      </c>
      <c r="CO117" s="134" t="str">
        <f>_xlfn.IFNA(MATCH(BO117,Achievements[[#All],[Column116]],0)+10,"")</f>
        <v/>
      </c>
      <c r="CP117" s="134" t="str">
        <f>_xlfn.IFNA(MATCH(BP117,Achievements[[#All],[Column116]],0)+10,"")</f>
        <v/>
      </c>
      <c r="CQ117" s="134" t="str">
        <f>_xlfn.IFNA(MATCH(BQ117,Achievements[[#All],[Column117]],0)+10,"")</f>
        <v/>
      </c>
      <c r="CR117" s="134" t="str">
        <f>_xlfn.IFNA(MATCH(BR117,Achievements[[#All],[Column117]],0)+10,"")</f>
        <v/>
      </c>
      <c r="CS117" s="134" t="str">
        <f>_xlfn.IFNA(MATCH(BS117,Achievements[[#All],[Column118]],0)+10,"")</f>
        <v/>
      </c>
      <c r="CT117" s="134" t="str">
        <f>_xlfn.IFNA(MATCH(BT117,Achievements[[#All],[Column118]],0)+10,"")</f>
        <v/>
      </c>
      <c r="CU117" s="134" t="str">
        <f>_xlfn.IFNA(MATCH(BU117,Achievements[[#All],[Column119]],0)+10,"")</f>
        <v/>
      </c>
      <c r="CV117" s="134" t="str">
        <f>_xlfn.IFNA(MATCH(BV117,Achievements[[#All],[Column119]],0)+10,"")</f>
        <v/>
      </c>
      <c r="CW117" s="134" t="str">
        <f>_xlfn.IFNA(MATCH(BW117,Achievements[[#All],[Column120]],0)+10,"")</f>
        <v/>
      </c>
      <c r="CX117" s="134" t="str">
        <f>_xlfn.IFNA(MATCH(BX117,Achievements[[#All],[Column120]],0)+10,"")</f>
        <v/>
      </c>
      <c r="CY117" s="134" t="str">
        <f>_xlfn.IFNA(MATCH(BY117,Achievements[[#All],[Column121]],0)+10,"")</f>
        <v/>
      </c>
      <c r="CZ117" s="118" t="e">
        <f t="shared" ca="1" si="3"/>
        <v>#NAME?</v>
      </c>
    </row>
    <row r="118" spans="1:104" x14ac:dyDescent="0.25">
      <c r="A118" t="e" cm="1">
        <f t="array" aca="1" ref="A118" ca="1">SplitValues("; ",#REF!)</f>
        <v>#NAME?</v>
      </c>
      <c r="AA118" t="e">
        <f ca="1">_xlfn.IFNA(MATCH(A118,Achievements[[#All],[Column1]],0)+11,"")</f>
        <v>#NAME?</v>
      </c>
      <c r="AB118" s="134" t="str">
        <f>_xlfn.IFNA(MATCH(B118,Achievements[[#All],[Column1]],0)+10,"")</f>
        <v/>
      </c>
      <c r="AC118" s="134" t="str">
        <f>_xlfn.IFNA(MATCH(C118,Achievements[[#All],[Column1]],0)+10,"")</f>
        <v/>
      </c>
      <c r="AD118" s="134" t="str">
        <f>_xlfn.IFNA(MATCH(D118,Achievements[[#All],[Column110]],0)+10,"")</f>
        <v/>
      </c>
      <c r="AE118" s="134" t="str">
        <f>_xlfn.IFNA(MATCH(E118,Achievements[[#All],[Column110]],0)+10,"")</f>
        <v/>
      </c>
      <c r="AF118" s="134" t="str">
        <f>_xlfn.IFNA(MATCH(F118,Achievements[[#All],[Column111]],0)+10,"")</f>
        <v/>
      </c>
      <c r="AG118" s="134" t="str">
        <f>_xlfn.IFNA(MATCH(G118,Achievements[[#All],[Column111]],0)+10,"")</f>
        <v/>
      </c>
      <c r="AH118" s="134" t="str">
        <f>_xlfn.IFNA(MATCH(H118,Achievements[[#All],[Column112]],0)+10,"")</f>
        <v/>
      </c>
      <c r="AI118" s="134" t="str">
        <f>_xlfn.IFNA(MATCH(I118,Achievements[[#All],[Column112]],0)+10,"")</f>
        <v/>
      </c>
      <c r="AJ118" s="134" t="str">
        <f>_xlfn.IFNA(MATCH(J118,Achievements[[#All],[Column113]],0)+10,"")</f>
        <v/>
      </c>
      <c r="AK118" s="134" t="str">
        <f>_xlfn.IFNA(MATCH(K118,Achievements[[#All],[Column113]],0)+10,"")</f>
        <v/>
      </c>
      <c r="AL118" s="134" t="str">
        <f>_xlfn.IFNA(MATCH(L118,Achievements[[#All],[Column114]],0)+10,"")</f>
        <v/>
      </c>
      <c r="AM118" s="134" t="str">
        <f>_xlfn.IFNA(MATCH(M118,Achievements[[#All],[Column114]],0)+10,"")</f>
        <v/>
      </c>
      <c r="AN118" s="134" t="str">
        <f>_xlfn.IFNA(MATCH(N118,Achievements[[#All],[Column115]],0)+10,"")</f>
        <v/>
      </c>
      <c r="AO118" s="134" t="str">
        <f>_xlfn.IFNA(MATCH(O118,Achievements[[#All],[Column115]],0)+10,"")</f>
        <v/>
      </c>
      <c r="AP118" s="134" t="str">
        <f>_xlfn.IFNA(MATCH(P118,Achievements[[#All],[Column116]],0)+10,"")</f>
        <v/>
      </c>
      <c r="AQ118" s="134" t="str">
        <f>_xlfn.IFNA(MATCH(Q118,Achievements[[#All],[Column116]],0)+10,"")</f>
        <v/>
      </c>
      <c r="AR118" s="134" t="str">
        <f>_xlfn.IFNA(MATCH(R118,Achievements[[#All],[Column117]],0)+10,"")</f>
        <v/>
      </c>
      <c r="AS118" s="134" t="str">
        <f>_xlfn.IFNA(MATCH(S118,Achievements[[#All],[Column117]],0)+10,"")</f>
        <v/>
      </c>
      <c r="AT118" s="134" t="str">
        <f>_xlfn.IFNA(MATCH(T118,Achievements[[#All],[Column118]],0)+10,"")</f>
        <v/>
      </c>
      <c r="AU118" s="134" t="str">
        <f>_xlfn.IFNA(MATCH(U118,Achievements[[#All],[Column118]],0)+10,"")</f>
        <v/>
      </c>
      <c r="AV118" s="134" t="str">
        <f>_xlfn.IFNA(MATCH(V118,Achievements[[#All],[Column119]],0)+10,"")</f>
        <v/>
      </c>
      <c r="AW118" s="134" t="str">
        <f>_xlfn.IFNA(MATCH(W118,Achievements[[#All],[Column119]],0)+10,"")</f>
        <v/>
      </c>
      <c r="AX118" s="134" t="str">
        <f>_xlfn.IFNA(MATCH(X118,Achievements[[#All],[Column120]],0)+10,"")</f>
        <v/>
      </c>
      <c r="AY118" s="134" t="str">
        <f>_xlfn.IFNA(MATCH(Y118,Achievements[[#All],[Column120]],0)+10,"")</f>
        <v/>
      </c>
      <c r="AZ118" s="116" t="e">
        <f t="shared" ca="1" si="2"/>
        <v>#NAME?</v>
      </c>
      <c r="BA118" s="134" t="e" cm="1">
        <f t="array" aca="1" ref="BA118" ca="1">SplitValues("; ",Persons[[#This Row],[Column1]])</f>
        <v>#NAME?</v>
      </c>
      <c r="CA118" s="134" t="e">
        <f ca="1">_xlfn.IFNA(MATCH(BA118,Achievements[[#All],[Column1]],0)+10,"")</f>
        <v>#NAME?</v>
      </c>
      <c r="CB118" s="134" t="str">
        <f>_xlfn.IFNA(MATCH(BB118,Achievements[[#All],[Column1]],0)+10,"")</f>
        <v/>
      </c>
      <c r="CC118" s="134" t="str">
        <f>_xlfn.IFNA(MATCH(BC118,Achievements[[#All],[Column110]],0)+10,"")</f>
        <v/>
      </c>
      <c r="CD118" s="134" t="str">
        <f>_xlfn.IFNA(MATCH(BD118,Achievements[[#All],[Column110]],0)+10,"")</f>
        <v/>
      </c>
      <c r="CE118" s="134" t="str">
        <f>_xlfn.IFNA(MATCH(BE118,Achievements[[#All],[Column111]],0)+10,"")</f>
        <v/>
      </c>
      <c r="CF118" s="134" t="str">
        <f>_xlfn.IFNA(MATCH(BF118,Achievements[[#All],[Column111]],0)+10,"")</f>
        <v/>
      </c>
      <c r="CG118" s="134" t="str">
        <f>_xlfn.IFNA(MATCH(BG118,Achievements[[#All],[Column112]],0)+10,"")</f>
        <v/>
      </c>
      <c r="CH118" s="134" t="str">
        <f>_xlfn.IFNA(MATCH(BH118,Achievements[[#All],[Column112]],0)+10,"")</f>
        <v/>
      </c>
      <c r="CI118" s="134" t="str">
        <f>_xlfn.IFNA(MATCH(BI118,Achievements[[#All],[Column113]],0)+10,"")</f>
        <v/>
      </c>
      <c r="CJ118" s="134" t="str">
        <f>_xlfn.IFNA(MATCH(BJ118,Achievements[[#All],[Column113]],0)+10,"")</f>
        <v/>
      </c>
      <c r="CK118" s="134" t="str">
        <f>_xlfn.IFNA(MATCH(BK118,Achievements[[#All],[Column114]],0)+10,"")</f>
        <v/>
      </c>
      <c r="CL118" s="134" t="str">
        <f>_xlfn.IFNA(MATCH(BL118,Achievements[[#All],[Column114]],0)+10,"")</f>
        <v/>
      </c>
      <c r="CM118" s="134" t="str">
        <f>_xlfn.IFNA(MATCH(BM118,Achievements[[#All],[Column115]],0)+10,"")</f>
        <v/>
      </c>
      <c r="CN118" s="134" t="str">
        <f>_xlfn.IFNA(MATCH(BN118,Achievements[[#All],[Column115]],0)+10,"")</f>
        <v/>
      </c>
      <c r="CO118" s="134" t="str">
        <f>_xlfn.IFNA(MATCH(BO118,Achievements[[#All],[Column116]],0)+10,"")</f>
        <v/>
      </c>
      <c r="CP118" s="134" t="str">
        <f>_xlfn.IFNA(MATCH(BP118,Achievements[[#All],[Column116]],0)+10,"")</f>
        <v/>
      </c>
      <c r="CQ118" s="134" t="str">
        <f>_xlfn.IFNA(MATCH(BQ118,Achievements[[#All],[Column117]],0)+10,"")</f>
        <v/>
      </c>
      <c r="CR118" s="134" t="str">
        <f>_xlfn.IFNA(MATCH(BR118,Achievements[[#All],[Column117]],0)+10,"")</f>
        <v/>
      </c>
      <c r="CS118" s="134" t="str">
        <f>_xlfn.IFNA(MATCH(BS118,Achievements[[#All],[Column118]],0)+10,"")</f>
        <v/>
      </c>
      <c r="CT118" s="134" t="str">
        <f>_xlfn.IFNA(MATCH(BT118,Achievements[[#All],[Column118]],0)+10,"")</f>
        <v/>
      </c>
      <c r="CU118" s="134" t="str">
        <f>_xlfn.IFNA(MATCH(BU118,Achievements[[#All],[Column119]],0)+10,"")</f>
        <v/>
      </c>
      <c r="CV118" s="134" t="str">
        <f>_xlfn.IFNA(MATCH(BV118,Achievements[[#All],[Column119]],0)+10,"")</f>
        <v/>
      </c>
      <c r="CW118" s="134" t="str">
        <f>_xlfn.IFNA(MATCH(BW118,Achievements[[#All],[Column120]],0)+10,"")</f>
        <v/>
      </c>
      <c r="CX118" s="134" t="str">
        <f>_xlfn.IFNA(MATCH(BX118,Achievements[[#All],[Column120]],0)+10,"")</f>
        <v/>
      </c>
      <c r="CY118" s="134" t="str">
        <f>_xlfn.IFNA(MATCH(BY118,Achievements[[#All],[Column121]],0)+10,"")</f>
        <v/>
      </c>
      <c r="CZ118" s="118" t="e">
        <f t="shared" ca="1" si="3"/>
        <v>#NAME?</v>
      </c>
    </row>
    <row r="119" spans="1:104" x14ac:dyDescent="0.25">
      <c r="A119" t="e" cm="1">
        <f t="array" aca="1" ref="A119" ca="1">SplitValues("; ",#REF!)</f>
        <v>#NAME?</v>
      </c>
      <c r="AA119" t="e">
        <f ca="1">_xlfn.IFNA(MATCH(A119,Achievements[[#All],[Column1]],0)+11,"")</f>
        <v>#NAME?</v>
      </c>
      <c r="AB119" s="134" t="str">
        <f>_xlfn.IFNA(MATCH(B119,Achievements[[#All],[Column1]],0)+10,"")</f>
        <v/>
      </c>
      <c r="AC119" s="134" t="str">
        <f>_xlfn.IFNA(MATCH(C119,Achievements[[#All],[Column1]],0)+10,"")</f>
        <v/>
      </c>
      <c r="AD119" s="134" t="str">
        <f>_xlfn.IFNA(MATCH(D119,Achievements[[#All],[Column110]],0)+10,"")</f>
        <v/>
      </c>
      <c r="AE119" s="134" t="str">
        <f>_xlfn.IFNA(MATCH(E119,Achievements[[#All],[Column110]],0)+10,"")</f>
        <v/>
      </c>
      <c r="AF119" s="134" t="str">
        <f>_xlfn.IFNA(MATCH(F119,Achievements[[#All],[Column111]],0)+10,"")</f>
        <v/>
      </c>
      <c r="AG119" s="134" t="str">
        <f>_xlfn.IFNA(MATCH(G119,Achievements[[#All],[Column111]],0)+10,"")</f>
        <v/>
      </c>
      <c r="AH119" s="134" t="str">
        <f>_xlfn.IFNA(MATCH(H119,Achievements[[#All],[Column112]],0)+10,"")</f>
        <v/>
      </c>
      <c r="AI119" s="134" t="str">
        <f>_xlfn.IFNA(MATCH(I119,Achievements[[#All],[Column112]],0)+10,"")</f>
        <v/>
      </c>
      <c r="AJ119" s="134" t="str">
        <f>_xlfn.IFNA(MATCH(J119,Achievements[[#All],[Column113]],0)+10,"")</f>
        <v/>
      </c>
      <c r="AK119" s="134" t="str">
        <f>_xlfn.IFNA(MATCH(K119,Achievements[[#All],[Column113]],0)+10,"")</f>
        <v/>
      </c>
      <c r="AL119" s="134" t="str">
        <f>_xlfn.IFNA(MATCH(L119,Achievements[[#All],[Column114]],0)+10,"")</f>
        <v/>
      </c>
      <c r="AM119" s="134" t="str">
        <f>_xlfn.IFNA(MATCH(M119,Achievements[[#All],[Column114]],0)+10,"")</f>
        <v/>
      </c>
      <c r="AN119" s="134" t="str">
        <f>_xlfn.IFNA(MATCH(N119,Achievements[[#All],[Column115]],0)+10,"")</f>
        <v/>
      </c>
      <c r="AO119" s="134" t="str">
        <f>_xlfn.IFNA(MATCH(O119,Achievements[[#All],[Column115]],0)+10,"")</f>
        <v/>
      </c>
      <c r="AP119" s="134" t="str">
        <f>_xlfn.IFNA(MATCH(P119,Achievements[[#All],[Column116]],0)+10,"")</f>
        <v/>
      </c>
      <c r="AQ119" s="134" t="str">
        <f>_xlfn.IFNA(MATCH(Q119,Achievements[[#All],[Column116]],0)+10,"")</f>
        <v/>
      </c>
      <c r="AR119" s="134" t="str">
        <f>_xlfn.IFNA(MATCH(R119,Achievements[[#All],[Column117]],0)+10,"")</f>
        <v/>
      </c>
      <c r="AS119" s="134" t="str">
        <f>_xlfn.IFNA(MATCH(S119,Achievements[[#All],[Column117]],0)+10,"")</f>
        <v/>
      </c>
      <c r="AT119" s="134" t="str">
        <f>_xlfn.IFNA(MATCH(T119,Achievements[[#All],[Column118]],0)+10,"")</f>
        <v/>
      </c>
      <c r="AU119" s="134" t="str">
        <f>_xlfn.IFNA(MATCH(U119,Achievements[[#All],[Column118]],0)+10,"")</f>
        <v/>
      </c>
      <c r="AV119" s="134" t="str">
        <f>_xlfn.IFNA(MATCH(V119,Achievements[[#All],[Column119]],0)+10,"")</f>
        <v/>
      </c>
      <c r="AW119" s="134" t="str">
        <f>_xlfn.IFNA(MATCH(W119,Achievements[[#All],[Column119]],0)+10,"")</f>
        <v/>
      </c>
      <c r="AX119" s="134" t="str">
        <f>_xlfn.IFNA(MATCH(X119,Achievements[[#All],[Column120]],0)+10,"")</f>
        <v/>
      </c>
      <c r="AY119" s="134" t="str">
        <f>_xlfn.IFNA(MATCH(Y119,Achievements[[#All],[Column120]],0)+10,"")</f>
        <v/>
      </c>
      <c r="AZ119" s="116" t="e">
        <f t="shared" ca="1" si="2"/>
        <v>#NAME?</v>
      </c>
      <c r="BA119" s="134" t="e" cm="1">
        <f t="array" aca="1" ref="BA119" ca="1">SplitValues("; ",Persons[[#This Row],[Column1]])</f>
        <v>#NAME?</v>
      </c>
      <c r="CA119" s="134" t="e">
        <f ca="1">_xlfn.IFNA(MATCH(BA119,Achievements[[#All],[Column1]],0)+10,"")</f>
        <v>#NAME?</v>
      </c>
      <c r="CB119" s="134" t="str">
        <f>_xlfn.IFNA(MATCH(BB119,Achievements[[#All],[Column1]],0)+10,"")</f>
        <v/>
      </c>
      <c r="CC119" s="134" t="str">
        <f>_xlfn.IFNA(MATCH(BC119,Achievements[[#All],[Column110]],0)+10,"")</f>
        <v/>
      </c>
      <c r="CD119" s="134" t="str">
        <f>_xlfn.IFNA(MATCH(BD119,Achievements[[#All],[Column110]],0)+10,"")</f>
        <v/>
      </c>
      <c r="CE119" s="134" t="str">
        <f>_xlfn.IFNA(MATCH(BE119,Achievements[[#All],[Column111]],0)+10,"")</f>
        <v/>
      </c>
      <c r="CF119" s="134" t="str">
        <f>_xlfn.IFNA(MATCH(BF119,Achievements[[#All],[Column111]],0)+10,"")</f>
        <v/>
      </c>
      <c r="CG119" s="134" t="str">
        <f>_xlfn.IFNA(MATCH(BG119,Achievements[[#All],[Column112]],0)+10,"")</f>
        <v/>
      </c>
      <c r="CH119" s="134" t="str">
        <f>_xlfn.IFNA(MATCH(BH119,Achievements[[#All],[Column112]],0)+10,"")</f>
        <v/>
      </c>
      <c r="CI119" s="134" t="str">
        <f>_xlfn.IFNA(MATCH(BI119,Achievements[[#All],[Column113]],0)+10,"")</f>
        <v/>
      </c>
      <c r="CJ119" s="134" t="str">
        <f>_xlfn.IFNA(MATCH(BJ119,Achievements[[#All],[Column113]],0)+10,"")</f>
        <v/>
      </c>
      <c r="CK119" s="134" t="str">
        <f>_xlfn.IFNA(MATCH(BK119,Achievements[[#All],[Column114]],0)+10,"")</f>
        <v/>
      </c>
      <c r="CL119" s="134" t="str">
        <f>_xlfn.IFNA(MATCH(BL119,Achievements[[#All],[Column114]],0)+10,"")</f>
        <v/>
      </c>
      <c r="CM119" s="134" t="str">
        <f>_xlfn.IFNA(MATCH(BM119,Achievements[[#All],[Column115]],0)+10,"")</f>
        <v/>
      </c>
      <c r="CN119" s="134" t="str">
        <f>_xlfn.IFNA(MATCH(BN119,Achievements[[#All],[Column115]],0)+10,"")</f>
        <v/>
      </c>
      <c r="CO119" s="134" t="str">
        <f>_xlfn.IFNA(MATCH(BO119,Achievements[[#All],[Column116]],0)+10,"")</f>
        <v/>
      </c>
      <c r="CP119" s="134" t="str">
        <f>_xlfn.IFNA(MATCH(BP119,Achievements[[#All],[Column116]],0)+10,"")</f>
        <v/>
      </c>
      <c r="CQ119" s="134" t="str">
        <f>_xlfn.IFNA(MATCH(BQ119,Achievements[[#All],[Column117]],0)+10,"")</f>
        <v/>
      </c>
      <c r="CR119" s="134" t="str">
        <f>_xlfn.IFNA(MATCH(BR119,Achievements[[#All],[Column117]],0)+10,"")</f>
        <v/>
      </c>
      <c r="CS119" s="134" t="str">
        <f>_xlfn.IFNA(MATCH(BS119,Achievements[[#All],[Column118]],0)+10,"")</f>
        <v/>
      </c>
      <c r="CT119" s="134" t="str">
        <f>_xlfn.IFNA(MATCH(BT119,Achievements[[#All],[Column118]],0)+10,"")</f>
        <v/>
      </c>
      <c r="CU119" s="134" t="str">
        <f>_xlfn.IFNA(MATCH(BU119,Achievements[[#All],[Column119]],0)+10,"")</f>
        <v/>
      </c>
      <c r="CV119" s="134" t="str">
        <f>_xlfn.IFNA(MATCH(BV119,Achievements[[#All],[Column119]],0)+10,"")</f>
        <v/>
      </c>
      <c r="CW119" s="134" t="str">
        <f>_xlfn.IFNA(MATCH(BW119,Achievements[[#All],[Column120]],0)+10,"")</f>
        <v/>
      </c>
      <c r="CX119" s="134" t="str">
        <f>_xlfn.IFNA(MATCH(BX119,Achievements[[#All],[Column120]],0)+10,"")</f>
        <v/>
      </c>
      <c r="CY119" s="134" t="str">
        <f>_xlfn.IFNA(MATCH(BY119,Achievements[[#All],[Column121]],0)+10,"")</f>
        <v/>
      </c>
      <c r="CZ119" s="118" t="e">
        <f t="shared" ca="1" si="3"/>
        <v>#NAME?</v>
      </c>
    </row>
    <row r="120" spans="1:104" x14ac:dyDescent="0.25">
      <c r="A120" t="e" cm="1">
        <f t="array" aca="1" ref="A120" ca="1">SplitValues("; ",#REF!)</f>
        <v>#NAME?</v>
      </c>
      <c r="AA120" t="e">
        <f ca="1">_xlfn.IFNA(MATCH(A120,Achievements[[#All],[Column1]],0)+11,"")</f>
        <v>#NAME?</v>
      </c>
      <c r="AB120" s="134" t="str">
        <f>_xlfn.IFNA(MATCH(B120,Achievements[[#All],[Column1]],0)+10,"")</f>
        <v/>
      </c>
      <c r="AC120" s="134" t="str">
        <f>_xlfn.IFNA(MATCH(C120,Achievements[[#All],[Column1]],0)+10,"")</f>
        <v/>
      </c>
      <c r="AD120" s="134" t="str">
        <f>_xlfn.IFNA(MATCH(D120,Achievements[[#All],[Column110]],0)+10,"")</f>
        <v/>
      </c>
      <c r="AE120" s="134" t="str">
        <f>_xlfn.IFNA(MATCH(E120,Achievements[[#All],[Column110]],0)+10,"")</f>
        <v/>
      </c>
      <c r="AF120" s="134" t="str">
        <f>_xlfn.IFNA(MATCH(F120,Achievements[[#All],[Column111]],0)+10,"")</f>
        <v/>
      </c>
      <c r="AG120" s="134" t="str">
        <f>_xlfn.IFNA(MATCH(G120,Achievements[[#All],[Column111]],0)+10,"")</f>
        <v/>
      </c>
      <c r="AH120" s="134" t="str">
        <f>_xlfn.IFNA(MATCH(H120,Achievements[[#All],[Column112]],0)+10,"")</f>
        <v/>
      </c>
      <c r="AI120" s="134" t="str">
        <f>_xlfn.IFNA(MATCH(I120,Achievements[[#All],[Column112]],0)+10,"")</f>
        <v/>
      </c>
      <c r="AJ120" s="134" t="str">
        <f>_xlfn.IFNA(MATCH(J120,Achievements[[#All],[Column113]],0)+10,"")</f>
        <v/>
      </c>
      <c r="AK120" s="134" t="str">
        <f>_xlfn.IFNA(MATCH(K120,Achievements[[#All],[Column113]],0)+10,"")</f>
        <v/>
      </c>
      <c r="AL120" s="134" t="str">
        <f>_xlfn.IFNA(MATCH(L120,Achievements[[#All],[Column114]],0)+10,"")</f>
        <v/>
      </c>
      <c r="AM120" s="134" t="str">
        <f>_xlfn.IFNA(MATCH(M120,Achievements[[#All],[Column114]],0)+10,"")</f>
        <v/>
      </c>
      <c r="AN120" s="134" t="str">
        <f>_xlfn.IFNA(MATCH(N120,Achievements[[#All],[Column115]],0)+10,"")</f>
        <v/>
      </c>
      <c r="AO120" s="134" t="str">
        <f>_xlfn.IFNA(MATCH(O120,Achievements[[#All],[Column115]],0)+10,"")</f>
        <v/>
      </c>
      <c r="AP120" s="134" t="str">
        <f>_xlfn.IFNA(MATCH(P120,Achievements[[#All],[Column116]],0)+10,"")</f>
        <v/>
      </c>
      <c r="AQ120" s="134" t="str">
        <f>_xlfn.IFNA(MATCH(Q120,Achievements[[#All],[Column116]],0)+10,"")</f>
        <v/>
      </c>
      <c r="AR120" s="134" t="str">
        <f>_xlfn.IFNA(MATCH(R120,Achievements[[#All],[Column117]],0)+10,"")</f>
        <v/>
      </c>
      <c r="AS120" s="134" t="str">
        <f>_xlfn.IFNA(MATCH(S120,Achievements[[#All],[Column117]],0)+10,"")</f>
        <v/>
      </c>
      <c r="AT120" s="134" t="str">
        <f>_xlfn.IFNA(MATCH(T120,Achievements[[#All],[Column118]],0)+10,"")</f>
        <v/>
      </c>
      <c r="AU120" s="134" t="str">
        <f>_xlfn.IFNA(MATCH(U120,Achievements[[#All],[Column118]],0)+10,"")</f>
        <v/>
      </c>
      <c r="AV120" s="134" t="str">
        <f>_xlfn.IFNA(MATCH(V120,Achievements[[#All],[Column119]],0)+10,"")</f>
        <v/>
      </c>
      <c r="AW120" s="134" t="str">
        <f>_xlfn.IFNA(MATCH(W120,Achievements[[#All],[Column119]],0)+10,"")</f>
        <v/>
      </c>
      <c r="AX120" s="134" t="str">
        <f>_xlfn.IFNA(MATCH(X120,Achievements[[#All],[Column120]],0)+10,"")</f>
        <v/>
      </c>
      <c r="AY120" s="134" t="str">
        <f>_xlfn.IFNA(MATCH(Y120,Achievements[[#All],[Column120]],0)+10,"")</f>
        <v/>
      </c>
      <c r="AZ120" s="116" t="e">
        <f t="shared" ca="1" si="2"/>
        <v>#NAME?</v>
      </c>
      <c r="BA120" s="134" t="e" cm="1">
        <f t="array" aca="1" ref="BA120" ca="1">SplitValues("; ",Persons[[#This Row],[Column1]])</f>
        <v>#NAME?</v>
      </c>
      <c r="CA120" s="134" t="e">
        <f ca="1">_xlfn.IFNA(MATCH(BA120,Achievements[[#All],[Column1]],0)+10,"")</f>
        <v>#NAME?</v>
      </c>
      <c r="CB120" s="134" t="str">
        <f>_xlfn.IFNA(MATCH(BB120,Achievements[[#All],[Column1]],0)+10,"")</f>
        <v/>
      </c>
      <c r="CC120" s="134" t="str">
        <f>_xlfn.IFNA(MATCH(BC120,Achievements[[#All],[Column110]],0)+10,"")</f>
        <v/>
      </c>
      <c r="CD120" s="134" t="str">
        <f>_xlfn.IFNA(MATCH(BD120,Achievements[[#All],[Column110]],0)+10,"")</f>
        <v/>
      </c>
      <c r="CE120" s="134" t="str">
        <f>_xlfn.IFNA(MATCH(BE120,Achievements[[#All],[Column111]],0)+10,"")</f>
        <v/>
      </c>
      <c r="CF120" s="134" t="str">
        <f>_xlfn.IFNA(MATCH(BF120,Achievements[[#All],[Column111]],0)+10,"")</f>
        <v/>
      </c>
      <c r="CG120" s="134" t="str">
        <f>_xlfn.IFNA(MATCH(BG120,Achievements[[#All],[Column112]],0)+10,"")</f>
        <v/>
      </c>
      <c r="CH120" s="134" t="str">
        <f>_xlfn.IFNA(MATCH(BH120,Achievements[[#All],[Column112]],0)+10,"")</f>
        <v/>
      </c>
      <c r="CI120" s="134" t="str">
        <f>_xlfn.IFNA(MATCH(BI120,Achievements[[#All],[Column113]],0)+10,"")</f>
        <v/>
      </c>
      <c r="CJ120" s="134" t="str">
        <f>_xlfn.IFNA(MATCH(BJ120,Achievements[[#All],[Column113]],0)+10,"")</f>
        <v/>
      </c>
      <c r="CK120" s="134" t="str">
        <f>_xlfn.IFNA(MATCH(BK120,Achievements[[#All],[Column114]],0)+10,"")</f>
        <v/>
      </c>
      <c r="CL120" s="134" t="str">
        <f>_xlfn.IFNA(MATCH(BL120,Achievements[[#All],[Column114]],0)+10,"")</f>
        <v/>
      </c>
      <c r="CM120" s="134" t="str">
        <f>_xlfn.IFNA(MATCH(BM120,Achievements[[#All],[Column115]],0)+10,"")</f>
        <v/>
      </c>
      <c r="CN120" s="134" t="str">
        <f>_xlfn.IFNA(MATCH(BN120,Achievements[[#All],[Column115]],0)+10,"")</f>
        <v/>
      </c>
      <c r="CO120" s="134" t="str">
        <f>_xlfn.IFNA(MATCH(BO120,Achievements[[#All],[Column116]],0)+10,"")</f>
        <v/>
      </c>
      <c r="CP120" s="134" t="str">
        <f>_xlfn.IFNA(MATCH(BP120,Achievements[[#All],[Column116]],0)+10,"")</f>
        <v/>
      </c>
      <c r="CQ120" s="134" t="str">
        <f>_xlfn.IFNA(MATCH(BQ120,Achievements[[#All],[Column117]],0)+10,"")</f>
        <v/>
      </c>
      <c r="CR120" s="134" t="str">
        <f>_xlfn.IFNA(MATCH(BR120,Achievements[[#All],[Column117]],0)+10,"")</f>
        <v/>
      </c>
      <c r="CS120" s="134" t="str">
        <f>_xlfn.IFNA(MATCH(BS120,Achievements[[#All],[Column118]],0)+10,"")</f>
        <v/>
      </c>
      <c r="CT120" s="134" t="str">
        <f>_xlfn.IFNA(MATCH(BT120,Achievements[[#All],[Column118]],0)+10,"")</f>
        <v/>
      </c>
      <c r="CU120" s="134" t="str">
        <f>_xlfn.IFNA(MATCH(BU120,Achievements[[#All],[Column119]],0)+10,"")</f>
        <v/>
      </c>
      <c r="CV120" s="134" t="str">
        <f>_xlfn.IFNA(MATCH(BV120,Achievements[[#All],[Column119]],0)+10,"")</f>
        <v/>
      </c>
      <c r="CW120" s="134" t="str">
        <f>_xlfn.IFNA(MATCH(BW120,Achievements[[#All],[Column120]],0)+10,"")</f>
        <v/>
      </c>
      <c r="CX120" s="134" t="str">
        <f>_xlfn.IFNA(MATCH(BX120,Achievements[[#All],[Column120]],0)+10,"")</f>
        <v/>
      </c>
      <c r="CY120" s="134" t="str">
        <f>_xlfn.IFNA(MATCH(BY120,Achievements[[#All],[Column121]],0)+10,"")</f>
        <v/>
      </c>
      <c r="CZ120" s="118" t="e">
        <f t="shared" ca="1" si="3"/>
        <v>#NAME?</v>
      </c>
    </row>
    <row r="121" spans="1:104" x14ac:dyDescent="0.25">
      <c r="A121" t="e" cm="1">
        <f t="array" aca="1" ref="A121" ca="1">SplitValues("; ",#REF!)</f>
        <v>#NAME?</v>
      </c>
      <c r="AA121" t="e">
        <f ca="1">_xlfn.IFNA(MATCH(A121,Achievements[[#All],[Column1]],0)+11,"")</f>
        <v>#NAME?</v>
      </c>
      <c r="AB121" s="134" t="str">
        <f>_xlfn.IFNA(MATCH(B121,Achievements[[#All],[Column1]],0)+10,"")</f>
        <v/>
      </c>
      <c r="AC121" s="134" t="str">
        <f>_xlfn.IFNA(MATCH(C121,Achievements[[#All],[Column1]],0)+10,"")</f>
        <v/>
      </c>
      <c r="AD121" s="134" t="str">
        <f>_xlfn.IFNA(MATCH(D121,Achievements[[#All],[Column110]],0)+10,"")</f>
        <v/>
      </c>
      <c r="AE121" s="134" t="str">
        <f>_xlfn.IFNA(MATCH(E121,Achievements[[#All],[Column110]],0)+10,"")</f>
        <v/>
      </c>
      <c r="AF121" s="134" t="str">
        <f>_xlfn.IFNA(MATCH(F121,Achievements[[#All],[Column111]],0)+10,"")</f>
        <v/>
      </c>
      <c r="AG121" s="134" t="str">
        <f>_xlfn.IFNA(MATCH(G121,Achievements[[#All],[Column111]],0)+10,"")</f>
        <v/>
      </c>
      <c r="AH121" s="134" t="str">
        <f>_xlfn.IFNA(MATCH(H121,Achievements[[#All],[Column112]],0)+10,"")</f>
        <v/>
      </c>
      <c r="AI121" s="134" t="str">
        <f>_xlfn.IFNA(MATCH(I121,Achievements[[#All],[Column112]],0)+10,"")</f>
        <v/>
      </c>
      <c r="AJ121" s="134" t="str">
        <f>_xlfn.IFNA(MATCH(J121,Achievements[[#All],[Column113]],0)+10,"")</f>
        <v/>
      </c>
      <c r="AK121" s="134" t="str">
        <f>_xlfn.IFNA(MATCH(K121,Achievements[[#All],[Column113]],0)+10,"")</f>
        <v/>
      </c>
      <c r="AL121" s="134" t="str">
        <f>_xlfn.IFNA(MATCH(L121,Achievements[[#All],[Column114]],0)+10,"")</f>
        <v/>
      </c>
      <c r="AM121" s="134" t="str">
        <f>_xlfn.IFNA(MATCH(M121,Achievements[[#All],[Column114]],0)+10,"")</f>
        <v/>
      </c>
      <c r="AN121" s="134" t="str">
        <f>_xlfn.IFNA(MATCH(N121,Achievements[[#All],[Column115]],0)+10,"")</f>
        <v/>
      </c>
      <c r="AO121" s="134" t="str">
        <f>_xlfn.IFNA(MATCH(O121,Achievements[[#All],[Column115]],0)+10,"")</f>
        <v/>
      </c>
      <c r="AP121" s="134" t="str">
        <f>_xlfn.IFNA(MATCH(P121,Achievements[[#All],[Column116]],0)+10,"")</f>
        <v/>
      </c>
      <c r="AQ121" s="134" t="str">
        <f>_xlfn.IFNA(MATCH(Q121,Achievements[[#All],[Column116]],0)+10,"")</f>
        <v/>
      </c>
      <c r="AR121" s="134" t="str">
        <f>_xlfn.IFNA(MATCH(R121,Achievements[[#All],[Column117]],0)+10,"")</f>
        <v/>
      </c>
      <c r="AS121" s="134" t="str">
        <f>_xlfn.IFNA(MATCH(S121,Achievements[[#All],[Column117]],0)+10,"")</f>
        <v/>
      </c>
      <c r="AT121" s="134" t="str">
        <f>_xlfn.IFNA(MATCH(T121,Achievements[[#All],[Column118]],0)+10,"")</f>
        <v/>
      </c>
      <c r="AU121" s="134" t="str">
        <f>_xlfn.IFNA(MATCH(U121,Achievements[[#All],[Column118]],0)+10,"")</f>
        <v/>
      </c>
      <c r="AV121" s="134" t="str">
        <f>_xlfn.IFNA(MATCH(V121,Achievements[[#All],[Column119]],0)+10,"")</f>
        <v/>
      </c>
      <c r="AW121" s="134" t="str">
        <f>_xlfn.IFNA(MATCH(W121,Achievements[[#All],[Column119]],0)+10,"")</f>
        <v/>
      </c>
      <c r="AX121" s="134" t="str">
        <f>_xlfn.IFNA(MATCH(X121,Achievements[[#All],[Column120]],0)+10,"")</f>
        <v/>
      </c>
      <c r="AY121" s="134" t="str">
        <f>_xlfn.IFNA(MATCH(Y121,Achievements[[#All],[Column120]],0)+10,"")</f>
        <v/>
      </c>
      <c r="AZ121" s="116" t="e">
        <f t="shared" ca="1" si="2"/>
        <v>#NAME?</v>
      </c>
      <c r="BA121" s="134" t="e" cm="1">
        <f t="array" aca="1" ref="BA121" ca="1">SplitValues("; ",Persons[[#This Row],[Column1]])</f>
        <v>#NAME?</v>
      </c>
      <c r="CA121" s="134" t="e">
        <f ca="1">_xlfn.IFNA(MATCH(BA121,Achievements[[#All],[Column1]],0)+10,"")</f>
        <v>#NAME?</v>
      </c>
      <c r="CB121" s="134" t="str">
        <f>_xlfn.IFNA(MATCH(BB121,Achievements[[#All],[Column1]],0)+10,"")</f>
        <v/>
      </c>
      <c r="CC121" s="134" t="str">
        <f>_xlfn.IFNA(MATCH(BC121,Achievements[[#All],[Column110]],0)+10,"")</f>
        <v/>
      </c>
      <c r="CD121" s="134" t="str">
        <f>_xlfn.IFNA(MATCH(BD121,Achievements[[#All],[Column110]],0)+10,"")</f>
        <v/>
      </c>
      <c r="CE121" s="134" t="str">
        <f>_xlfn.IFNA(MATCH(BE121,Achievements[[#All],[Column111]],0)+10,"")</f>
        <v/>
      </c>
      <c r="CF121" s="134" t="str">
        <f>_xlfn.IFNA(MATCH(BF121,Achievements[[#All],[Column111]],0)+10,"")</f>
        <v/>
      </c>
      <c r="CG121" s="134" t="str">
        <f>_xlfn.IFNA(MATCH(BG121,Achievements[[#All],[Column112]],0)+10,"")</f>
        <v/>
      </c>
      <c r="CH121" s="134" t="str">
        <f>_xlfn.IFNA(MATCH(BH121,Achievements[[#All],[Column112]],0)+10,"")</f>
        <v/>
      </c>
      <c r="CI121" s="134" t="str">
        <f>_xlfn.IFNA(MATCH(BI121,Achievements[[#All],[Column113]],0)+10,"")</f>
        <v/>
      </c>
      <c r="CJ121" s="134" t="str">
        <f>_xlfn.IFNA(MATCH(BJ121,Achievements[[#All],[Column113]],0)+10,"")</f>
        <v/>
      </c>
      <c r="CK121" s="134" t="str">
        <f>_xlfn.IFNA(MATCH(BK121,Achievements[[#All],[Column114]],0)+10,"")</f>
        <v/>
      </c>
      <c r="CL121" s="134" t="str">
        <f>_xlfn.IFNA(MATCH(BL121,Achievements[[#All],[Column114]],0)+10,"")</f>
        <v/>
      </c>
      <c r="CM121" s="134" t="str">
        <f>_xlfn.IFNA(MATCH(BM121,Achievements[[#All],[Column115]],0)+10,"")</f>
        <v/>
      </c>
      <c r="CN121" s="134" t="str">
        <f>_xlfn.IFNA(MATCH(BN121,Achievements[[#All],[Column115]],0)+10,"")</f>
        <v/>
      </c>
      <c r="CO121" s="134" t="str">
        <f>_xlfn.IFNA(MATCH(BO121,Achievements[[#All],[Column116]],0)+10,"")</f>
        <v/>
      </c>
      <c r="CP121" s="134" t="str">
        <f>_xlfn.IFNA(MATCH(BP121,Achievements[[#All],[Column116]],0)+10,"")</f>
        <v/>
      </c>
      <c r="CQ121" s="134" t="str">
        <f>_xlfn.IFNA(MATCH(BQ121,Achievements[[#All],[Column117]],0)+10,"")</f>
        <v/>
      </c>
      <c r="CR121" s="134" t="str">
        <f>_xlfn.IFNA(MATCH(BR121,Achievements[[#All],[Column117]],0)+10,"")</f>
        <v/>
      </c>
      <c r="CS121" s="134" t="str">
        <f>_xlfn.IFNA(MATCH(BS121,Achievements[[#All],[Column118]],0)+10,"")</f>
        <v/>
      </c>
      <c r="CT121" s="134" t="str">
        <f>_xlfn.IFNA(MATCH(BT121,Achievements[[#All],[Column118]],0)+10,"")</f>
        <v/>
      </c>
      <c r="CU121" s="134" t="str">
        <f>_xlfn.IFNA(MATCH(BU121,Achievements[[#All],[Column119]],0)+10,"")</f>
        <v/>
      </c>
      <c r="CV121" s="134" t="str">
        <f>_xlfn.IFNA(MATCH(BV121,Achievements[[#All],[Column119]],0)+10,"")</f>
        <v/>
      </c>
      <c r="CW121" s="134" t="str">
        <f>_xlfn.IFNA(MATCH(BW121,Achievements[[#All],[Column120]],0)+10,"")</f>
        <v/>
      </c>
      <c r="CX121" s="134" t="str">
        <f>_xlfn.IFNA(MATCH(BX121,Achievements[[#All],[Column120]],0)+10,"")</f>
        <v/>
      </c>
      <c r="CY121" s="134" t="str">
        <f>_xlfn.IFNA(MATCH(BY121,Achievements[[#All],[Column121]],0)+10,"")</f>
        <v/>
      </c>
      <c r="CZ121" s="118" t="e">
        <f t="shared" ca="1" si="3"/>
        <v>#NAME?</v>
      </c>
    </row>
    <row r="122" spans="1:104" x14ac:dyDescent="0.25">
      <c r="A122" t="e" cm="1">
        <f t="array" aca="1" ref="A122" ca="1">SplitValues("; ",#REF!)</f>
        <v>#NAME?</v>
      </c>
      <c r="AA122" t="e">
        <f ca="1">_xlfn.IFNA(MATCH(A122,Achievements[[#All],[Column1]],0)+11,"")</f>
        <v>#NAME?</v>
      </c>
      <c r="AB122" s="134" t="str">
        <f>_xlfn.IFNA(MATCH(B122,Achievements[[#All],[Column1]],0)+10,"")</f>
        <v/>
      </c>
      <c r="AC122" s="134" t="str">
        <f>_xlfn.IFNA(MATCH(C122,Achievements[[#All],[Column1]],0)+10,"")</f>
        <v/>
      </c>
      <c r="AD122" s="134" t="str">
        <f>_xlfn.IFNA(MATCH(D122,Achievements[[#All],[Column110]],0)+10,"")</f>
        <v/>
      </c>
      <c r="AE122" s="134" t="str">
        <f>_xlfn.IFNA(MATCH(E122,Achievements[[#All],[Column110]],0)+10,"")</f>
        <v/>
      </c>
      <c r="AF122" s="134" t="str">
        <f>_xlfn.IFNA(MATCH(F122,Achievements[[#All],[Column111]],0)+10,"")</f>
        <v/>
      </c>
      <c r="AG122" s="134" t="str">
        <f>_xlfn.IFNA(MATCH(G122,Achievements[[#All],[Column111]],0)+10,"")</f>
        <v/>
      </c>
      <c r="AH122" s="134" t="str">
        <f>_xlfn.IFNA(MATCH(H122,Achievements[[#All],[Column112]],0)+10,"")</f>
        <v/>
      </c>
      <c r="AI122" s="134" t="str">
        <f>_xlfn.IFNA(MATCH(I122,Achievements[[#All],[Column112]],0)+10,"")</f>
        <v/>
      </c>
      <c r="AJ122" s="134" t="str">
        <f>_xlfn.IFNA(MATCH(J122,Achievements[[#All],[Column113]],0)+10,"")</f>
        <v/>
      </c>
      <c r="AK122" s="134" t="str">
        <f>_xlfn.IFNA(MATCH(K122,Achievements[[#All],[Column113]],0)+10,"")</f>
        <v/>
      </c>
      <c r="AL122" s="134" t="str">
        <f>_xlfn.IFNA(MATCH(L122,Achievements[[#All],[Column114]],0)+10,"")</f>
        <v/>
      </c>
      <c r="AM122" s="134" t="str">
        <f>_xlfn.IFNA(MATCH(M122,Achievements[[#All],[Column114]],0)+10,"")</f>
        <v/>
      </c>
      <c r="AN122" s="134" t="str">
        <f>_xlfn.IFNA(MATCH(N122,Achievements[[#All],[Column115]],0)+10,"")</f>
        <v/>
      </c>
      <c r="AO122" s="134" t="str">
        <f>_xlfn.IFNA(MATCH(O122,Achievements[[#All],[Column115]],0)+10,"")</f>
        <v/>
      </c>
      <c r="AP122" s="134" t="str">
        <f>_xlfn.IFNA(MATCH(P122,Achievements[[#All],[Column116]],0)+10,"")</f>
        <v/>
      </c>
      <c r="AQ122" s="134" t="str">
        <f>_xlfn.IFNA(MATCH(Q122,Achievements[[#All],[Column116]],0)+10,"")</f>
        <v/>
      </c>
      <c r="AR122" s="134" t="str">
        <f>_xlfn.IFNA(MATCH(R122,Achievements[[#All],[Column117]],0)+10,"")</f>
        <v/>
      </c>
      <c r="AS122" s="134" t="str">
        <f>_xlfn.IFNA(MATCH(S122,Achievements[[#All],[Column117]],0)+10,"")</f>
        <v/>
      </c>
      <c r="AT122" s="134" t="str">
        <f>_xlfn.IFNA(MATCH(T122,Achievements[[#All],[Column118]],0)+10,"")</f>
        <v/>
      </c>
      <c r="AU122" s="134" t="str">
        <f>_xlfn.IFNA(MATCH(U122,Achievements[[#All],[Column118]],0)+10,"")</f>
        <v/>
      </c>
      <c r="AV122" s="134" t="str">
        <f>_xlfn.IFNA(MATCH(V122,Achievements[[#All],[Column119]],0)+10,"")</f>
        <v/>
      </c>
      <c r="AW122" s="134" t="str">
        <f>_xlfn.IFNA(MATCH(W122,Achievements[[#All],[Column119]],0)+10,"")</f>
        <v/>
      </c>
      <c r="AX122" s="134" t="str">
        <f>_xlfn.IFNA(MATCH(X122,Achievements[[#All],[Column120]],0)+10,"")</f>
        <v/>
      </c>
      <c r="AY122" s="134" t="str">
        <f>_xlfn.IFNA(MATCH(Y122,Achievements[[#All],[Column120]],0)+10,"")</f>
        <v/>
      </c>
      <c r="AZ122" s="116" t="e">
        <f t="shared" ca="1" si="2"/>
        <v>#NAME?</v>
      </c>
      <c r="BA122" s="134" t="e" cm="1">
        <f t="array" aca="1" ref="BA122" ca="1">SplitValues("; ",Persons[[#This Row],[Column1]])</f>
        <v>#NAME?</v>
      </c>
      <c r="CA122" s="134" t="e">
        <f ca="1">_xlfn.IFNA(MATCH(BA122,Achievements[[#All],[Column1]],0)+10,"")</f>
        <v>#NAME?</v>
      </c>
      <c r="CB122" s="134" t="str">
        <f>_xlfn.IFNA(MATCH(BB122,Achievements[[#All],[Column1]],0)+10,"")</f>
        <v/>
      </c>
      <c r="CC122" s="134" t="str">
        <f>_xlfn.IFNA(MATCH(BC122,Achievements[[#All],[Column110]],0)+10,"")</f>
        <v/>
      </c>
      <c r="CD122" s="134" t="str">
        <f>_xlfn.IFNA(MATCH(BD122,Achievements[[#All],[Column110]],0)+10,"")</f>
        <v/>
      </c>
      <c r="CE122" s="134" t="str">
        <f>_xlfn.IFNA(MATCH(BE122,Achievements[[#All],[Column111]],0)+10,"")</f>
        <v/>
      </c>
      <c r="CF122" s="134" t="str">
        <f>_xlfn.IFNA(MATCH(BF122,Achievements[[#All],[Column111]],0)+10,"")</f>
        <v/>
      </c>
      <c r="CG122" s="134" t="str">
        <f>_xlfn.IFNA(MATCH(BG122,Achievements[[#All],[Column112]],0)+10,"")</f>
        <v/>
      </c>
      <c r="CH122" s="134" t="str">
        <f>_xlfn.IFNA(MATCH(BH122,Achievements[[#All],[Column112]],0)+10,"")</f>
        <v/>
      </c>
      <c r="CI122" s="134" t="str">
        <f>_xlfn.IFNA(MATCH(BI122,Achievements[[#All],[Column113]],0)+10,"")</f>
        <v/>
      </c>
      <c r="CJ122" s="134" t="str">
        <f>_xlfn.IFNA(MATCH(BJ122,Achievements[[#All],[Column113]],0)+10,"")</f>
        <v/>
      </c>
      <c r="CK122" s="134" t="str">
        <f>_xlfn.IFNA(MATCH(BK122,Achievements[[#All],[Column114]],0)+10,"")</f>
        <v/>
      </c>
      <c r="CL122" s="134" t="str">
        <f>_xlfn.IFNA(MATCH(BL122,Achievements[[#All],[Column114]],0)+10,"")</f>
        <v/>
      </c>
      <c r="CM122" s="134" t="str">
        <f>_xlfn.IFNA(MATCH(BM122,Achievements[[#All],[Column115]],0)+10,"")</f>
        <v/>
      </c>
      <c r="CN122" s="134" t="str">
        <f>_xlfn.IFNA(MATCH(BN122,Achievements[[#All],[Column115]],0)+10,"")</f>
        <v/>
      </c>
      <c r="CO122" s="134" t="str">
        <f>_xlfn.IFNA(MATCH(BO122,Achievements[[#All],[Column116]],0)+10,"")</f>
        <v/>
      </c>
      <c r="CP122" s="134" t="str">
        <f>_xlfn.IFNA(MATCH(BP122,Achievements[[#All],[Column116]],0)+10,"")</f>
        <v/>
      </c>
      <c r="CQ122" s="134" t="str">
        <f>_xlfn.IFNA(MATCH(BQ122,Achievements[[#All],[Column117]],0)+10,"")</f>
        <v/>
      </c>
      <c r="CR122" s="134" t="str">
        <f>_xlfn.IFNA(MATCH(BR122,Achievements[[#All],[Column117]],0)+10,"")</f>
        <v/>
      </c>
      <c r="CS122" s="134" t="str">
        <f>_xlfn.IFNA(MATCH(BS122,Achievements[[#All],[Column118]],0)+10,"")</f>
        <v/>
      </c>
      <c r="CT122" s="134" t="str">
        <f>_xlfn.IFNA(MATCH(BT122,Achievements[[#All],[Column118]],0)+10,"")</f>
        <v/>
      </c>
      <c r="CU122" s="134" t="str">
        <f>_xlfn.IFNA(MATCH(BU122,Achievements[[#All],[Column119]],0)+10,"")</f>
        <v/>
      </c>
      <c r="CV122" s="134" t="str">
        <f>_xlfn.IFNA(MATCH(BV122,Achievements[[#All],[Column119]],0)+10,"")</f>
        <v/>
      </c>
      <c r="CW122" s="134" t="str">
        <f>_xlfn.IFNA(MATCH(BW122,Achievements[[#All],[Column120]],0)+10,"")</f>
        <v/>
      </c>
      <c r="CX122" s="134" t="str">
        <f>_xlfn.IFNA(MATCH(BX122,Achievements[[#All],[Column120]],0)+10,"")</f>
        <v/>
      </c>
      <c r="CY122" s="134" t="str">
        <f>_xlfn.IFNA(MATCH(BY122,Achievements[[#All],[Column121]],0)+10,"")</f>
        <v/>
      </c>
      <c r="CZ122" s="118" t="e">
        <f t="shared" ca="1" si="3"/>
        <v>#NAME?</v>
      </c>
    </row>
    <row r="123" spans="1:104" x14ac:dyDescent="0.25">
      <c r="A123" t="e" cm="1">
        <f t="array" aca="1" ref="A123" ca="1">SplitValues("; ",#REF!)</f>
        <v>#NAME?</v>
      </c>
      <c r="AA123" t="e">
        <f ca="1">_xlfn.IFNA(MATCH(A123,Achievements[[#All],[Column1]],0)+11,"")</f>
        <v>#NAME?</v>
      </c>
      <c r="AB123" s="134" t="str">
        <f>_xlfn.IFNA(MATCH(B123,Achievements[[#All],[Column1]],0)+10,"")</f>
        <v/>
      </c>
      <c r="AC123" s="134" t="str">
        <f>_xlfn.IFNA(MATCH(C123,Achievements[[#All],[Column1]],0)+10,"")</f>
        <v/>
      </c>
      <c r="AD123" s="134" t="str">
        <f>_xlfn.IFNA(MATCH(D123,Achievements[[#All],[Column110]],0)+10,"")</f>
        <v/>
      </c>
      <c r="AE123" s="134" t="str">
        <f>_xlfn.IFNA(MATCH(E123,Achievements[[#All],[Column110]],0)+10,"")</f>
        <v/>
      </c>
      <c r="AF123" s="134" t="str">
        <f>_xlfn.IFNA(MATCH(F123,Achievements[[#All],[Column111]],0)+10,"")</f>
        <v/>
      </c>
      <c r="AG123" s="134" t="str">
        <f>_xlfn.IFNA(MATCH(G123,Achievements[[#All],[Column111]],0)+10,"")</f>
        <v/>
      </c>
      <c r="AH123" s="134" t="str">
        <f>_xlfn.IFNA(MATCH(H123,Achievements[[#All],[Column112]],0)+10,"")</f>
        <v/>
      </c>
      <c r="AI123" s="134" t="str">
        <f>_xlfn.IFNA(MATCH(I123,Achievements[[#All],[Column112]],0)+10,"")</f>
        <v/>
      </c>
      <c r="AJ123" s="134" t="str">
        <f>_xlfn.IFNA(MATCH(J123,Achievements[[#All],[Column113]],0)+10,"")</f>
        <v/>
      </c>
      <c r="AK123" s="134" t="str">
        <f>_xlfn.IFNA(MATCH(K123,Achievements[[#All],[Column113]],0)+10,"")</f>
        <v/>
      </c>
      <c r="AL123" s="134" t="str">
        <f>_xlfn.IFNA(MATCH(L123,Achievements[[#All],[Column114]],0)+10,"")</f>
        <v/>
      </c>
      <c r="AM123" s="134" t="str">
        <f>_xlfn.IFNA(MATCH(M123,Achievements[[#All],[Column114]],0)+10,"")</f>
        <v/>
      </c>
      <c r="AN123" s="134" t="str">
        <f>_xlfn.IFNA(MATCH(N123,Achievements[[#All],[Column115]],0)+10,"")</f>
        <v/>
      </c>
      <c r="AO123" s="134" t="str">
        <f>_xlfn.IFNA(MATCH(O123,Achievements[[#All],[Column115]],0)+10,"")</f>
        <v/>
      </c>
      <c r="AP123" s="134" t="str">
        <f>_xlfn.IFNA(MATCH(P123,Achievements[[#All],[Column116]],0)+10,"")</f>
        <v/>
      </c>
      <c r="AQ123" s="134" t="str">
        <f>_xlfn.IFNA(MATCH(Q123,Achievements[[#All],[Column116]],0)+10,"")</f>
        <v/>
      </c>
      <c r="AR123" s="134" t="str">
        <f>_xlfn.IFNA(MATCH(R123,Achievements[[#All],[Column117]],0)+10,"")</f>
        <v/>
      </c>
      <c r="AS123" s="134" t="str">
        <f>_xlfn.IFNA(MATCH(S123,Achievements[[#All],[Column117]],0)+10,"")</f>
        <v/>
      </c>
      <c r="AT123" s="134" t="str">
        <f>_xlfn.IFNA(MATCH(T123,Achievements[[#All],[Column118]],0)+10,"")</f>
        <v/>
      </c>
      <c r="AU123" s="134" t="str">
        <f>_xlfn.IFNA(MATCH(U123,Achievements[[#All],[Column118]],0)+10,"")</f>
        <v/>
      </c>
      <c r="AV123" s="134" t="str">
        <f>_xlfn.IFNA(MATCH(V123,Achievements[[#All],[Column119]],0)+10,"")</f>
        <v/>
      </c>
      <c r="AW123" s="134" t="str">
        <f>_xlfn.IFNA(MATCH(W123,Achievements[[#All],[Column119]],0)+10,"")</f>
        <v/>
      </c>
      <c r="AX123" s="134" t="str">
        <f>_xlfn.IFNA(MATCH(X123,Achievements[[#All],[Column120]],0)+10,"")</f>
        <v/>
      </c>
      <c r="AY123" s="134" t="str">
        <f>_xlfn.IFNA(MATCH(Y123,Achievements[[#All],[Column120]],0)+10,"")</f>
        <v/>
      </c>
      <c r="AZ123" s="116" t="e">
        <f t="shared" ca="1" si="2"/>
        <v>#NAME?</v>
      </c>
      <c r="BA123" s="134" t="e" cm="1">
        <f t="array" aca="1" ref="BA123" ca="1">SplitValues("; ",Persons[[#This Row],[Column1]])</f>
        <v>#NAME?</v>
      </c>
      <c r="CA123" s="134" t="e">
        <f ca="1">_xlfn.IFNA(MATCH(BA123,Achievements[[#All],[Column1]],0)+10,"")</f>
        <v>#NAME?</v>
      </c>
      <c r="CB123" s="134" t="str">
        <f>_xlfn.IFNA(MATCH(BB123,Achievements[[#All],[Column1]],0)+10,"")</f>
        <v/>
      </c>
      <c r="CC123" s="134" t="str">
        <f>_xlfn.IFNA(MATCH(BC123,Achievements[[#All],[Column110]],0)+10,"")</f>
        <v/>
      </c>
      <c r="CD123" s="134" t="str">
        <f>_xlfn.IFNA(MATCH(BD123,Achievements[[#All],[Column110]],0)+10,"")</f>
        <v/>
      </c>
      <c r="CE123" s="134" t="str">
        <f>_xlfn.IFNA(MATCH(BE123,Achievements[[#All],[Column111]],0)+10,"")</f>
        <v/>
      </c>
      <c r="CF123" s="134" t="str">
        <f>_xlfn.IFNA(MATCH(BF123,Achievements[[#All],[Column111]],0)+10,"")</f>
        <v/>
      </c>
      <c r="CG123" s="134" t="str">
        <f>_xlfn.IFNA(MATCH(BG123,Achievements[[#All],[Column112]],0)+10,"")</f>
        <v/>
      </c>
      <c r="CH123" s="134" t="str">
        <f>_xlfn.IFNA(MATCH(BH123,Achievements[[#All],[Column112]],0)+10,"")</f>
        <v/>
      </c>
      <c r="CI123" s="134" t="str">
        <f>_xlfn.IFNA(MATCH(BI123,Achievements[[#All],[Column113]],0)+10,"")</f>
        <v/>
      </c>
      <c r="CJ123" s="134" t="str">
        <f>_xlfn.IFNA(MATCH(BJ123,Achievements[[#All],[Column113]],0)+10,"")</f>
        <v/>
      </c>
      <c r="CK123" s="134" t="str">
        <f>_xlfn.IFNA(MATCH(BK123,Achievements[[#All],[Column114]],0)+10,"")</f>
        <v/>
      </c>
      <c r="CL123" s="134" t="str">
        <f>_xlfn.IFNA(MATCH(BL123,Achievements[[#All],[Column114]],0)+10,"")</f>
        <v/>
      </c>
      <c r="CM123" s="134" t="str">
        <f>_xlfn.IFNA(MATCH(BM123,Achievements[[#All],[Column115]],0)+10,"")</f>
        <v/>
      </c>
      <c r="CN123" s="134" t="str">
        <f>_xlfn.IFNA(MATCH(BN123,Achievements[[#All],[Column115]],0)+10,"")</f>
        <v/>
      </c>
      <c r="CO123" s="134" t="str">
        <f>_xlfn.IFNA(MATCH(BO123,Achievements[[#All],[Column116]],0)+10,"")</f>
        <v/>
      </c>
      <c r="CP123" s="134" t="str">
        <f>_xlfn.IFNA(MATCH(BP123,Achievements[[#All],[Column116]],0)+10,"")</f>
        <v/>
      </c>
      <c r="CQ123" s="134" t="str">
        <f>_xlfn.IFNA(MATCH(BQ123,Achievements[[#All],[Column117]],0)+10,"")</f>
        <v/>
      </c>
      <c r="CR123" s="134" t="str">
        <f>_xlfn.IFNA(MATCH(BR123,Achievements[[#All],[Column117]],0)+10,"")</f>
        <v/>
      </c>
      <c r="CS123" s="134" t="str">
        <f>_xlfn.IFNA(MATCH(BS123,Achievements[[#All],[Column118]],0)+10,"")</f>
        <v/>
      </c>
      <c r="CT123" s="134" t="str">
        <f>_xlfn.IFNA(MATCH(BT123,Achievements[[#All],[Column118]],0)+10,"")</f>
        <v/>
      </c>
      <c r="CU123" s="134" t="str">
        <f>_xlfn.IFNA(MATCH(BU123,Achievements[[#All],[Column119]],0)+10,"")</f>
        <v/>
      </c>
      <c r="CV123" s="134" t="str">
        <f>_xlfn.IFNA(MATCH(BV123,Achievements[[#All],[Column119]],0)+10,"")</f>
        <v/>
      </c>
      <c r="CW123" s="134" t="str">
        <f>_xlfn.IFNA(MATCH(BW123,Achievements[[#All],[Column120]],0)+10,"")</f>
        <v/>
      </c>
      <c r="CX123" s="134" t="str">
        <f>_xlfn.IFNA(MATCH(BX123,Achievements[[#All],[Column120]],0)+10,"")</f>
        <v/>
      </c>
      <c r="CY123" s="134" t="str">
        <f>_xlfn.IFNA(MATCH(BY123,Achievements[[#All],[Column121]],0)+10,"")</f>
        <v/>
      </c>
      <c r="CZ123" s="118" t="e">
        <f t="shared" ca="1" si="3"/>
        <v>#NAME?</v>
      </c>
    </row>
    <row r="124" spans="1:104" x14ac:dyDescent="0.25">
      <c r="A124" t="e" cm="1">
        <f t="array" aca="1" ref="A124" ca="1">SplitValues("; ",#REF!)</f>
        <v>#NAME?</v>
      </c>
      <c r="AA124" t="e">
        <f ca="1">_xlfn.IFNA(MATCH(A124,Achievements[[#All],[Column1]],0)+11,"")</f>
        <v>#NAME?</v>
      </c>
      <c r="AB124" s="134" t="str">
        <f>_xlfn.IFNA(MATCH(B124,Achievements[[#All],[Column1]],0)+10,"")</f>
        <v/>
      </c>
      <c r="AC124" s="134" t="str">
        <f>_xlfn.IFNA(MATCH(C124,Achievements[[#All],[Column1]],0)+10,"")</f>
        <v/>
      </c>
      <c r="AD124" s="134" t="str">
        <f>_xlfn.IFNA(MATCH(D124,Achievements[[#All],[Column110]],0)+10,"")</f>
        <v/>
      </c>
      <c r="AE124" s="134" t="str">
        <f>_xlfn.IFNA(MATCH(E124,Achievements[[#All],[Column110]],0)+10,"")</f>
        <v/>
      </c>
      <c r="AF124" s="134" t="str">
        <f>_xlfn.IFNA(MATCH(F124,Achievements[[#All],[Column111]],0)+10,"")</f>
        <v/>
      </c>
      <c r="AG124" s="134" t="str">
        <f>_xlfn.IFNA(MATCH(G124,Achievements[[#All],[Column111]],0)+10,"")</f>
        <v/>
      </c>
      <c r="AH124" s="134" t="str">
        <f>_xlfn.IFNA(MATCH(H124,Achievements[[#All],[Column112]],0)+10,"")</f>
        <v/>
      </c>
      <c r="AI124" s="134" t="str">
        <f>_xlfn.IFNA(MATCH(I124,Achievements[[#All],[Column112]],0)+10,"")</f>
        <v/>
      </c>
      <c r="AJ124" s="134" t="str">
        <f>_xlfn.IFNA(MATCH(J124,Achievements[[#All],[Column113]],0)+10,"")</f>
        <v/>
      </c>
      <c r="AK124" s="134" t="str">
        <f>_xlfn.IFNA(MATCH(K124,Achievements[[#All],[Column113]],0)+10,"")</f>
        <v/>
      </c>
      <c r="AL124" s="134" t="str">
        <f>_xlfn.IFNA(MATCH(L124,Achievements[[#All],[Column114]],0)+10,"")</f>
        <v/>
      </c>
      <c r="AM124" s="134" t="str">
        <f>_xlfn.IFNA(MATCH(M124,Achievements[[#All],[Column114]],0)+10,"")</f>
        <v/>
      </c>
      <c r="AN124" s="134" t="str">
        <f>_xlfn.IFNA(MATCH(N124,Achievements[[#All],[Column115]],0)+10,"")</f>
        <v/>
      </c>
      <c r="AO124" s="134" t="str">
        <f>_xlfn.IFNA(MATCH(O124,Achievements[[#All],[Column115]],0)+10,"")</f>
        <v/>
      </c>
      <c r="AP124" s="134" t="str">
        <f>_xlfn.IFNA(MATCH(P124,Achievements[[#All],[Column116]],0)+10,"")</f>
        <v/>
      </c>
      <c r="AQ124" s="134" t="str">
        <f>_xlfn.IFNA(MATCH(Q124,Achievements[[#All],[Column116]],0)+10,"")</f>
        <v/>
      </c>
      <c r="AR124" s="134" t="str">
        <f>_xlfn.IFNA(MATCH(R124,Achievements[[#All],[Column117]],0)+10,"")</f>
        <v/>
      </c>
      <c r="AS124" s="134" t="str">
        <f>_xlfn.IFNA(MATCH(S124,Achievements[[#All],[Column117]],0)+10,"")</f>
        <v/>
      </c>
      <c r="AT124" s="134" t="str">
        <f>_xlfn.IFNA(MATCH(T124,Achievements[[#All],[Column118]],0)+10,"")</f>
        <v/>
      </c>
      <c r="AU124" s="134" t="str">
        <f>_xlfn.IFNA(MATCH(U124,Achievements[[#All],[Column118]],0)+10,"")</f>
        <v/>
      </c>
      <c r="AV124" s="134" t="str">
        <f>_xlfn.IFNA(MATCH(V124,Achievements[[#All],[Column119]],0)+10,"")</f>
        <v/>
      </c>
      <c r="AW124" s="134" t="str">
        <f>_xlfn.IFNA(MATCH(W124,Achievements[[#All],[Column119]],0)+10,"")</f>
        <v/>
      </c>
      <c r="AX124" s="134" t="str">
        <f>_xlfn.IFNA(MATCH(X124,Achievements[[#All],[Column120]],0)+10,"")</f>
        <v/>
      </c>
      <c r="AY124" s="134" t="str">
        <f>_xlfn.IFNA(MATCH(Y124,Achievements[[#All],[Column120]],0)+10,"")</f>
        <v/>
      </c>
      <c r="AZ124" s="116" t="e">
        <f t="shared" ca="1" si="2"/>
        <v>#NAME?</v>
      </c>
      <c r="BA124" s="134" t="e" cm="1">
        <f t="array" aca="1" ref="BA124" ca="1">SplitValues("; ",Persons[[#This Row],[Column1]])</f>
        <v>#NAME?</v>
      </c>
      <c r="CA124" s="134" t="e">
        <f ca="1">_xlfn.IFNA(MATCH(BA124,Achievements[[#All],[Column1]],0)+10,"")</f>
        <v>#NAME?</v>
      </c>
      <c r="CB124" s="134" t="str">
        <f>_xlfn.IFNA(MATCH(BB124,Achievements[[#All],[Column1]],0)+10,"")</f>
        <v/>
      </c>
      <c r="CC124" s="134" t="str">
        <f>_xlfn.IFNA(MATCH(BC124,Achievements[[#All],[Column110]],0)+10,"")</f>
        <v/>
      </c>
      <c r="CD124" s="134" t="str">
        <f>_xlfn.IFNA(MATCH(BD124,Achievements[[#All],[Column110]],0)+10,"")</f>
        <v/>
      </c>
      <c r="CE124" s="134" t="str">
        <f>_xlfn.IFNA(MATCH(BE124,Achievements[[#All],[Column111]],0)+10,"")</f>
        <v/>
      </c>
      <c r="CF124" s="134" t="str">
        <f>_xlfn.IFNA(MATCH(BF124,Achievements[[#All],[Column111]],0)+10,"")</f>
        <v/>
      </c>
      <c r="CG124" s="134" t="str">
        <f>_xlfn.IFNA(MATCH(BG124,Achievements[[#All],[Column112]],0)+10,"")</f>
        <v/>
      </c>
      <c r="CH124" s="134" t="str">
        <f>_xlfn.IFNA(MATCH(BH124,Achievements[[#All],[Column112]],0)+10,"")</f>
        <v/>
      </c>
      <c r="CI124" s="134" t="str">
        <f>_xlfn.IFNA(MATCH(BI124,Achievements[[#All],[Column113]],0)+10,"")</f>
        <v/>
      </c>
      <c r="CJ124" s="134" t="str">
        <f>_xlfn.IFNA(MATCH(BJ124,Achievements[[#All],[Column113]],0)+10,"")</f>
        <v/>
      </c>
      <c r="CK124" s="134" t="str">
        <f>_xlfn.IFNA(MATCH(BK124,Achievements[[#All],[Column114]],0)+10,"")</f>
        <v/>
      </c>
      <c r="CL124" s="134" t="str">
        <f>_xlfn.IFNA(MATCH(BL124,Achievements[[#All],[Column114]],0)+10,"")</f>
        <v/>
      </c>
      <c r="CM124" s="134" t="str">
        <f>_xlfn.IFNA(MATCH(BM124,Achievements[[#All],[Column115]],0)+10,"")</f>
        <v/>
      </c>
      <c r="CN124" s="134" t="str">
        <f>_xlfn.IFNA(MATCH(BN124,Achievements[[#All],[Column115]],0)+10,"")</f>
        <v/>
      </c>
      <c r="CO124" s="134" t="str">
        <f>_xlfn.IFNA(MATCH(BO124,Achievements[[#All],[Column116]],0)+10,"")</f>
        <v/>
      </c>
      <c r="CP124" s="134" t="str">
        <f>_xlfn.IFNA(MATCH(BP124,Achievements[[#All],[Column116]],0)+10,"")</f>
        <v/>
      </c>
      <c r="CQ124" s="134" t="str">
        <f>_xlfn.IFNA(MATCH(BQ124,Achievements[[#All],[Column117]],0)+10,"")</f>
        <v/>
      </c>
      <c r="CR124" s="134" t="str">
        <f>_xlfn.IFNA(MATCH(BR124,Achievements[[#All],[Column117]],0)+10,"")</f>
        <v/>
      </c>
      <c r="CS124" s="134" t="str">
        <f>_xlfn.IFNA(MATCH(BS124,Achievements[[#All],[Column118]],0)+10,"")</f>
        <v/>
      </c>
      <c r="CT124" s="134" t="str">
        <f>_xlfn.IFNA(MATCH(BT124,Achievements[[#All],[Column118]],0)+10,"")</f>
        <v/>
      </c>
      <c r="CU124" s="134" t="str">
        <f>_xlfn.IFNA(MATCH(BU124,Achievements[[#All],[Column119]],0)+10,"")</f>
        <v/>
      </c>
      <c r="CV124" s="134" t="str">
        <f>_xlfn.IFNA(MATCH(BV124,Achievements[[#All],[Column119]],0)+10,"")</f>
        <v/>
      </c>
      <c r="CW124" s="134" t="str">
        <f>_xlfn.IFNA(MATCH(BW124,Achievements[[#All],[Column120]],0)+10,"")</f>
        <v/>
      </c>
      <c r="CX124" s="134" t="str">
        <f>_xlfn.IFNA(MATCH(BX124,Achievements[[#All],[Column120]],0)+10,"")</f>
        <v/>
      </c>
      <c r="CY124" s="134" t="str">
        <f>_xlfn.IFNA(MATCH(BY124,Achievements[[#All],[Column121]],0)+10,"")</f>
        <v/>
      </c>
      <c r="CZ124" s="118" t="e">
        <f t="shared" ca="1" si="3"/>
        <v>#NAME?</v>
      </c>
    </row>
    <row r="125" spans="1:104" x14ac:dyDescent="0.25">
      <c r="A125" t="e" cm="1">
        <f t="array" aca="1" ref="A125" ca="1">SplitValues("; ",#REF!)</f>
        <v>#NAME?</v>
      </c>
      <c r="AA125" t="e">
        <f ca="1">_xlfn.IFNA(MATCH(A125,Achievements[[#All],[Column1]],0)+11,"")</f>
        <v>#NAME?</v>
      </c>
      <c r="AB125" s="134" t="str">
        <f>_xlfn.IFNA(MATCH(B125,Achievements[[#All],[Column1]],0)+10,"")</f>
        <v/>
      </c>
      <c r="AC125" s="134" t="str">
        <f>_xlfn.IFNA(MATCH(C125,Achievements[[#All],[Column1]],0)+10,"")</f>
        <v/>
      </c>
      <c r="AD125" s="134" t="str">
        <f>_xlfn.IFNA(MATCH(D125,Achievements[[#All],[Column110]],0)+10,"")</f>
        <v/>
      </c>
      <c r="AE125" s="134" t="str">
        <f>_xlfn.IFNA(MATCH(E125,Achievements[[#All],[Column110]],0)+10,"")</f>
        <v/>
      </c>
      <c r="AF125" s="134" t="str">
        <f>_xlfn.IFNA(MATCH(F125,Achievements[[#All],[Column111]],0)+10,"")</f>
        <v/>
      </c>
      <c r="AG125" s="134" t="str">
        <f>_xlfn.IFNA(MATCH(G125,Achievements[[#All],[Column111]],0)+10,"")</f>
        <v/>
      </c>
      <c r="AH125" s="134" t="str">
        <f>_xlfn.IFNA(MATCH(H125,Achievements[[#All],[Column112]],0)+10,"")</f>
        <v/>
      </c>
      <c r="AI125" s="134" t="str">
        <f>_xlfn.IFNA(MATCH(I125,Achievements[[#All],[Column112]],0)+10,"")</f>
        <v/>
      </c>
      <c r="AJ125" s="134" t="str">
        <f>_xlfn.IFNA(MATCH(J125,Achievements[[#All],[Column113]],0)+10,"")</f>
        <v/>
      </c>
      <c r="AK125" s="134" t="str">
        <f>_xlfn.IFNA(MATCH(K125,Achievements[[#All],[Column113]],0)+10,"")</f>
        <v/>
      </c>
      <c r="AL125" s="134" t="str">
        <f>_xlfn.IFNA(MATCH(L125,Achievements[[#All],[Column114]],0)+10,"")</f>
        <v/>
      </c>
      <c r="AM125" s="134" t="str">
        <f>_xlfn.IFNA(MATCH(M125,Achievements[[#All],[Column114]],0)+10,"")</f>
        <v/>
      </c>
      <c r="AN125" s="134" t="str">
        <f>_xlfn.IFNA(MATCH(N125,Achievements[[#All],[Column115]],0)+10,"")</f>
        <v/>
      </c>
      <c r="AO125" s="134" t="str">
        <f>_xlfn.IFNA(MATCH(O125,Achievements[[#All],[Column115]],0)+10,"")</f>
        <v/>
      </c>
      <c r="AP125" s="134" t="str">
        <f>_xlfn.IFNA(MATCH(P125,Achievements[[#All],[Column116]],0)+10,"")</f>
        <v/>
      </c>
      <c r="AQ125" s="134" t="str">
        <f>_xlfn.IFNA(MATCH(Q125,Achievements[[#All],[Column116]],0)+10,"")</f>
        <v/>
      </c>
      <c r="AR125" s="134" t="str">
        <f>_xlfn.IFNA(MATCH(R125,Achievements[[#All],[Column117]],0)+10,"")</f>
        <v/>
      </c>
      <c r="AS125" s="134" t="str">
        <f>_xlfn.IFNA(MATCH(S125,Achievements[[#All],[Column117]],0)+10,"")</f>
        <v/>
      </c>
      <c r="AT125" s="134" t="str">
        <f>_xlfn.IFNA(MATCH(T125,Achievements[[#All],[Column118]],0)+10,"")</f>
        <v/>
      </c>
      <c r="AU125" s="134" t="str">
        <f>_xlfn.IFNA(MATCH(U125,Achievements[[#All],[Column118]],0)+10,"")</f>
        <v/>
      </c>
      <c r="AV125" s="134" t="str">
        <f>_xlfn.IFNA(MATCH(V125,Achievements[[#All],[Column119]],0)+10,"")</f>
        <v/>
      </c>
      <c r="AW125" s="134" t="str">
        <f>_xlfn.IFNA(MATCH(W125,Achievements[[#All],[Column119]],0)+10,"")</f>
        <v/>
      </c>
      <c r="AX125" s="134" t="str">
        <f>_xlfn.IFNA(MATCH(X125,Achievements[[#All],[Column120]],0)+10,"")</f>
        <v/>
      </c>
      <c r="AY125" s="134" t="str">
        <f>_xlfn.IFNA(MATCH(Y125,Achievements[[#All],[Column120]],0)+10,"")</f>
        <v/>
      </c>
      <c r="AZ125" s="116" t="e">
        <f t="shared" ca="1" si="2"/>
        <v>#NAME?</v>
      </c>
      <c r="BA125" s="134" t="e" cm="1">
        <f t="array" aca="1" ref="BA125" ca="1">SplitValues("; ",Persons[[#This Row],[Column1]])</f>
        <v>#NAME?</v>
      </c>
      <c r="CA125" s="134" t="e">
        <f ca="1">_xlfn.IFNA(MATCH(BA125,Achievements[[#All],[Column1]],0)+10,"")</f>
        <v>#NAME?</v>
      </c>
      <c r="CB125" s="134" t="str">
        <f>_xlfn.IFNA(MATCH(BB125,Achievements[[#All],[Column1]],0)+10,"")</f>
        <v/>
      </c>
      <c r="CC125" s="134" t="str">
        <f>_xlfn.IFNA(MATCH(BC125,Achievements[[#All],[Column110]],0)+10,"")</f>
        <v/>
      </c>
      <c r="CD125" s="134" t="str">
        <f>_xlfn.IFNA(MATCH(BD125,Achievements[[#All],[Column110]],0)+10,"")</f>
        <v/>
      </c>
      <c r="CE125" s="134" t="str">
        <f>_xlfn.IFNA(MATCH(BE125,Achievements[[#All],[Column111]],0)+10,"")</f>
        <v/>
      </c>
      <c r="CF125" s="134" t="str">
        <f>_xlfn.IFNA(MATCH(BF125,Achievements[[#All],[Column111]],0)+10,"")</f>
        <v/>
      </c>
      <c r="CG125" s="134" t="str">
        <f>_xlfn.IFNA(MATCH(BG125,Achievements[[#All],[Column112]],0)+10,"")</f>
        <v/>
      </c>
      <c r="CH125" s="134" t="str">
        <f>_xlfn.IFNA(MATCH(BH125,Achievements[[#All],[Column112]],0)+10,"")</f>
        <v/>
      </c>
      <c r="CI125" s="134" t="str">
        <f>_xlfn.IFNA(MATCH(BI125,Achievements[[#All],[Column113]],0)+10,"")</f>
        <v/>
      </c>
      <c r="CJ125" s="134" t="str">
        <f>_xlfn.IFNA(MATCH(BJ125,Achievements[[#All],[Column113]],0)+10,"")</f>
        <v/>
      </c>
      <c r="CK125" s="134" t="str">
        <f>_xlfn.IFNA(MATCH(BK125,Achievements[[#All],[Column114]],0)+10,"")</f>
        <v/>
      </c>
      <c r="CL125" s="134" t="str">
        <f>_xlfn.IFNA(MATCH(BL125,Achievements[[#All],[Column114]],0)+10,"")</f>
        <v/>
      </c>
      <c r="CM125" s="134" t="str">
        <f>_xlfn.IFNA(MATCH(BM125,Achievements[[#All],[Column115]],0)+10,"")</f>
        <v/>
      </c>
      <c r="CN125" s="134" t="str">
        <f>_xlfn.IFNA(MATCH(BN125,Achievements[[#All],[Column115]],0)+10,"")</f>
        <v/>
      </c>
      <c r="CO125" s="134" t="str">
        <f>_xlfn.IFNA(MATCH(BO125,Achievements[[#All],[Column116]],0)+10,"")</f>
        <v/>
      </c>
      <c r="CP125" s="134" t="str">
        <f>_xlfn.IFNA(MATCH(BP125,Achievements[[#All],[Column116]],0)+10,"")</f>
        <v/>
      </c>
      <c r="CQ125" s="134" t="str">
        <f>_xlfn.IFNA(MATCH(BQ125,Achievements[[#All],[Column117]],0)+10,"")</f>
        <v/>
      </c>
      <c r="CR125" s="134" t="str">
        <f>_xlfn.IFNA(MATCH(BR125,Achievements[[#All],[Column117]],0)+10,"")</f>
        <v/>
      </c>
      <c r="CS125" s="134" t="str">
        <f>_xlfn.IFNA(MATCH(BS125,Achievements[[#All],[Column118]],0)+10,"")</f>
        <v/>
      </c>
      <c r="CT125" s="134" t="str">
        <f>_xlfn.IFNA(MATCH(BT125,Achievements[[#All],[Column118]],0)+10,"")</f>
        <v/>
      </c>
      <c r="CU125" s="134" t="str">
        <f>_xlfn.IFNA(MATCH(BU125,Achievements[[#All],[Column119]],0)+10,"")</f>
        <v/>
      </c>
      <c r="CV125" s="134" t="str">
        <f>_xlfn.IFNA(MATCH(BV125,Achievements[[#All],[Column119]],0)+10,"")</f>
        <v/>
      </c>
      <c r="CW125" s="134" t="str">
        <f>_xlfn.IFNA(MATCH(BW125,Achievements[[#All],[Column120]],0)+10,"")</f>
        <v/>
      </c>
      <c r="CX125" s="134" t="str">
        <f>_xlfn.IFNA(MATCH(BX125,Achievements[[#All],[Column120]],0)+10,"")</f>
        <v/>
      </c>
      <c r="CY125" s="134" t="str">
        <f>_xlfn.IFNA(MATCH(BY125,Achievements[[#All],[Column121]],0)+10,"")</f>
        <v/>
      </c>
      <c r="CZ125" s="118" t="e">
        <f t="shared" ca="1" si="3"/>
        <v>#NAME?</v>
      </c>
    </row>
    <row r="126" spans="1:104" x14ac:dyDescent="0.25">
      <c r="A126" t="e" cm="1">
        <f t="array" aca="1" ref="A126" ca="1">SplitValues("; ",#REF!)</f>
        <v>#NAME?</v>
      </c>
      <c r="AA126" t="e">
        <f ca="1">_xlfn.IFNA(MATCH(A126,Achievements[[#All],[Column1]],0)+11,"")</f>
        <v>#NAME?</v>
      </c>
      <c r="AB126" s="134" t="str">
        <f>_xlfn.IFNA(MATCH(B126,Achievements[[#All],[Column1]],0)+10,"")</f>
        <v/>
      </c>
      <c r="AC126" s="134" t="str">
        <f>_xlfn.IFNA(MATCH(C126,Achievements[[#All],[Column1]],0)+10,"")</f>
        <v/>
      </c>
      <c r="AD126" s="134" t="str">
        <f>_xlfn.IFNA(MATCH(D126,Achievements[[#All],[Column110]],0)+10,"")</f>
        <v/>
      </c>
      <c r="AE126" s="134" t="str">
        <f>_xlfn.IFNA(MATCH(E126,Achievements[[#All],[Column110]],0)+10,"")</f>
        <v/>
      </c>
      <c r="AF126" s="134" t="str">
        <f>_xlfn.IFNA(MATCH(F126,Achievements[[#All],[Column111]],0)+10,"")</f>
        <v/>
      </c>
      <c r="AG126" s="134" t="str">
        <f>_xlfn.IFNA(MATCH(G126,Achievements[[#All],[Column111]],0)+10,"")</f>
        <v/>
      </c>
      <c r="AH126" s="134" t="str">
        <f>_xlfn.IFNA(MATCH(H126,Achievements[[#All],[Column112]],0)+10,"")</f>
        <v/>
      </c>
      <c r="AI126" s="134" t="str">
        <f>_xlfn.IFNA(MATCH(I126,Achievements[[#All],[Column112]],0)+10,"")</f>
        <v/>
      </c>
      <c r="AJ126" s="134" t="str">
        <f>_xlfn.IFNA(MATCH(J126,Achievements[[#All],[Column113]],0)+10,"")</f>
        <v/>
      </c>
      <c r="AK126" s="134" t="str">
        <f>_xlfn.IFNA(MATCH(K126,Achievements[[#All],[Column113]],0)+10,"")</f>
        <v/>
      </c>
      <c r="AL126" s="134" t="str">
        <f>_xlfn.IFNA(MATCH(L126,Achievements[[#All],[Column114]],0)+10,"")</f>
        <v/>
      </c>
      <c r="AM126" s="134" t="str">
        <f>_xlfn.IFNA(MATCH(M126,Achievements[[#All],[Column114]],0)+10,"")</f>
        <v/>
      </c>
      <c r="AN126" s="134" t="str">
        <f>_xlfn.IFNA(MATCH(N126,Achievements[[#All],[Column115]],0)+10,"")</f>
        <v/>
      </c>
      <c r="AO126" s="134" t="str">
        <f>_xlfn.IFNA(MATCH(O126,Achievements[[#All],[Column115]],0)+10,"")</f>
        <v/>
      </c>
      <c r="AP126" s="134" t="str">
        <f>_xlfn.IFNA(MATCH(P126,Achievements[[#All],[Column116]],0)+10,"")</f>
        <v/>
      </c>
      <c r="AQ126" s="134" t="str">
        <f>_xlfn.IFNA(MATCH(Q126,Achievements[[#All],[Column116]],0)+10,"")</f>
        <v/>
      </c>
      <c r="AR126" s="134" t="str">
        <f>_xlfn.IFNA(MATCH(R126,Achievements[[#All],[Column117]],0)+10,"")</f>
        <v/>
      </c>
      <c r="AS126" s="134" t="str">
        <f>_xlfn.IFNA(MATCH(S126,Achievements[[#All],[Column117]],0)+10,"")</f>
        <v/>
      </c>
      <c r="AT126" s="134" t="str">
        <f>_xlfn.IFNA(MATCH(T126,Achievements[[#All],[Column118]],0)+10,"")</f>
        <v/>
      </c>
      <c r="AU126" s="134" t="str">
        <f>_xlfn.IFNA(MATCH(U126,Achievements[[#All],[Column118]],0)+10,"")</f>
        <v/>
      </c>
      <c r="AV126" s="134" t="str">
        <f>_xlfn.IFNA(MATCH(V126,Achievements[[#All],[Column119]],0)+10,"")</f>
        <v/>
      </c>
      <c r="AW126" s="134" t="str">
        <f>_xlfn.IFNA(MATCH(W126,Achievements[[#All],[Column119]],0)+10,"")</f>
        <v/>
      </c>
      <c r="AX126" s="134" t="str">
        <f>_xlfn.IFNA(MATCH(X126,Achievements[[#All],[Column120]],0)+10,"")</f>
        <v/>
      </c>
      <c r="AY126" s="134" t="str">
        <f>_xlfn.IFNA(MATCH(Y126,Achievements[[#All],[Column120]],0)+10,"")</f>
        <v/>
      </c>
      <c r="AZ126" s="116" t="e">
        <f t="shared" ca="1" si="2"/>
        <v>#NAME?</v>
      </c>
      <c r="BA126" s="134" t="e" cm="1">
        <f t="array" aca="1" ref="BA126" ca="1">SplitValues("; ",Persons[[#This Row],[Column1]])</f>
        <v>#NAME?</v>
      </c>
      <c r="CA126" s="134" t="e">
        <f ca="1">_xlfn.IFNA(MATCH(BA126,Achievements[[#All],[Column1]],0)+10,"")</f>
        <v>#NAME?</v>
      </c>
      <c r="CB126" s="134" t="str">
        <f>_xlfn.IFNA(MATCH(BB126,Achievements[[#All],[Column1]],0)+10,"")</f>
        <v/>
      </c>
      <c r="CC126" s="134" t="str">
        <f>_xlfn.IFNA(MATCH(BC126,Achievements[[#All],[Column110]],0)+10,"")</f>
        <v/>
      </c>
      <c r="CD126" s="134" t="str">
        <f>_xlfn.IFNA(MATCH(BD126,Achievements[[#All],[Column110]],0)+10,"")</f>
        <v/>
      </c>
      <c r="CE126" s="134" t="str">
        <f>_xlfn.IFNA(MATCH(BE126,Achievements[[#All],[Column111]],0)+10,"")</f>
        <v/>
      </c>
      <c r="CF126" s="134" t="str">
        <f>_xlfn.IFNA(MATCH(BF126,Achievements[[#All],[Column111]],0)+10,"")</f>
        <v/>
      </c>
      <c r="CG126" s="134" t="str">
        <f>_xlfn.IFNA(MATCH(BG126,Achievements[[#All],[Column112]],0)+10,"")</f>
        <v/>
      </c>
      <c r="CH126" s="134" t="str">
        <f>_xlfn.IFNA(MATCH(BH126,Achievements[[#All],[Column112]],0)+10,"")</f>
        <v/>
      </c>
      <c r="CI126" s="134" t="str">
        <f>_xlfn.IFNA(MATCH(BI126,Achievements[[#All],[Column113]],0)+10,"")</f>
        <v/>
      </c>
      <c r="CJ126" s="134" t="str">
        <f>_xlfn.IFNA(MATCH(BJ126,Achievements[[#All],[Column113]],0)+10,"")</f>
        <v/>
      </c>
      <c r="CK126" s="134" t="str">
        <f>_xlfn.IFNA(MATCH(BK126,Achievements[[#All],[Column114]],0)+10,"")</f>
        <v/>
      </c>
      <c r="CL126" s="134" t="str">
        <f>_xlfn.IFNA(MATCH(BL126,Achievements[[#All],[Column114]],0)+10,"")</f>
        <v/>
      </c>
      <c r="CM126" s="134" t="str">
        <f>_xlfn.IFNA(MATCH(BM126,Achievements[[#All],[Column115]],0)+10,"")</f>
        <v/>
      </c>
      <c r="CN126" s="134" t="str">
        <f>_xlfn.IFNA(MATCH(BN126,Achievements[[#All],[Column115]],0)+10,"")</f>
        <v/>
      </c>
      <c r="CO126" s="134" t="str">
        <f>_xlfn.IFNA(MATCH(BO126,Achievements[[#All],[Column116]],0)+10,"")</f>
        <v/>
      </c>
      <c r="CP126" s="134" t="str">
        <f>_xlfn.IFNA(MATCH(BP126,Achievements[[#All],[Column116]],0)+10,"")</f>
        <v/>
      </c>
      <c r="CQ126" s="134" t="str">
        <f>_xlfn.IFNA(MATCH(BQ126,Achievements[[#All],[Column117]],0)+10,"")</f>
        <v/>
      </c>
      <c r="CR126" s="134" t="str">
        <f>_xlfn.IFNA(MATCH(BR126,Achievements[[#All],[Column117]],0)+10,"")</f>
        <v/>
      </c>
      <c r="CS126" s="134" t="str">
        <f>_xlfn.IFNA(MATCH(BS126,Achievements[[#All],[Column118]],0)+10,"")</f>
        <v/>
      </c>
      <c r="CT126" s="134" t="str">
        <f>_xlfn.IFNA(MATCH(BT126,Achievements[[#All],[Column118]],0)+10,"")</f>
        <v/>
      </c>
      <c r="CU126" s="134" t="str">
        <f>_xlfn.IFNA(MATCH(BU126,Achievements[[#All],[Column119]],0)+10,"")</f>
        <v/>
      </c>
      <c r="CV126" s="134" t="str">
        <f>_xlfn.IFNA(MATCH(BV126,Achievements[[#All],[Column119]],0)+10,"")</f>
        <v/>
      </c>
      <c r="CW126" s="134" t="str">
        <f>_xlfn.IFNA(MATCH(BW126,Achievements[[#All],[Column120]],0)+10,"")</f>
        <v/>
      </c>
      <c r="CX126" s="134" t="str">
        <f>_xlfn.IFNA(MATCH(BX126,Achievements[[#All],[Column120]],0)+10,"")</f>
        <v/>
      </c>
      <c r="CY126" s="134" t="str">
        <f>_xlfn.IFNA(MATCH(BY126,Achievements[[#All],[Column121]],0)+10,"")</f>
        <v/>
      </c>
      <c r="CZ126" s="118" t="e">
        <f t="shared" ca="1" si="3"/>
        <v>#NAME?</v>
      </c>
    </row>
    <row r="127" spans="1:104" x14ac:dyDescent="0.25">
      <c r="A127" t="e" cm="1">
        <f t="array" aca="1" ref="A127" ca="1">SplitValues("; ",#REF!)</f>
        <v>#NAME?</v>
      </c>
      <c r="AA127" t="e">
        <f ca="1">_xlfn.IFNA(MATCH(A127,Achievements[[#All],[Column1]],0)+11,"")</f>
        <v>#NAME?</v>
      </c>
      <c r="AB127" s="134" t="str">
        <f>_xlfn.IFNA(MATCH(B127,Achievements[[#All],[Column1]],0)+10,"")</f>
        <v/>
      </c>
      <c r="AC127" s="134" t="str">
        <f>_xlfn.IFNA(MATCH(C127,Achievements[[#All],[Column1]],0)+10,"")</f>
        <v/>
      </c>
      <c r="AD127" s="134" t="str">
        <f>_xlfn.IFNA(MATCH(D127,Achievements[[#All],[Column110]],0)+10,"")</f>
        <v/>
      </c>
      <c r="AE127" s="134" t="str">
        <f>_xlfn.IFNA(MATCH(E127,Achievements[[#All],[Column110]],0)+10,"")</f>
        <v/>
      </c>
      <c r="AF127" s="134" t="str">
        <f>_xlfn.IFNA(MATCH(F127,Achievements[[#All],[Column111]],0)+10,"")</f>
        <v/>
      </c>
      <c r="AG127" s="134" t="str">
        <f>_xlfn.IFNA(MATCH(G127,Achievements[[#All],[Column111]],0)+10,"")</f>
        <v/>
      </c>
      <c r="AH127" s="134" t="str">
        <f>_xlfn.IFNA(MATCH(H127,Achievements[[#All],[Column112]],0)+10,"")</f>
        <v/>
      </c>
      <c r="AI127" s="134" t="str">
        <f>_xlfn.IFNA(MATCH(I127,Achievements[[#All],[Column112]],0)+10,"")</f>
        <v/>
      </c>
      <c r="AJ127" s="134" t="str">
        <f>_xlfn.IFNA(MATCH(J127,Achievements[[#All],[Column113]],0)+10,"")</f>
        <v/>
      </c>
      <c r="AK127" s="134" t="str">
        <f>_xlfn.IFNA(MATCH(K127,Achievements[[#All],[Column113]],0)+10,"")</f>
        <v/>
      </c>
      <c r="AL127" s="134" t="str">
        <f>_xlfn.IFNA(MATCH(L127,Achievements[[#All],[Column114]],0)+10,"")</f>
        <v/>
      </c>
      <c r="AM127" s="134" t="str">
        <f>_xlfn.IFNA(MATCH(M127,Achievements[[#All],[Column114]],0)+10,"")</f>
        <v/>
      </c>
      <c r="AN127" s="134" t="str">
        <f>_xlfn.IFNA(MATCH(N127,Achievements[[#All],[Column115]],0)+10,"")</f>
        <v/>
      </c>
      <c r="AO127" s="134" t="str">
        <f>_xlfn.IFNA(MATCH(O127,Achievements[[#All],[Column115]],0)+10,"")</f>
        <v/>
      </c>
      <c r="AP127" s="134" t="str">
        <f>_xlfn.IFNA(MATCH(P127,Achievements[[#All],[Column116]],0)+10,"")</f>
        <v/>
      </c>
      <c r="AQ127" s="134" t="str">
        <f>_xlfn.IFNA(MATCH(Q127,Achievements[[#All],[Column116]],0)+10,"")</f>
        <v/>
      </c>
      <c r="AR127" s="134" t="str">
        <f>_xlfn.IFNA(MATCH(R127,Achievements[[#All],[Column117]],0)+10,"")</f>
        <v/>
      </c>
      <c r="AS127" s="134" t="str">
        <f>_xlfn.IFNA(MATCH(S127,Achievements[[#All],[Column117]],0)+10,"")</f>
        <v/>
      </c>
      <c r="AT127" s="134" t="str">
        <f>_xlfn.IFNA(MATCH(T127,Achievements[[#All],[Column118]],0)+10,"")</f>
        <v/>
      </c>
      <c r="AU127" s="134" t="str">
        <f>_xlfn.IFNA(MATCH(U127,Achievements[[#All],[Column118]],0)+10,"")</f>
        <v/>
      </c>
      <c r="AV127" s="134" t="str">
        <f>_xlfn.IFNA(MATCH(V127,Achievements[[#All],[Column119]],0)+10,"")</f>
        <v/>
      </c>
      <c r="AW127" s="134" t="str">
        <f>_xlfn.IFNA(MATCH(W127,Achievements[[#All],[Column119]],0)+10,"")</f>
        <v/>
      </c>
      <c r="AX127" s="134" t="str">
        <f>_xlfn.IFNA(MATCH(X127,Achievements[[#All],[Column120]],0)+10,"")</f>
        <v/>
      </c>
      <c r="AY127" s="134" t="str">
        <f>_xlfn.IFNA(MATCH(Y127,Achievements[[#All],[Column120]],0)+10,"")</f>
        <v/>
      </c>
      <c r="AZ127" s="116" t="e">
        <f t="shared" ca="1" si="2"/>
        <v>#NAME?</v>
      </c>
      <c r="BA127" s="134" t="e" cm="1">
        <f t="array" aca="1" ref="BA127" ca="1">SplitValues("; ",Persons[[#This Row],[Column1]])</f>
        <v>#NAME?</v>
      </c>
      <c r="CA127" s="134" t="e">
        <f ca="1">_xlfn.IFNA(MATCH(BA127,Achievements[[#All],[Column1]],0)+10,"")</f>
        <v>#NAME?</v>
      </c>
      <c r="CB127" s="134" t="str">
        <f>_xlfn.IFNA(MATCH(BB127,Achievements[[#All],[Column1]],0)+10,"")</f>
        <v/>
      </c>
      <c r="CC127" s="134" t="str">
        <f>_xlfn.IFNA(MATCH(BC127,Achievements[[#All],[Column110]],0)+10,"")</f>
        <v/>
      </c>
      <c r="CD127" s="134" t="str">
        <f>_xlfn.IFNA(MATCH(BD127,Achievements[[#All],[Column110]],0)+10,"")</f>
        <v/>
      </c>
      <c r="CE127" s="134" t="str">
        <f>_xlfn.IFNA(MATCH(BE127,Achievements[[#All],[Column111]],0)+10,"")</f>
        <v/>
      </c>
      <c r="CF127" s="134" t="str">
        <f>_xlfn.IFNA(MATCH(BF127,Achievements[[#All],[Column111]],0)+10,"")</f>
        <v/>
      </c>
      <c r="CG127" s="134" t="str">
        <f>_xlfn.IFNA(MATCH(BG127,Achievements[[#All],[Column112]],0)+10,"")</f>
        <v/>
      </c>
      <c r="CH127" s="134" t="str">
        <f>_xlfn.IFNA(MATCH(BH127,Achievements[[#All],[Column112]],0)+10,"")</f>
        <v/>
      </c>
      <c r="CI127" s="134" t="str">
        <f>_xlfn.IFNA(MATCH(BI127,Achievements[[#All],[Column113]],0)+10,"")</f>
        <v/>
      </c>
      <c r="CJ127" s="134" t="str">
        <f>_xlfn.IFNA(MATCH(BJ127,Achievements[[#All],[Column113]],0)+10,"")</f>
        <v/>
      </c>
      <c r="CK127" s="134" t="str">
        <f>_xlfn.IFNA(MATCH(BK127,Achievements[[#All],[Column114]],0)+10,"")</f>
        <v/>
      </c>
      <c r="CL127" s="134" t="str">
        <f>_xlfn.IFNA(MATCH(BL127,Achievements[[#All],[Column114]],0)+10,"")</f>
        <v/>
      </c>
      <c r="CM127" s="134" t="str">
        <f>_xlfn.IFNA(MATCH(BM127,Achievements[[#All],[Column115]],0)+10,"")</f>
        <v/>
      </c>
      <c r="CN127" s="134" t="str">
        <f>_xlfn.IFNA(MATCH(BN127,Achievements[[#All],[Column115]],0)+10,"")</f>
        <v/>
      </c>
      <c r="CO127" s="134" t="str">
        <f>_xlfn.IFNA(MATCH(BO127,Achievements[[#All],[Column116]],0)+10,"")</f>
        <v/>
      </c>
      <c r="CP127" s="134" t="str">
        <f>_xlfn.IFNA(MATCH(BP127,Achievements[[#All],[Column116]],0)+10,"")</f>
        <v/>
      </c>
      <c r="CQ127" s="134" t="str">
        <f>_xlfn.IFNA(MATCH(BQ127,Achievements[[#All],[Column117]],0)+10,"")</f>
        <v/>
      </c>
      <c r="CR127" s="134" t="str">
        <f>_xlfn.IFNA(MATCH(BR127,Achievements[[#All],[Column117]],0)+10,"")</f>
        <v/>
      </c>
      <c r="CS127" s="134" t="str">
        <f>_xlfn.IFNA(MATCH(BS127,Achievements[[#All],[Column118]],0)+10,"")</f>
        <v/>
      </c>
      <c r="CT127" s="134" t="str">
        <f>_xlfn.IFNA(MATCH(BT127,Achievements[[#All],[Column118]],0)+10,"")</f>
        <v/>
      </c>
      <c r="CU127" s="134" t="str">
        <f>_xlfn.IFNA(MATCH(BU127,Achievements[[#All],[Column119]],0)+10,"")</f>
        <v/>
      </c>
      <c r="CV127" s="134" t="str">
        <f>_xlfn.IFNA(MATCH(BV127,Achievements[[#All],[Column119]],0)+10,"")</f>
        <v/>
      </c>
      <c r="CW127" s="134" t="str">
        <f>_xlfn.IFNA(MATCH(BW127,Achievements[[#All],[Column120]],0)+10,"")</f>
        <v/>
      </c>
      <c r="CX127" s="134" t="str">
        <f>_xlfn.IFNA(MATCH(BX127,Achievements[[#All],[Column120]],0)+10,"")</f>
        <v/>
      </c>
      <c r="CY127" s="134" t="str">
        <f>_xlfn.IFNA(MATCH(BY127,Achievements[[#All],[Column121]],0)+10,"")</f>
        <v/>
      </c>
      <c r="CZ127" s="118" t="e">
        <f t="shared" ca="1" si="3"/>
        <v>#NAME?</v>
      </c>
    </row>
    <row r="128" spans="1:104" x14ac:dyDescent="0.25">
      <c r="A128" t="e" cm="1">
        <f t="array" aca="1" ref="A128" ca="1">SplitValues("; ",#REF!)</f>
        <v>#NAME?</v>
      </c>
      <c r="AA128" t="e">
        <f ca="1">_xlfn.IFNA(MATCH(A128,Achievements[[#All],[Column1]],0)+11,"")</f>
        <v>#NAME?</v>
      </c>
      <c r="AB128" s="134" t="str">
        <f>_xlfn.IFNA(MATCH(B128,Achievements[[#All],[Column1]],0)+10,"")</f>
        <v/>
      </c>
      <c r="AC128" s="134" t="str">
        <f>_xlfn.IFNA(MATCH(C128,Achievements[[#All],[Column1]],0)+10,"")</f>
        <v/>
      </c>
      <c r="AD128" s="134" t="str">
        <f>_xlfn.IFNA(MATCH(D128,Achievements[[#All],[Column110]],0)+10,"")</f>
        <v/>
      </c>
      <c r="AE128" s="134" t="str">
        <f>_xlfn.IFNA(MATCH(E128,Achievements[[#All],[Column110]],0)+10,"")</f>
        <v/>
      </c>
      <c r="AF128" s="134" t="str">
        <f>_xlfn.IFNA(MATCH(F128,Achievements[[#All],[Column111]],0)+10,"")</f>
        <v/>
      </c>
      <c r="AG128" s="134" t="str">
        <f>_xlfn.IFNA(MATCH(G128,Achievements[[#All],[Column111]],0)+10,"")</f>
        <v/>
      </c>
      <c r="AH128" s="134" t="str">
        <f>_xlfn.IFNA(MATCH(H128,Achievements[[#All],[Column112]],0)+10,"")</f>
        <v/>
      </c>
      <c r="AI128" s="134" t="str">
        <f>_xlfn.IFNA(MATCH(I128,Achievements[[#All],[Column112]],0)+10,"")</f>
        <v/>
      </c>
      <c r="AJ128" s="134" t="str">
        <f>_xlfn.IFNA(MATCH(J128,Achievements[[#All],[Column113]],0)+10,"")</f>
        <v/>
      </c>
      <c r="AK128" s="134" t="str">
        <f>_xlfn.IFNA(MATCH(K128,Achievements[[#All],[Column113]],0)+10,"")</f>
        <v/>
      </c>
      <c r="AL128" s="134" t="str">
        <f>_xlfn.IFNA(MATCH(L128,Achievements[[#All],[Column114]],0)+10,"")</f>
        <v/>
      </c>
      <c r="AM128" s="134" t="str">
        <f>_xlfn.IFNA(MATCH(M128,Achievements[[#All],[Column114]],0)+10,"")</f>
        <v/>
      </c>
      <c r="AN128" s="134" t="str">
        <f>_xlfn.IFNA(MATCH(N128,Achievements[[#All],[Column115]],0)+10,"")</f>
        <v/>
      </c>
      <c r="AO128" s="134" t="str">
        <f>_xlfn.IFNA(MATCH(O128,Achievements[[#All],[Column115]],0)+10,"")</f>
        <v/>
      </c>
      <c r="AP128" s="134" t="str">
        <f>_xlfn.IFNA(MATCH(P128,Achievements[[#All],[Column116]],0)+10,"")</f>
        <v/>
      </c>
      <c r="AQ128" s="134" t="str">
        <f>_xlfn.IFNA(MATCH(Q128,Achievements[[#All],[Column116]],0)+10,"")</f>
        <v/>
      </c>
      <c r="AR128" s="134" t="str">
        <f>_xlfn.IFNA(MATCH(R128,Achievements[[#All],[Column117]],0)+10,"")</f>
        <v/>
      </c>
      <c r="AS128" s="134" t="str">
        <f>_xlfn.IFNA(MATCH(S128,Achievements[[#All],[Column117]],0)+10,"")</f>
        <v/>
      </c>
      <c r="AT128" s="134" t="str">
        <f>_xlfn.IFNA(MATCH(T128,Achievements[[#All],[Column118]],0)+10,"")</f>
        <v/>
      </c>
      <c r="AU128" s="134" t="str">
        <f>_xlfn.IFNA(MATCH(U128,Achievements[[#All],[Column118]],0)+10,"")</f>
        <v/>
      </c>
      <c r="AV128" s="134" t="str">
        <f>_xlfn.IFNA(MATCH(V128,Achievements[[#All],[Column119]],0)+10,"")</f>
        <v/>
      </c>
      <c r="AW128" s="134" t="str">
        <f>_xlfn.IFNA(MATCH(W128,Achievements[[#All],[Column119]],0)+10,"")</f>
        <v/>
      </c>
      <c r="AX128" s="134" t="str">
        <f>_xlfn.IFNA(MATCH(X128,Achievements[[#All],[Column120]],0)+10,"")</f>
        <v/>
      </c>
      <c r="AY128" s="134" t="str">
        <f>_xlfn.IFNA(MATCH(Y128,Achievements[[#All],[Column120]],0)+10,"")</f>
        <v/>
      </c>
      <c r="AZ128" s="116" t="e">
        <f t="shared" ca="1" si="2"/>
        <v>#NAME?</v>
      </c>
      <c r="BA128" s="134" t="e" cm="1">
        <f t="array" aca="1" ref="BA128" ca="1">SplitValues("; ",Persons[[#This Row],[Column1]])</f>
        <v>#NAME?</v>
      </c>
      <c r="CA128" s="134" t="e">
        <f ca="1">_xlfn.IFNA(MATCH(BA128,Achievements[[#All],[Column1]],0)+10,"")</f>
        <v>#NAME?</v>
      </c>
      <c r="CB128" s="134" t="str">
        <f>_xlfn.IFNA(MATCH(BB128,Achievements[[#All],[Column1]],0)+10,"")</f>
        <v/>
      </c>
      <c r="CC128" s="134" t="str">
        <f>_xlfn.IFNA(MATCH(BC128,Achievements[[#All],[Column110]],0)+10,"")</f>
        <v/>
      </c>
      <c r="CD128" s="134" t="str">
        <f>_xlfn.IFNA(MATCH(BD128,Achievements[[#All],[Column110]],0)+10,"")</f>
        <v/>
      </c>
      <c r="CE128" s="134" t="str">
        <f>_xlfn.IFNA(MATCH(BE128,Achievements[[#All],[Column111]],0)+10,"")</f>
        <v/>
      </c>
      <c r="CF128" s="134" t="str">
        <f>_xlfn.IFNA(MATCH(BF128,Achievements[[#All],[Column111]],0)+10,"")</f>
        <v/>
      </c>
      <c r="CG128" s="134" t="str">
        <f>_xlfn.IFNA(MATCH(BG128,Achievements[[#All],[Column112]],0)+10,"")</f>
        <v/>
      </c>
      <c r="CH128" s="134" t="str">
        <f>_xlfn.IFNA(MATCH(BH128,Achievements[[#All],[Column112]],0)+10,"")</f>
        <v/>
      </c>
      <c r="CI128" s="134" t="str">
        <f>_xlfn.IFNA(MATCH(BI128,Achievements[[#All],[Column113]],0)+10,"")</f>
        <v/>
      </c>
      <c r="CJ128" s="134" t="str">
        <f>_xlfn.IFNA(MATCH(BJ128,Achievements[[#All],[Column113]],0)+10,"")</f>
        <v/>
      </c>
      <c r="CK128" s="134" t="str">
        <f>_xlfn.IFNA(MATCH(BK128,Achievements[[#All],[Column114]],0)+10,"")</f>
        <v/>
      </c>
      <c r="CL128" s="134" t="str">
        <f>_xlfn.IFNA(MATCH(BL128,Achievements[[#All],[Column114]],0)+10,"")</f>
        <v/>
      </c>
      <c r="CM128" s="134" t="str">
        <f>_xlfn.IFNA(MATCH(BM128,Achievements[[#All],[Column115]],0)+10,"")</f>
        <v/>
      </c>
      <c r="CN128" s="134" t="str">
        <f>_xlfn.IFNA(MATCH(BN128,Achievements[[#All],[Column115]],0)+10,"")</f>
        <v/>
      </c>
      <c r="CO128" s="134" t="str">
        <f>_xlfn.IFNA(MATCH(BO128,Achievements[[#All],[Column116]],0)+10,"")</f>
        <v/>
      </c>
      <c r="CP128" s="134" t="str">
        <f>_xlfn.IFNA(MATCH(BP128,Achievements[[#All],[Column116]],0)+10,"")</f>
        <v/>
      </c>
      <c r="CQ128" s="134" t="str">
        <f>_xlfn.IFNA(MATCH(BQ128,Achievements[[#All],[Column117]],0)+10,"")</f>
        <v/>
      </c>
      <c r="CR128" s="134" t="str">
        <f>_xlfn.IFNA(MATCH(BR128,Achievements[[#All],[Column117]],0)+10,"")</f>
        <v/>
      </c>
      <c r="CS128" s="134" t="str">
        <f>_xlfn.IFNA(MATCH(BS128,Achievements[[#All],[Column118]],0)+10,"")</f>
        <v/>
      </c>
      <c r="CT128" s="134" t="str">
        <f>_xlfn.IFNA(MATCH(BT128,Achievements[[#All],[Column118]],0)+10,"")</f>
        <v/>
      </c>
      <c r="CU128" s="134" t="str">
        <f>_xlfn.IFNA(MATCH(BU128,Achievements[[#All],[Column119]],0)+10,"")</f>
        <v/>
      </c>
      <c r="CV128" s="134" t="str">
        <f>_xlfn.IFNA(MATCH(BV128,Achievements[[#All],[Column119]],0)+10,"")</f>
        <v/>
      </c>
      <c r="CW128" s="134" t="str">
        <f>_xlfn.IFNA(MATCH(BW128,Achievements[[#All],[Column120]],0)+10,"")</f>
        <v/>
      </c>
      <c r="CX128" s="134" t="str">
        <f>_xlfn.IFNA(MATCH(BX128,Achievements[[#All],[Column120]],0)+10,"")</f>
        <v/>
      </c>
      <c r="CY128" s="134" t="str">
        <f>_xlfn.IFNA(MATCH(BY128,Achievements[[#All],[Column121]],0)+10,"")</f>
        <v/>
      </c>
      <c r="CZ128" s="118" t="e">
        <f t="shared" ca="1" si="3"/>
        <v>#NAME?</v>
      </c>
    </row>
    <row r="129" spans="1:104" x14ac:dyDescent="0.25">
      <c r="A129" t="e" cm="1">
        <f t="array" aca="1" ref="A129" ca="1">SplitValues("; ",#REF!)</f>
        <v>#NAME?</v>
      </c>
      <c r="AA129" t="e">
        <f ca="1">_xlfn.IFNA(MATCH(A129,Achievements[[#All],[Column1]],0)+11,"")</f>
        <v>#NAME?</v>
      </c>
      <c r="AB129" s="134" t="str">
        <f>_xlfn.IFNA(MATCH(B129,Achievements[[#All],[Column1]],0)+10,"")</f>
        <v/>
      </c>
      <c r="AC129" s="134" t="str">
        <f>_xlfn.IFNA(MATCH(C129,Achievements[[#All],[Column1]],0)+10,"")</f>
        <v/>
      </c>
      <c r="AD129" s="134" t="str">
        <f>_xlfn.IFNA(MATCH(D129,Achievements[[#All],[Column110]],0)+10,"")</f>
        <v/>
      </c>
      <c r="AE129" s="134" t="str">
        <f>_xlfn.IFNA(MATCH(E129,Achievements[[#All],[Column110]],0)+10,"")</f>
        <v/>
      </c>
      <c r="AF129" s="134" t="str">
        <f>_xlfn.IFNA(MATCH(F129,Achievements[[#All],[Column111]],0)+10,"")</f>
        <v/>
      </c>
      <c r="AG129" s="134" t="str">
        <f>_xlfn.IFNA(MATCH(G129,Achievements[[#All],[Column111]],0)+10,"")</f>
        <v/>
      </c>
      <c r="AH129" s="134" t="str">
        <f>_xlfn.IFNA(MATCH(H129,Achievements[[#All],[Column112]],0)+10,"")</f>
        <v/>
      </c>
      <c r="AI129" s="134" t="str">
        <f>_xlfn.IFNA(MATCH(I129,Achievements[[#All],[Column112]],0)+10,"")</f>
        <v/>
      </c>
      <c r="AJ129" s="134" t="str">
        <f>_xlfn.IFNA(MATCH(J129,Achievements[[#All],[Column113]],0)+10,"")</f>
        <v/>
      </c>
      <c r="AK129" s="134" t="str">
        <f>_xlfn.IFNA(MATCH(K129,Achievements[[#All],[Column113]],0)+10,"")</f>
        <v/>
      </c>
      <c r="AL129" s="134" t="str">
        <f>_xlfn.IFNA(MATCH(L129,Achievements[[#All],[Column114]],0)+10,"")</f>
        <v/>
      </c>
      <c r="AM129" s="134" t="str">
        <f>_xlfn.IFNA(MATCH(M129,Achievements[[#All],[Column114]],0)+10,"")</f>
        <v/>
      </c>
      <c r="AN129" s="134" t="str">
        <f>_xlfn.IFNA(MATCH(N129,Achievements[[#All],[Column115]],0)+10,"")</f>
        <v/>
      </c>
      <c r="AO129" s="134" t="str">
        <f>_xlfn.IFNA(MATCH(O129,Achievements[[#All],[Column115]],0)+10,"")</f>
        <v/>
      </c>
      <c r="AP129" s="134" t="str">
        <f>_xlfn.IFNA(MATCH(P129,Achievements[[#All],[Column116]],0)+10,"")</f>
        <v/>
      </c>
      <c r="AQ129" s="134" t="str">
        <f>_xlfn.IFNA(MATCH(Q129,Achievements[[#All],[Column116]],0)+10,"")</f>
        <v/>
      </c>
      <c r="AR129" s="134" t="str">
        <f>_xlfn.IFNA(MATCH(R129,Achievements[[#All],[Column117]],0)+10,"")</f>
        <v/>
      </c>
      <c r="AS129" s="134" t="str">
        <f>_xlfn.IFNA(MATCH(S129,Achievements[[#All],[Column117]],0)+10,"")</f>
        <v/>
      </c>
      <c r="AT129" s="134" t="str">
        <f>_xlfn.IFNA(MATCH(T129,Achievements[[#All],[Column118]],0)+10,"")</f>
        <v/>
      </c>
      <c r="AU129" s="134" t="str">
        <f>_xlfn.IFNA(MATCH(U129,Achievements[[#All],[Column118]],0)+10,"")</f>
        <v/>
      </c>
      <c r="AV129" s="134" t="str">
        <f>_xlfn.IFNA(MATCH(V129,Achievements[[#All],[Column119]],0)+10,"")</f>
        <v/>
      </c>
      <c r="AW129" s="134" t="str">
        <f>_xlfn.IFNA(MATCH(W129,Achievements[[#All],[Column119]],0)+10,"")</f>
        <v/>
      </c>
      <c r="AX129" s="134" t="str">
        <f>_xlfn.IFNA(MATCH(X129,Achievements[[#All],[Column120]],0)+10,"")</f>
        <v/>
      </c>
      <c r="AY129" s="134" t="str">
        <f>_xlfn.IFNA(MATCH(Y129,Achievements[[#All],[Column120]],0)+10,"")</f>
        <v/>
      </c>
      <c r="AZ129" s="116" t="e">
        <f t="shared" ca="1" si="2"/>
        <v>#NAME?</v>
      </c>
      <c r="BA129" s="134" t="e" cm="1">
        <f t="array" aca="1" ref="BA129" ca="1">SplitValues("; ",Persons[[#This Row],[Column1]])</f>
        <v>#NAME?</v>
      </c>
      <c r="CA129" s="134" t="e">
        <f ca="1">_xlfn.IFNA(MATCH(BA129,Achievements[[#All],[Column1]],0)+10,"")</f>
        <v>#NAME?</v>
      </c>
      <c r="CB129" s="134" t="str">
        <f>_xlfn.IFNA(MATCH(BB129,Achievements[[#All],[Column1]],0)+10,"")</f>
        <v/>
      </c>
      <c r="CC129" s="134" t="str">
        <f>_xlfn.IFNA(MATCH(BC129,Achievements[[#All],[Column110]],0)+10,"")</f>
        <v/>
      </c>
      <c r="CD129" s="134" t="str">
        <f>_xlfn.IFNA(MATCH(BD129,Achievements[[#All],[Column110]],0)+10,"")</f>
        <v/>
      </c>
      <c r="CE129" s="134" t="str">
        <f>_xlfn.IFNA(MATCH(BE129,Achievements[[#All],[Column111]],0)+10,"")</f>
        <v/>
      </c>
      <c r="CF129" s="134" t="str">
        <f>_xlfn.IFNA(MATCH(BF129,Achievements[[#All],[Column111]],0)+10,"")</f>
        <v/>
      </c>
      <c r="CG129" s="134" t="str">
        <f>_xlfn.IFNA(MATCH(BG129,Achievements[[#All],[Column112]],0)+10,"")</f>
        <v/>
      </c>
      <c r="CH129" s="134" t="str">
        <f>_xlfn.IFNA(MATCH(BH129,Achievements[[#All],[Column112]],0)+10,"")</f>
        <v/>
      </c>
      <c r="CI129" s="134" t="str">
        <f>_xlfn.IFNA(MATCH(BI129,Achievements[[#All],[Column113]],0)+10,"")</f>
        <v/>
      </c>
      <c r="CJ129" s="134" t="str">
        <f>_xlfn.IFNA(MATCH(BJ129,Achievements[[#All],[Column113]],0)+10,"")</f>
        <v/>
      </c>
      <c r="CK129" s="134" t="str">
        <f>_xlfn.IFNA(MATCH(BK129,Achievements[[#All],[Column114]],0)+10,"")</f>
        <v/>
      </c>
      <c r="CL129" s="134" t="str">
        <f>_xlfn.IFNA(MATCH(BL129,Achievements[[#All],[Column114]],0)+10,"")</f>
        <v/>
      </c>
      <c r="CM129" s="134" t="str">
        <f>_xlfn.IFNA(MATCH(BM129,Achievements[[#All],[Column115]],0)+10,"")</f>
        <v/>
      </c>
      <c r="CN129" s="134" t="str">
        <f>_xlfn.IFNA(MATCH(BN129,Achievements[[#All],[Column115]],0)+10,"")</f>
        <v/>
      </c>
      <c r="CO129" s="134" t="str">
        <f>_xlfn.IFNA(MATCH(BO129,Achievements[[#All],[Column116]],0)+10,"")</f>
        <v/>
      </c>
      <c r="CP129" s="134" t="str">
        <f>_xlfn.IFNA(MATCH(BP129,Achievements[[#All],[Column116]],0)+10,"")</f>
        <v/>
      </c>
      <c r="CQ129" s="134" t="str">
        <f>_xlfn.IFNA(MATCH(BQ129,Achievements[[#All],[Column117]],0)+10,"")</f>
        <v/>
      </c>
      <c r="CR129" s="134" t="str">
        <f>_xlfn.IFNA(MATCH(BR129,Achievements[[#All],[Column117]],0)+10,"")</f>
        <v/>
      </c>
      <c r="CS129" s="134" t="str">
        <f>_xlfn.IFNA(MATCH(BS129,Achievements[[#All],[Column118]],0)+10,"")</f>
        <v/>
      </c>
      <c r="CT129" s="134" t="str">
        <f>_xlfn.IFNA(MATCH(BT129,Achievements[[#All],[Column118]],0)+10,"")</f>
        <v/>
      </c>
      <c r="CU129" s="134" t="str">
        <f>_xlfn.IFNA(MATCH(BU129,Achievements[[#All],[Column119]],0)+10,"")</f>
        <v/>
      </c>
      <c r="CV129" s="134" t="str">
        <f>_xlfn.IFNA(MATCH(BV129,Achievements[[#All],[Column119]],0)+10,"")</f>
        <v/>
      </c>
      <c r="CW129" s="134" t="str">
        <f>_xlfn.IFNA(MATCH(BW129,Achievements[[#All],[Column120]],0)+10,"")</f>
        <v/>
      </c>
      <c r="CX129" s="134" t="str">
        <f>_xlfn.IFNA(MATCH(BX129,Achievements[[#All],[Column120]],0)+10,"")</f>
        <v/>
      </c>
      <c r="CY129" s="134" t="str">
        <f>_xlfn.IFNA(MATCH(BY129,Achievements[[#All],[Column121]],0)+10,"")</f>
        <v/>
      </c>
      <c r="CZ129" s="118" t="e">
        <f t="shared" ca="1" si="3"/>
        <v>#NAME?</v>
      </c>
    </row>
    <row r="130" spans="1:104" x14ac:dyDescent="0.25">
      <c r="A130" t="e" cm="1">
        <f t="array" aca="1" ref="A130" ca="1">SplitValues("; ",#REF!)</f>
        <v>#NAME?</v>
      </c>
      <c r="AA130" t="e">
        <f ca="1">_xlfn.IFNA(MATCH(A130,Achievements[[#All],[Column1]],0)+11,"")</f>
        <v>#NAME?</v>
      </c>
      <c r="AB130" s="134" t="str">
        <f>_xlfn.IFNA(MATCH(B130,Achievements[[#All],[Column1]],0)+10,"")</f>
        <v/>
      </c>
      <c r="AC130" s="134" t="str">
        <f>_xlfn.IFNA(MATCH(C130,Achievements[[#All],[Column1]],0)+10,"")</f>
        <v/>
      </c>
      <c r="AD130" s="134" t="str">
        <f>_xlfn.IFNA(MATCH(D130,Achievements[[#All],[Column110]],0)+10,"")</f>
        <v/>
      </c>
      <c r="AE130" s="134" t="str">
        <f>_xlfn.IFNA(MATCH(E130,Achievements[[#All],[Column110]],0)+10,"")</f>
        <v/>
      </c>
      <c r="AF130" s="134" t="str">
        <f>_xlfn.IFNA(MATCH(F130,Achievements[[#All],[Column111]],0)+10,"")</f>
        <v/>
      </c>
      <c r="AG130" s="134" t="str">
        <f>_xlfn.IFNA(MATCH(G130,Achievements[[#All],[Column111]],0)+10,"")</f>
        <v/>
      </c>
      <c r="AH130" s="134" t="str">
        <f>_xlfn.IFNA(MATCH(H130,Achievements[[#All],[Column112]],0)+10,"")</f>
        <v/>
      </c>
      <c r="AI130" s="134" t="str">
        <f>_xlfn.IFNA(MATCH(I130,Achievements[[#All],[Column112]],0)+10,"")</f>
        <v/>
      </c>
      <c r="AJ130" s="134" t="str">
        <f>_xlfn.IFNA(MATCH(J130,Achievements[[#All],[Column113]],0)+10,"")</f>
        <v/>
      </c>
      <c r="AK130" s="134" t="str">
        <f>_xlfn.IFNA(MATCH(K130,Achievements[[#All],[Column113]],0)+10,"")</f>
        <v/>
      </c>
      <c r="AL130" s="134" t="str">
        <f>_xlfn.IFNA(MATCH(L130,Achievements[[#All],[Column114]],0)+10,"")</f>
        <v/>
      </c>
      <c r="AM130" s="134" t="str">
        <f>_xlfn.IFNA(MATCH(M130,Achievements[[#All],[Column114]],0)+10,"")</f>
        <v/>
      </c>
      <c r="AN130" s="134" t="str">
        <f>_xlfn.IFNA(MATCH(N130,Achievements[[#All],[Column115]],0)+10,"")</f>
        <v/>
      </c>
      <c r="AO130" s="134" t="str">
        <f>_xlfn.IFNA(MATCH(O130,Achievements[[#All],[Column115]],0)+10,"")</f>
        <v/>
      </c>
      <c r="AP130" s="134" t="str">
        <f>_xlfn.IFNA(MATCH(P130,Achievements[[#All],[Column116]],0)+10,"")</f>
        <v/>
      </c>
      <c r="AQ130" s="134" t="str">
        <f>_xlfn.IFNA(MATCH(Q130,Achievements[[#All],[Column116]],0)+10,"")</f>
        <v/>
      </c>
      <c r="AR130" s="134" t="str">
        <f>_xlfn.IFNA(MATCH(R130,Achievements[[#All],[Column117]],0)+10,"")</f>
        <v/>
      </c>
      <c r="AS130" s="134" t="str">
        <f>_xlfn.IFNA(MATCH(S130,Achievements[[#All],[Column117]],0)+10,"")</f>
        <v/>
      </c>
      <c r="AT130" s="134" t="str">
        <f>_xlfn.IFNA(MATCH(T130,Achievements[[#All],[Column118]],0)+10,"")</f>
        <v/>
      </c>
      <c r="AU130" s="134" t="str">
        <f>_xlfn.IFNA(MATCH(U130,Achievements[[#All],[Column118]],0)+10,"")</f>
        <v/>
      </c>
      <c r="AV130" s="134" t="str">
        <f>_xlfn.IFNA(MATCH(V130,Achievements[[#All],[Column119]],0)+10,"")</f>
        <v/>
      </c>
      <c r="AW130" s="134" t="str">
        <f>_xlfn.IFNA(MATCH(W130,Achievements[[#All],[Column119]],0)+10,"")</f>
        <v/>
      </c>
      <c r="AX130" s="134" t="str">
        <f>_xlfn.IFNA(MATCH(X130,Achievements[[#All],[Column120]],0)+10,"")</f>
        <v/>
      </c>
      <c r="AY130" s="134" t="str">
        <f>_xlfn.IFNA(MATCH(Y130,Achievements[[#All],[Column120]],0)+10,"")</f>
        <v/>
      </c>
      <c r="AZ130" s="116" t="e">
        <f t="shared" ca="1" si="2"/>
        <v>#NAME?</v>
      </c>
      <c r="BA130" s="134" t="e" cm="1">
        <f t="array" aca="1" ref="BA130" ca="1">SplitValues("; ",Persons[[#This Row],[Column1]])</f>
        <v>#NAME?</v>
      </c>
      <c r="CA130" s="134" t="e">
        <f ca="1">_xlfn.IFNA(MATCH(BA130,Achievements[[#All],[Column1]],0)+10,"")</f>
        <v>#NAME?</v>
      </c>
      <c r="CB130" s="134" t="str">
        <f>_xlfn.IFNA(MATCH(BB130,Achievements[[#All],[Column1]],0)+10,"")</f>
        <v/>
      </c>
      <c r="CC130" s="134" t="str">
        <f>_xlfn.IFNA(MATCH(BC130,Achievements[[#All],[Column110]],0)+10,"")</f>
        <v/>
      </c>
      <c r="CD130" s="134" t="str">
        <f>_xlfn.IFNA(MATCH(BD130,Achievements[[#All],[Column110]],0)+10,"")</f>
        <v/>
      </c>
      <c r="CE130" s="134" t="str">
        <f>_xlfn.IFNA(MATCH(BE130,Achievements[[#All],[Column111]],0)+10,"")</f>
        <v/>
      </c>
      <c r="CF130" s="134" t="str">
        <f>_xlfn.IFNA(MATCH(BF130,Achievements[[#All],[Column111]],0)+10,"")</f>
        <v/>
      </c>
      <c r="CG130" s="134" t="str">
        <f>_xlfn.IFNA(MATCH(BG130,Achievements[[#All],[Column112]],0)+10,"")</f>
        <v/>
      </c>
      <c r="CH130" s="134" t="str">
        <f>_xlfn.IFNA(MATCH(BH130,Achievements[[#All],[Column112]],0)+10,"")</f>
        <v/>
      </c>
      <c r="CI130" s="134" t="str">
        <f>_xlfn.IFNA(MATCH(BI130,Achievements[[#All],[Column113]],0)+10,"")</f>
        <v/>
      </c>
      <c r="CJ130" s="134" t="str">
        <f>_xlfn.IFNA(MATCH(BJ130,Achievements[[#All],[Column113]],0)+10,"")</f>
        <v/>
      </c>
      <c r="CK130" s="134" t="str">
        <f>_xlfn.IFNA(MATCH(BK130,Achievements[[#All],[Column114]],0)+10,"")</f>
        <v/>
      </c>
      <c r="CL130" s="134" t="str">
        <f>_xlfn.IFNA(MATCH(BL130,Achievements[[#All],[Column114]],0)+10,"")</f>
        <v/>
      </c>
      <c r="CM130" s="134" t="str">
        <f>_xlfn.IFNA(MATCH(BM130,Achievements[[#All],[Column115]],0)+10,"")</f>
        <v/>
      </c>
      <c r="CN130" s="134" t="str">
        <f>_xlfn.IFNA(MATCH(BN130,Achievements[[#All],[Column115]],0)+10,"")</f>
        <v/>
      </c>
      <c r="CO130" s="134" t="str">
        <f>_xlfn.IFNA(MATCH(BO130,Achievements[[#All],[Column116]],0)+10,"")</f>
        <v/>
      </c>
      <c r="CP130" s="134" t="str">
        <f>_xlfn.IFNA(MATCH(BP130,Achievements[[#All],[Column116]],0)+10,"")</f>
        <v/>
      </c>
      <c r="CQ130" s="134" t="str">
        <f>_xlfn.IFNA(MATCH(BQ130,Achievements[[#All],[Column117]],0)+10,"")</f>
        <v/>
      </c>
      <c r="CR130" s="134" t="str">
        <f>_xlfn.IFNA(MATCH(BR130,Achievements[[#All],[Column117]],0)+10,"")</f>
        <v/>
      </c>
      <c r="CS130" s="134" t="str">
        <f>_xlfn.IFNA(MATCH(BS130,Achievements[[#All],[Column118]],0)+10,"")</f>
        <v/>
      </c>
      <c r="CT130" s="134" t="str">
        <f>_xlfn.IFNA(MATCH(BT130,Achievements[[#All],[Column118]],0)+10,"")</f>
        <v/>
      </c>
      <c r="CU130" s="134" t="str">
        <f>_xlfn.IFNA(MATCH(BU130,Achievements[[#All],[Column119]],0)+10,"")</f>
        <v/>
      </c>
      <c r="CV130" s="134" t="str">
        <f>_xlfn.IFNA(MATCH(BV130,Achievements[[#All],[Column119]],0)+10,"")</f>
        <v/>
      </c>
      <c r="CW130" s="134" t="str">
        <f>_xlfn.IFNA(MATCH(BW130,Achievements[[#All],[Column120]],0)+10,"")</f>
        <v/>
      </c>
      <c r="CX130" s="134" t="str">
        <f>_xlfn.IFNA(MATCH(BX130,Achievements[[#All],[Column120]],0)+10,"")</f>
        <v/>
      </c>
      <c r="CY130" s="134" t="str">
        <f>_xlfn.IFNA(MATCH(BY130,Achievements[[#All],[Column121]],0)+10,"")</f>
        <v/>
      </c>
      <c r="CZ130" s="118" t="e">
        <f t="shared" ca="1" si="3"/>
        <v>#NAME?</v>
      </c>
    </row>
    <row r="131" spans="1:104" x14ac:dyDescent="0.25">
      <c r="A131" t="e" cm="1">
        <f t="array" aca="1" ref="A131" ca="1">SplitValues("; ",#REF!)</f>
        <v>#NAME?</v>
      </c>
      <c r="AA131" t="e">
        <f ca="1">_xlfn.IFNA(MATCH(A131,Achievements[[#All],[Column1]],0)+11,"")</f>
        <v>#NAME?</v>
      </c>
      <c r="AB131" s="134" t="str">
        <f>_xlfn.IFNA(MATCH(B131,Achievements[[#All],[Column1]],0)+10,"")</f>
        <v/>
      </c>
      <c r="AC131" s="134" t="str">
        <f>_xlfn.IFNA(MATCH(C131,Achievements[[#All],[Column1]],0)+10,"")</f>
        <v/>
      </c>
      <c r="AD131" s="134" t="str">
        <f>_xlfn.IFNA(MATCH(D131,Achievements[[#All],[Column110]],0)+10,"")</f>
        <v/>
      </c>
      <c r="AE131" s="134" t="str">
        <f>_xlfn.IFNA(MATCH(E131,Achievements[[#All],[Column110]],0)+10,"")</f>
        <v/>
      </c>
      <c r="AF131" s="134" t="str">
        <f>_xlfn.IFNA(MATCH(F131,Achievements[[#All],[Column111]],0)+10,"")</f>
        <v/>
      </c>
      <c r="AG131" s="134" t="str">
        <f>_xlfn.IFNA(MATCH(G131,Achievements[[#All],[Column111]],0)+10,"")</f>
        <v/>
      </c>
      <c r="AH131" s="134" t="str">
        <f>_xlfn.IFNA(MATCH(H131,Achievements[[#All],[Column112]],0)+10,"")</f>
        <v/>
      </c>
      <c r="AI131" s="134" t="str">
        <f>_xlfn.IFNA(MATCH(I131,Achievements[[#All],[Column112]],0)+10,"")</f>
        <v/>
      </c>
      <c r="AJ131" s="134" t="str">
        <f>_xlfn.IFNA(MATCH(J131,Achievements[[#All],[Column113]],0)+10,"")</f>
        <v/>
      </c>
      <c r="AK131" s="134" t="str">
        <f>_xlfn.IFNA(MATCH(K131,Achievements[[#All],[Column113]],0)+10,"")</f>
        <v/>
      </c>
      <c r="AL131" s="134" t="str">
        <f>_xlfn.IFNA(MATCH(L131,Achievements[[#All],[Column114]],0)+10,"")</f>
        <v/>
      </c>
      <c r="AM131" s="134" t="str">
        <f>_xlfn.IFNA(MATCH(M131,Achievements[[#All],[Column114]],0)+10,"")</f>
        <v/>
      </c>
      <c r="AN131" s="134" t="str">
        <f>_xlfn.IFNA(MATCH(N131,Achievements[[#All],[Column115]],0)+10,"")</f>
        <v/>
      </c>
      <c r="AO131" s="134" t="str">
        <f>_xlfn.IFNA(MATCH(O131,Achievements[[#All],[Column115]],0)+10,"")</f>
        <v/>
      </c>
      <c r="AP131" s="134" t="str">
        <f>_xlfn.IFNA(MATCH(P131,Achievements[[#All],[Column116]],0)+10,"")</f>
        <v/>
      </c>
      <c r="AQ131" s="134" t="str">
        <f>_xlfn.IFNA(MATCH(Q131,Achievements[[#All],[Column116]],0)+10,"")</f>
        <v/>
      </c>
      <c r="AR131" s="134" t="str">
        <f>_xlfn.IFNA(MATCH(R131,Achievements[[#All],[Column117]],0)+10,"")</f>
        <v/>
      </c>
      <c r="AS131" s="134" t="str">
        <f>_xlfn.IFNA(MATCH(S131,Achievements[[#All],[Column117]],0)+10,"")</f>
        <v/>
      </c>
      <c r="AT131" s="134" t="str">
        <f>_xlfn.IFNA(MATCH(T131,Achievements[[#All],[Column118]],0)+10,"")</f>
        <v/>
      </c>
      <c r="AU131" s="134" t="str">
        <f>_xlfn.IFNA(MATCH(U131,Achievements[[#All],[Column118]],0)+10,"")</f>
        <v/>
      </c>
      <c r="AV131" s="134" t="str">
        <f>_xlfn.IFNA(MATCH(V131,Achievements[[#All],[Column119]],0)+10,"")</f>
        <v/>
      </c>
      <c r="AW131" s="134" t="str">
        <f>_xlfn.IFNA(MATCH(W131,Achievements[[#All],[Column119]],0)+10,"")</f>
        <v/>
      </c>
      <c r="AX131" s="134" t="str">
        <f>_xlfn.IFNA(MATCH(X131,Achievements[[#All],[Column120]],0)+10,"")</f>
        <v/>
      </c>
      <c r="AY131" s="134" t="str">
        <f>_xlfn.IFNA(MATCH(Y131,Achievements[[#All],[Column120]],0)+10,"")</f>
        <v/>
      </c>
      <c r="AZ131" s="116" t="e">
        <f t="shared" ca="1" si="2"/>
        <v>#NAME?</v>
      </c>
      <c r="BA131" s="134" t="e" cm="1">
        <f t="array" aca="1" ref="BA131" ca="1">SplitValues("; ",Persons[[#This Row],[Column1]])</f>
        <v>#NAME?</v>
      </c>
      <c r="CA131" s="134" t="e">
        <f ca="1">_xlfn.IFNA(MATCH(BA131,Achievements[[#All],[Column1]],0)+10,"")</f>
        <v>#NAME?</v>
      </c>
      <c r="CB131" s="134" t="str">
        <f>_xlfn.IFNA(MATCH(BB131,Achievements[[#All],[Column1]],0)+10,"")</f>
        <v/>
      </c>
      <c r="CC131" s="134" t="str">
        <f>_xlfn.IFNA(MATCH(BC131,Achievements[[#All],[Column110]],0)+10,"")</f>
        <v/>
      </c>
      <c r="CD131" s="134" t="str">
        <f>_xlfn.IFNA(MATCH(BD131,Achievements[[#All],[Column110]],0)+10,"")</f>
        <v/>
      </c>
      <c r="CE131" s="134" t="str">
        <f>_xlfn.IFNA(MATCH(BE131,Achievements[[#All],[Column111]],0)+10,"")</f>
        <v/>
      </c>
      <c r="CF131" s="134" t="str">
        <f>_xlfn.IFNA(MATCH(BF131,Achievements[[#All],[Column111]],0)+10,"")</f>
        <v/>
      </c>
      <c r="CG131" s="134" t="str">
        <f>_xlfn.IFNA(MATCH(BG131,Achievements[[#All],[Column112]],0)+10,"")</f>
        <v/>
      </c>
      <c r="CH131" s="134" t="str">
        <f>_xlfn.IFNA(MATCH(BH131,Achievements[[#All],[Column112]],0)+10,"")</f>
        <v/>
      </c>
      <c r="CI131" s="134" t="str">
        <f>_xlfn.IFNA(MATCH(BI131,Achievements[[#All],[Column113]],0)+10,"")</f>
        <v/>
      </c>
      <c r="CJ131" s="134" t="str">
        <f>_xlfn.IFNA(MATCH(BJ131,Achievements[[#All],[Column113]],0)+10,"")</f>
        <v/>
      </c>
      <c r="CK131" s="134" t="str">
        <f>_xlfn.IFNA(MATCH(BK131,Achievements[[#All],[Column114]],0)+10,"")</f>
        <v/>
      </c>
      <c r="CL131" s="134" t="str">
        <f>_xlfn.IFNA(MATCH(BL131,Achievements[[#All],[Column114]],0)+10,"")</f>
        <v/>
      </c>
      <c r="CM131" s="134" t="str">
        <f>_xlfn.IFNA(MATCH(BM131,Achievements[[#All],[Column115]],0)+10,"")</f>
        <v/>
      </c>
      <c r="CN131" s="134" t="str">
        <f>_xlfn.IFNA(MATCH(BN131,Achievements[[#All],[Column115]],0)+10,"")</f>
        <v/>
      </c>
      <c r="CO131" s="134" t="str">
        <f>_xlfn.IFNA(MATCH(BO131,Achievements[[#All],[Column116]],0)+10,"")</f>
        <v/>
      </c>
      <c r="CP131" s="134" t="str">
        <f>_xlfn.IFNA(MATCH(BP131,Achievements[[#All],[Column116]],0)+10,"")</f>
        <v/>
      </c>
      <c r="CQ131" s="134" t="str">
        <f>_xlfn.IFNA(MATCH(BQ131,Achievements[[#All],[Column117]],0)+10,"")</f>
        <v/>
      </c>
      <c r="CR131" s="134" t="str">
        <f>_xlfn.IFNA(MATCH(BR131,Achievements[[#All],[Column117]],0)+10,"")</f>
        <v/>
      </c>
      <c r="CS131" s="134" t="str">
        <f>_xlfn.IFNA(MATCH(BS131,Achievements[[#All],[Column118]],0)+10,"")</f>
        <v/>
      </c>
      <c r="CT131" s="134" t="str">
        <f>_xlfn.IFNA(MATCH(BT131,Achievements[[#All],[Column118]],0)+10,"")</f>
        <v/>
      </c>
      <c r="CU131" s="134" t="str">
        <f>_xlfn.IFNA(MATCH(BU131,Achievements[[#All],[Column119]],0)+10,"")</f>
        <v/>
      </c>
      <c r="CV131" s="134" t="str">
        <f>_xlfn.IFNA(MATCH(BV131,Achievements[[#All],[Column119]],0)+10,"")</f>
        <v/>
      </c>
      <c r="CW131" s="134" t="str">
        <f>_xlfn.IFNA(MATCH(BW131,Achievements[[#All],[Column120]],0)+10,"")</f>
        <v/>
      </c>
      <c r="CX131" s="134" t="str">
        <f>_xlfn.IFNA(MATCH(BX131,Achievements[[#All],[Column120]],0)+10,"")</f>
        <v/>
      </c>
      <c r="CY131" s="134" t="str">
        <f>_xlfn.IFNA(MATCH(BY131,Achievements[[#All],[Column121]],0)+10,"")</f>
        <v/>
      </c>
      <c r="CZ131" s="118" t="e">
        <f t="shared" ca="1" si="3"/>
        <v>#NAME?</v>
      </c>
    </row>
    <row r="132" spans="1:104" x14ac:dyDescent="0.25">
      <c r="A132" t="e" cm="1">
        <f t="array" aca="1" ref="A132" ca="1">SplitValues("; ",#REF!)</f>
        <v>#NAME?</v>
      </c>
      <c r="AA132" t="e">
        <f ca="1">_xlfn.IFNA(MATCH(A132,Achievements[[#All],[Column1]],0)+11,"")</f>
        <v>#NAME?</v>
      </c>
      <c r="AB132" s="134" t="str">
        <f>_xlfn.IFNA(MATCH(B132,Achievements[[#All],[Column1]],0)+10,"")</f>
        <v/>
      </c>
      <c r="AC132" s="134" t="str">
        <f>_xlfn.IFNA(MATCH(C132,Achievements[[#All],[Column1]],0)+10,"")</f>
        <v/>
      </c>
      <c r="AD132" s="134" t="str">
        <f>_xlfn.IFNA(MATCH(D132,Achievements[[#All],[Column110]],0)+10,"")</f>
        <v/>
      </c>
      <c r="AE132" s="134" t="str">
        <f>_xlfn.IFNA(MATCH(E132,Achievements[[#All],[Column110]],0)+10,"")</f>
        <v/>
      </c>
      <c r="AF132" s="134" t="str">
        <f>_xlfn.IFNA(MATCH(F132,Achievements[[#All],[Column111]],0)+10,"")</f>
        <v/>
      </c>
      <c r="AG132" s="134" t="str">
        <f>_xlfn.IFNA(MATCH(G132,Achievements[[#All],[Column111]],0)+10,"")</f>
        <v/>
      </c>
      <c r="AH132" s="134" t="str">
        <f>_xlfn.IFNA(MATCH(H132,Achievements[[#All],[Column112]],0)+10,"")</f>
        <v/>
      </c>
      <c r="AI132" s="134" t="str">
        <f>_xlfn.IFNA(MATCH(I132,Achievements[[#All],[Column112]],0)+10,"")</f>
        <v/>
      </c>
      <c r="AJ132" s="134" t="str">
        <f>_xlfn.IFNA(MATCH(J132,Achievements[[#All],[Column113]],0)+10,"")</f>
        <v/>
      </c>
      <c r="AK132" s="134" t="str">
        <f>_xlfn.IFNA(MATCH(K132,Achievements[[#All],[Column113]],0)+10,"")</f>
        <v/>
      </c>
      <c r="AL132" s="134" t="str">
        <f>_xlfn.IFNA(MATCH(L132,Achievements[[#All],[Column114]],0)+10,"")</f>
        <v/>
      </c>
      <c r="AM132" s="134" t="str">
        <f>_xlfn.IFNA(MATCH(M132,Achievements[[#All],[Column114]],0)+10,"")</f>
        <v/>
      </c>
      <c r="AN132" s="134" t="str">
        <f>_xlfn.IFNA(MATCH(N132,Achievements[[#All],[Column115]],0)+10,"")</f>
        <v/>
      </c>
      <c r="AO132" s="134" t="str">
        <f>_xlfn.IFNA(MATCH(O132,Achievements[[#All],[Column115]],0)+10,"")</f>
        <v/>
      </c>
      <c r="AP132" s="134" t="str">
        <f>_xlfn.IFNA(MATCH(P132,Achievements[[#All],[Column116]],0)+10,"")</f>
        <v/>
      </c>
      <c r="AQ132" s="134" t="str">
        <f>_xlfn.IFNA(MATCH(Q132,Achievements[[#All],[Column116]],0)+10,"")</f>
        <v/>
      </c>
      <c r="AR132" s="134" t="str">
        <f>_xlfn.IFNA(MATCH(R132,Achievements[[#All],[Column117]],0)+10,"")</f>
        <v/>
      </c>
      <c r="AS132" s="134" t="str">
        <f>_xlfn.IFNA(MATCH(S132,Achievements[[#All],[Column117]],0)+10,"")</f>
        <v/>
      </c>
      <c r="AT132" s="134" t="str">
        <f>_xlfn.IFNA(MATCH(T132,Achievements[[#All],[Column118]],0)+10,"")</f>
        <v/>
      </c>
      <c r="AU132" s="134" t="str">
        <f>_xlfn.IFNA(MATCH(U132,Achievements[[#All],[Column118]],0)+10,"")</f>
        <v/>
      </c>
      <c r="AV132" s="134" t="str">
        <f>_xlfn.IFNA(MATCH(V132,Achievements[[#All],[Column119]],0)+10,"")</f>
        <v/>
      </c>
      <c r="AW132" s="134" t="str">
        <f>_xlfn.IFNA(MATCH(W132,Achievements[[#All],[Column119]],0)+10,"")</f>
        <v/>
      </c>
      <c r="AX132" s="134" t="str">
        <f>_xlfn.IFNA(MATCH(X132,Achievements[[#All],[Column120]],0)+10,"")</f>
        <v/>
      </c>
      <c r="AY132" s="134" t="str">
        <f>_xlfn.IFNA(MATCH(Y132,Achievements[[#All],[Column120]],0)+10,"")</f>
        <v/>
      </c>
      <c r="AZ132" s="116" t="e">
        <f t="shared" ca="1" si="2"/>
        <v>#NAME?</v>
      </c>
      <c r="BA132" s="134" t="e" cm="1">
        <f t="array" aca="1" ref="BA132" ca="1">SplitValues("; ",Persons[[#This Row],[Column1]])</f>
        <v>#NAME?</v>
      </c>
      <c r="CA132" s="134" t="e">
        <f ca="1">_xlfn.IFNA(MATCH(BA132,Achievements[[#All],[Column1]],0)+10,"")</f>
        <v>#NAME?</v>
      </c>
      <c r="CB132" s="134" t="str">
        <f>_xlfn.IFNA(MATCH(BB132,Achievements[[#All],[Column1]],0)+10,"")</f>
        <v/>
      </c>
      <c r="CC132" s="134" t="str">
        <f>_xlfn.IFNA(MATCH(BC132,Achievements[[#All],[Column110]],0)+10,"")</f>
        <v/>
      </c>
      <c r="CD132" s="134" t="str">
        <f>_xlfn.IFNA(MATCH(BD132,Achievements[[#All],[Column110]],0)+10,"")</f>
        <v/>
      </c>
      <c r="CE132" s="134" t="str">
        <f>_xlfn.IFNA(MATCH(BE132,Achievements[[#All],[Column111]],0)+10,"")</f>
        <v/>
      </c>
      <c r="CF132" s="134" t="str">
        <f>_xlfn.IFNA(MATCH(BF132,Achievements[[#All],[Column111]],0)+10,"")</f>
        <v/>
      </c>
      <c r="CG132" s="134" t="str">
        <f>_xlfn.IFNA(MATCH(BG132,Achievements[[#All],[Column112]],0)+10,"")</f>
        <v/>
      </c>
      <c r="CH132" s="134" t="str">
        <f>_xlfn.IFNA(MATCH(BH132,Achievements[[#All],[Column112]],0)+10,"")</f>
        <v/>
      </c>
      <c r="CI132" s="134" t="str">
        <f>_xlfn.IFNA(MATCH(BI132,Achievements[[#All],[Column113]],0)+10,"")</f>
        <v/>
      </c>
      <c r="CJ132" s="134" t="str">
        <f>_xlfn.IFNA(MATCH(BJ132,Achievements[[#All],[Column113]],0)+10,"")</f>
        <v/>
      </c>
      <c r="CK132" s="134" t="str">
        <f>_xlfn.IFNA(MATCH(BK132,Achievements[[#All],[Column114]],0)+10,"")</f>
        <v/>
      </c>
      <c r="CL132" s="134" t="str">
        <f>_xlfn.IFNA(MATCH(BL132,Achievements[[#All],[Column114]],0)+10,"")</f>
        <v/>
      </c>
      <c r="CM132" s="134" t="str">
        <f>_xlfn.IFNA(MATCH(BM132,Achievements[[#All],[Column115]],0)+10,"")</f>
        <v/>
      </c>
      <c r="CN132" s="134" t="str">
        <f>_xlfn.IFNA(MATCH(BN132,Achievements[[#All],[Column115]],0)+10,"")</f>
        <v/>
      </c>
      <c r="CO132" s="134" t="str">
        <f>_xlfn.IFNA(MATCH(BO132,Achievements[[#All],[Column116]],0)+10,"")</f>
        <v/>
      </c>
      <c r="CP132" s="134" t="str">
        <f>_xlfn.IFNA(MATCH(BP132,Achievements[[#All],[Column116]],0)+10,"")</f>
        <v/>
      </c>
      <c r="CQ132" s="134" t="str">
        <f>_xlfn.IFNA(MATCH(BQ132,Achievements[[#All],[Column117]],0)+10,"")</f>
        <v/>
      </c>
      <c r="CR132" s="134" t="str">
        <f>_xlfn.IFNA(MATCH(BR132,Achievements[[#All],[Column117]],0)+10,"")</f>
        <v/>
      </c>
      <c r="CS132" s="134" t="str">
        <f>_xlfn.IFNA(MATCH(BS132,Achievements[[#All],[Column118]],0)+10,"")</f>
        <v/>
      </c>
      <c r="CT132" s="134" t="str">
        <f>_xlfn.IFNA(MATCH(BT132,Achievements[[#All],[Column118]],0)+10,"")</f>
        <v/>
      </c>
      <c r="CU132" s="134" t="str">
        <f>_xlfn.IFNA(MATCH(BU132,Achievements[[#All],[Column119]],0)+10,"")</f>
        <v/>
      </c>
      <c r="CV132" s="134" t="str">
        <f>_xlfn.IFNA(MATCH(BV132,Achievements[[#All],[Column119]],0)+10,"")</f>
        <v/>
      </c>
      <c r="CW132" s="134" t="str">
        <f>_xlfn.IFNA(MATCH(BW132,Achievements[[#All],[Column120]],0)+10,"")</f>
        <v/>
      </c>
      <c r="CX132" s="134" t="str">
        <f>_xlfn.IFNA(MATCH(BX132,Achievements[[#All],[Column120]],0)+10,"")</f>
        <v/>
      </c>
      <c r="CY132" s="134" t="str">
        <f>_xlfn.IFNA(MATCH(BY132,Achievements[[#All],[Column121]],0)+10,"")</f>
        <v/>
      </c>
      <c r="CZ132" s="118" t="e">
        <f t="shared" ca="1" si="3"/>
        <v>#NAME?</v>
      </c>
    </row>
    <row r="133" spans="1:104" x14ac:dyDescent="0.25">
      <c r="A133" t="e" cm="1">
        <f t="array" aca="1" ref="A133" ca="1">SplitValues("; ",#REF!)</f>
        <v>#NAME?</v>
      </c>
      <c r="AA133" t="e">
        <f ca="1">_xlfn.IFNA(MATCH(A133,Achievements[[#All],[Column1]],0)+11,"")</f>
        <v>#NAME?</v>
      </c>
      <c r="AB133" s="134" t="str">
        <f>_xlfn.IFNA(MATCH(B133,Achievements[[#All],[Column1]],0)+10,"")</f>
        <v/>
      </c>
      <c r="AC133" s="134" t="str">
        <f>_xlfn.IFNA(MATCH(C133,Achievements[[#All],[Column1]],0)+10,"")</f>
        <v/>
      </c>
      <c r="AD133" s="134" t="str">
        <f>_xlfn.IFNA(MATCH(D133,Achievements[[#All],[Column110]],0)+10,"")</f>
        <v/>
      </c>
      <c r="AE133" s="134" t="str">
        <f>_xlfn.IFNA(MATCH(E133,Achievements[[#All],[Column110]],0)+10,"")</f>
        <v/>
      </c>
      <c r="AF133" s="134" t="str">
        <f>_xlfn.IFNA(MATCH(F133,Achievements[[#All],[Column111]],0)+10,"")</f>
        <v/>
      </c>
      <c r="AG133" s="134" t="str">
        <f>_xlfn.IFNA(MATCH(G133,Achievements[[#All],[Column111]],0)+10,"")</f>
        <v/>
      </c>
      <c r="AH133" s="134" t="str">
        <f>_xlfn.IFNA(MATCH(H133,Achievements[[#All],[Column112]],0)+10,"")</f>
        <v/>
      </c>
      <c r="AI133" s="134" t="str">
        <f>_xlfn.IFNA(MATCH(I133,Achievements[[#All],[Column112]],0)+10,"")</f>
        <v/>
      </c>
      <c r="AJ133" s="134" t="str">
        <f>_xlfn.IFNA(MATCH(J133,Achievements[[#All],[Column113]],0)+10,"")</f>
        <v/>
      </c>
      <c r="AK133" s="134" t="str">
        <f>_xlfn.IFNA(MATCH(K133,Achievements[[#All],[Column113]],0)+10,"")</f>
        <v/>
      </c>
      <c r="AL133" s="134" t="str">
        <f>_xlfn.IFNA(MATCH(L133,Achievements[[#All],[Column114]],0)+10,"")</f>
        <v/>
      </c>
      <c r="AM133" s="134" t="str">
        <f>_xlfn.IFNA(MATCH(M133,Achievements[[#All],[Column114]],0)+10,"")</f>
        <v/>
      </c>
      <c r="AN133" s="134" t="str">
        <f>_xlfn.IFNA(MATCH(N133,Achievements[[#All],[Column115]],0)+10,"")</f>
        <v/>
      </c>
      <c r="AO133" s="134" t="str">
        <f>_xlfn.IFNA(MATCH(O133,Achievements[[#All],[Column115]],0)+10,"")</f>
        <v/>
      </c>
      <c r="AP133" s="134" t="str">
        <f>_xlfn.IFNA(MATCH(P133,Achievements[[#All],[Column116]],0)+10,"")</f>
        <v/>
      </c>
      <c r="AQ133" s="134" t="str">
        <f>_xlfn.IFNA(MATCH(Q133,Achievements[[#All],[Column116]],0)+10,"")</f>
        <v/>
      </c>
      <c r="AR133" s="134" t="str">
        <f>_xlfn.IFNA(MATCH(R133,Achievements[[#All],[Column117]],0)+10,"")</f>
        <v/>
      </c>
      <c r="AS133" s="134" t="str">
        <f>_xlfn.IFNA(MATCH(S133,Achievements[[#All],[Column117]],0)+10,"")</f>
        <v/>
      </c>
      <c r="AT133" s="134" t="str">
        <f>_xlfn.IFNA(MATCH(T133,Achievements[[#All],[Column118]],0)+10,"")</f>
        <v/>
      </c>
      <c r="AU133" s="134" t="str">
        <f>_xlfn.IFNA(MATCH(U133,Achievements[[#All],[Column118]],0)+10,"")</f>
        <v/>
      </c>
      <c r="AV133" s="134" t="str">
        <f>_xlfn.IFNA(MATCH(V133,Achievements[[#All],[Column119]],0)+10,"")</f>
        <v/>
      </c>
      <c r="AW133" s="134" t="str">
        <f>_xlfn.IFNA(MATCH(W133,Achievements[[#All],[Column119]],0)+10,"")</f>
        <v/>
      </c>
      <c r="AX133" s="134" t="str">
        <f>_xlfn.IFNA(MATCH(X133,Achievements[[#All],[Column120]],0)+10,"")</f>
        <v/>
      </c>
      <c r="AY133" s="134" t="str">
        <f>_xlfn.IFNA(MATCH(Y133,Achievements[[#All],[Column120]],0)+10,"")</f>
        <v/>
      </c>
      <c r="AZ133" s="116" t="e">
        <f t="shared" ca="1" si="2"/>
        <v>#NAME?</v>
      </c>
      <c r="BA133" s="134" t="e" cm="1">
        <f t="array" aca="1" ref="BA133" ca="1">SplitValues("; ",Persons[[#This Row],[Column1]])</f>
        <v>#NAME?</v>
      </c>
      <c r="CA133" s="134" t="e">
        <f ca="1">_xlfn.IFNA(MATCH(BA133,Achievements[[#All],[Column1]],0)+10,"")</f>
        <v>#NAME?</v>
      </c>
      <c r="CB133" s="134" t="str">
        <f>_xlfn.IFNA(MATCH(BB133,Achievements[[#All],[Column1]],0)+10,"")</f>
        <v/>
      </c>
      <c r="CC133" s="134" t="str">
        <f>_xlfn.IFNA(MATCH(BC133,Achievements[[#All],[Column110]],0)+10,"")</f>
        <v/>
      </c>
      <c r="CD133" s="134" t="str">
        <f>_xlfn.IFNA(MATCH(BD133,Achievements[[#All],[Column110]],0)+10,"")</f>
        <v/>
      </c>
      <c r="CE133" s="134" t="str">
        <f>_xlfn.IFNA(MATCH(BE133,Achievements[[#All],[Column111]],0)+10,"")</f>
        <v/>
      </c>
      <c r="CF133" s="134" t="str">
        <f>_xlfn.IFNA(MATCH(BF133,Achievements[[#All],[Column111]],0)+10,"")</f>
        <v/>
      </c>
      <c r="CG133" s="134" t="str">
        <f>_xlfn.IFNA(MATCH(BG133,Achievements[[#All],[Column112]],0)+10,"")</f>
        <v/>
      </c>
      <c r="CH133" s="134" t="str">
        <f>_xlfn.IFNA(MATCH(BH133,Achievements[[#All],[Column112]],0)+10,"")</f>
        <v/>
      </c>
      <c r="CI133" s="134" t="str">
        <f>_xlfn.IFNA(MATCH(BI133,Achievements[[#All],[Column113]],0)+10,"")</f>
        <v/>
      </c>
      <c r="CJ133" s="134" t="str">
        <f>_xlfn.IFNA(MATCH(BJ133,Achievements[[#All],[Column113]],0)+10,"")</f>
        <v/>
      </c>
      <c r="CK133" s="134" t="str">
        <f>_xlfn.IFNA(MATCH(BK133,Achievements[[#All],[Column114]],0)+10,"")</f>
        <v/>
      </c>
      <c r="CL133" s="134" t="str">
        <f>_xlfn.IFNA(MATCH(BL133,Achievements[[#All],[Column114]],0)+10,"")</f>
        <v/>
      </c>
      <c r="CM133" s="134" t="str">
        <f>_xlfn.IFNA(MATCH(BM133,Achievements[[#All],[Column115]],0)+10,"")</f>
        <v/>
      </c>
      <c r="CN133" s="134" t="str">
        <f>_xlfn.IFNA(MATCH(BN133,Achievements[[#All],[Column115]],0)+10,"")</f>
        <v/>
      </c>
      <c r="CO133" s="134" t="str">
        <f>_xlfn.IFNA(MATCH(BO133,Achievements[[#All],[Column116]],0)+10,"")</f>
        <v/>
      </c>
      <c r="CP133" s="134" t="str">
        <f>_xlfn.IFNA(MATCH(BP133,Achievements[[#All],[Column116]],0)+10,"")</f>
        <v/>
      </c>
      <c r="CQ133" s="134" t="str">
        <f>_xlfn.IFNA(MATCH(BQ133,Achievements[[#All],[Column117]],0)+10,"")</f>
        <v/>
      </c>
      <c r="CR133" s="134" t="str">
        <f>_xlfn.IFNA(MATCH(BR133,Achievements[[#All],[Column117]],0)+10,"")</f>
        <v/>
      </c>
      <c r="CS133" s="134" t="str">
        <f>_xlfn.IFNA(MATCH(BS133,Achievements[[#All],[Column118]],0)+10,"")</f>
        <v/>
      </c>
      <c r="CT133" s="134" t="str">
        <f>_xlfn.IFNA(MATCH(BT133,Achievements[[#All],[Column118]],0)+10,"")</f>
        <v/>
      </c>
      <c r="CU133" s="134" t="str">
        <f>_xlfn.IFNA(MATCH(BU133,Achievements[[#All],[Column119]],0)+10,"")</f>
        <v/>
      </c>
      <c r="CV133" s="134" t="str">
        <f>_xlfn.IFNA(MATCH(BV133,Achievements[[#All],[Column119]],0)+10,"")</f>
        <v/>
      </c>
      <c r="CW133" s="134" t="str">
        <f>_xlfn.IFNA(MATCH(BW133,Achievements[[#All],[Column120]],0)+10,"")</f>
        <v/>
      </c>
      <c r="CX133" s="134" t="str">
        <f>_xlfn.IFNA(MATCH(BX133,Achievements[[#All],[Column120]],0)+10,"")</f>
        <v/>
      </c>
      <c r="CY133" s="134" t="str">
        <f>_xlfn.IFNA(MATCH(BY133,Achievements[[#All],[Column121]],0)+10,"")</f>
        <v/>
      </c>
      <c r="CZ133" s="118" t="e">
        <f t="shared" ca="1" si="3"/>
        <v>#NAME?</v>
      </c>
    </row>
    <row r="134" spans="1:104" x14ac:dyDescent="0.25">
      <c r="A134" t="e" cm="1">
        <f t="array" aca="1" ref="A134" ca="1">SplitValues("; ",#REF!)</f>
        <v>#NAME?</v>
      </c>
      <c r="AA134" t="e">
        <f ca="1">_xlfn.IFNA(MATCH(A134,Achievements[[#All],[Column1]],0)+11,"")</f>
        <v>#NAME?</v>
      </c>
      <c r="AB134" s="134" t="str">
        <f>_xlfn.IFNA(MATCH(B134,Achievements[[#All],[Column1]],0)+10,"")</f>
        <v/>
      </c>
      <c r="AC134" s="134" t="str">
        <f>_xlfn.IFNA(MATCH(C134,Achievements[[#All],[Column1]],0)+10,"")</f>
        <v/>
      </c>
      <c r="AD134" s="134" t="str">
        <f>_xlfn.IFNA(MATCH(D134,Achievements[[#All],[Column110]],0)+10,"")</f>
        <v/>
      </c>
      <c r="AE134" s="134" t="str">
        <f>_xlfn.IFNA(MATCH(E134,Achievements[[#All],[Column110]],0)+10,"")</f>
        <v/>
      </c>
      <c r="AF134" s="134" t="str">
        <f>_xlfn.IFNA(MATCH(F134,Achievements[[#All],[Column111]],0)+10,"")</f>
        <v/>
      </c>
      <c r="AG134" s="134" t="str">
        <f>_xlfn.IFNA(MATCH(G134,Achievements[[#All],[Column111]],0)+10,"")</f>
        <v/>
      </c>
      <c r="AH134" s="134" t="str">
        <f>_xlfn.IFNA(MATCH(H134,Achievements[[#All],[Column112]],0)+10,"")</f>
        <v/>
      </c>
      <c r="AI134" s="134" t="str">
        <f>_xlfn.IFNA(MATCH(I134,Achievements[[#All],[Column112]],0)+10,"")</f>
        <v/>
      </c>
      <c r="AJ134" s="134" t="str">
        <f>_xlfn.IFNA(MATCH(J134,Achievements[[#All],[Column113]],0)+10,"")</f>
        <v/>
      </c>
      <c r="AK134" s="134" t="str">
        <f>_xlfn.IFNA(MATCH(K134,Achievements[[#All],[Column113]],0)+10,"")</f>
        <v/>
      </c>
      <c r="AL134" s="134" t="str">
        <f>_xlfn.IFNA(MATCH(L134,Achievements[[#All],[Column114]],0)+10,"")</f>
        <v/>
      </c>
      <c r="AM134" s="134" t="str">
        <f>_xlfn.IFNA(MATCH(M134,Achievements[[#All],[Column114]],0)+10,"")</f>
        <v/>
      </c>
      <c r="AN134" s="134" t="str">
        <f>_xlfn.IFNA(MATCH(N134,Achievements[[#All],[Column115]],0)+10,"")</f>
        <v/>
      </c>
      <c r="AO134" s="134" t="str">
        <f>_xlfn.IFNA(MATCH(O134,Achievements[[#All],[Column115]],0)+10,"")</f>
        <v/>
      </c>
      <c r="AP134" s="134" t="str">
        <f>_xlfn.IFNA(MATCH(P134,Achievements[[#All],[Column116]],0)+10,"")</f>
        <v/>
      </c>
      <c r="AQ134" s="134" t="str">
        <f>_xlfn.IFNA(MATCH(Q134,Achievements[[#All],[Column116]],0)+10,"")</f>
        <v/>
      </c>
      <c r="AR134" s="134" t="str">
        <f>_xlfn.IFNA(MATCH(R134,Achievements[[#All],[Column117]],0)+10,"")</f>
        <v/>
      </c>
      <c r="AS134" s="134" t="str">
        <f>_xlfn.IFNA(MATCH(S134,Achievements[[#All],[Column117]],0)+10,"")</f>
        <v/>
      </c>
      <c r="AT134" s="134" t="str">
        <f>_xlfn.IFNA(MATCH(T134,Achievements[[#All],[Column118]],0)+10,"")</f>
        <v/>
      </c>
      <c r="AU134" s="134" t="str">
        <f>_xlfn.IFNA(MATCH(U134,Achievements[[#All],[Column118]],0)+10,"")</f>
        <v/>
      </c>
      <c r="AV134" s="134" t="str">
        <f>_xlfn.IFNA(MATCH(V134,Achievements[[#All],[Column119]],0)+10,"")</f>
        <v/>
      </c>
      <c r="AW134" s="134" t="str">
        <f>_xlfn.IFNA(MATCH(W134,Achievements[[#All],[Column119]],0)+10,"")</f>
        <v/>
      </c>
      <c r="AX134" s="134" t="str">
        <f>_xlfn.IFNA(MATCH(X134,Achievements[[#All],[Column120]],0)+10,"")</f>
        <v/>
      </c>
      <c r="AY134" s="134" t="str">
        <f>_xlfn.IFNA(MATCH(Y134,Achievements[[#All],[Column120]],0)+10,"")</f>
        <v/>
      </c>
      <c r="AZ134" s="116" t="e">
        <f t="shared" ca="1" si="2"/>
        <v>#NAME?</v>
      </c>
      <c r="BA134" s="134" t="e" cm="1">
        <f t="array" aca="1" ref="BA134" ca="1">SplitValues("; ",Persons[[#This Row],[Column1]])</f>
        <v>#NAME?</v>
      </c>
      <c r="CA134" s="134" t="e">
        <f ca="1">_xlfn.IFNA(MATCH(BA134,Achievements[[#All],[Column1]],0)+10,"")</f>
        <v>#NAME?</v>
      </c>
      <c r="CB134" s="134" t="str">
        <f>_xlfn.IFNA(MATCH(BB134,Achievements[[#All],[Column1]],0)+10,"")</f>
        <v/>
      </c>
      <c r="CC134" s="134" t="str">
        <f>_xlfn.IFNA(MATCH(BC134,Achievements[[#All],[Column110]],0)+10,"")</f>
        <v/>
      </c>
      <c r="CD134" s="134" t="str">
        <f>_xlfn.IFNA(MATCH(BD134,Achievements[[#All],[Column110]],0)+10,"")</f>
        <v/>
      </c>
      <c r="CE134" s="134" t="str">
        <f>_xlfn.IFNA(MATCH(BE134,Achievements[[#All],[Column111]],0)+10,"")</f>
        <v/>
      </c>
      <c r="CF134" s="134" t="str">
        <f>_xlfn.IFNA(MATCH(BF134,Achievements[[#All],[Column111]],0)+10,"")</f>
        <v/>
      </c>
      <c r="CG134" s="134" t="str">
        <f>_xlfn.IFNA(MATCH(BG134,Achievements[[#All],[Column112]],0)+10,"")</f>
        <v/>
      </c>
      <c r="CH134" s="134" t="str">
        <f>_xlfn.IFNA(MATCH(BH134,Achievements[[#All],[Column112]],0)+10,"")</f>
        <v/>
      </c>
      <c r="CI134" s="134" t="str">
        <f>_xlfn.IFNA(MATCH(BI134,Achievements[[#All],[Column113]],0)+10,"")</f>
        <v/>
      </c>
      <c r="CJ134" s="134" t="str">
        <f>_xlfn.IFNA(MATCH(BJ134,Achievements[[#All],[Column113]],0)+10,"")</f>
        <v/>
      </c>
      <c r="CK134" s="134" t="str">
        <f>_xlfn.IFNA(MATCH(BK134,Achievements[[#All],[Column114]],0)+10,"")</f>
        <v/>
      </c>
      <c r="CL134" s="134" t="str">
        <f>_xlfn.IFNA(MATCH(BL134,Achievements[[#All],[Column114]],0)+10,"")</f>
        <v/>
      </c>
      <c r="CM134" s="134" t="str">
        <f>_xlfn.IFNA(MATCH(BM134,Achievements[[#All],[Column115]],0)+10,"")</f>
        <v/>
      </c>
      <c r="CN134" s="134" t="str">
        <f>_xlfn.IFNA(MATCH(BN134,Achievements[[#All],[Column115]],0)+10,"")</f>
        <v/>
      </c>
      <c r="CO134" s="134" t="str">
        <f>_xlfn.IFNA(MATCH(BO134,Achievements[[#All],[Column116]],0)+10,"")</f>
        <v/>
      </c>
      <c r="CP134" s="134" t="str">
        <f>_xlfn.IFNA(MATCH(BP134,Achievements[[#All],[Column116]],0)+10,"")</f>
        <v/>
      </c>
      <c r="CQ134" s="134" t="str">
        <f>_xlfn.IFNA(MATCH(BQ134,Achievements[[#All],[Column117]],0)+10,"")</f>
        <v/>
      </c>
      <c r="CR134" s="134" t="str">
        <f>_xlfn.IFNA(MATCH(BR134,Achievements[[#All],[Column117]],0)+10,"")</f>
        <v/>
      </c>
      <c r="CS134" s="134" t="str">
        <f>_xlfn.IFNA(MATCH(BS134,Achievements[[#All],[Column118]],0)+10,"")</f>
        <v/>
      </c>
      <c r="CT134" s="134" t="str">
        <f>_xlfn.IFNA(MATCH(BT134,Achievements[[#All],[Column118]],0)+10,"")</f>
        <v/>
      </c>
      <c r="CU134" s="134" t="str">
        <f>_xlfn.IFNA(MATCH(BU134,Achievements[[#All],[Column119]],0)+10,"")</f>
        <v/>
      </c>
      <c r="CV134" s="134" t="str">
        <f>_xlfn.IFNA(MATCH(BV134,Achievements[[#All],[Column119]],0)+10,"")</f>
        <v/>
      </c>
      <c r="CW134" s="134" t="str">
        <f>_xlfn.IFNA(MATCH(BW134,Achievements[[#All],[Column120]],0)+10,"")</f>
        <v/>
      </c>
      <c r="CX134" s="134" t="str">
        <f>_xlfn.IFNA(MATCH(BX134,Achievements[[#All],[Column120]],0)+10,"")</f>
        <v/>
      </c>
      <c r="CY134" s="134" t="str">
        <f>_xlfn.IFNA(MATCH(BY134,Achievements[[#All],[Column121]],0)+10,"")</f>
        <v/>
      </c>
      <c r="CZ134" s="118" t="e">
        <f t="shared" ca="1" si="3"/>
        <v>#NAME?</v>
      </c>
    </row>
    <row r="135" spans="1:104" x14ac:dyDescent="0.25">
      <c r="A135" t="e" cm="1">
        <f t="array" aca="1" ref="A135" ca="1">SplitValues("; ",#REF!)</f>
        <v>#NAME?</v>
      </c>
      <c r="AA135" t="e">
        <f ca="1">_xlfn.IFNA(MATCH(A135,Achievements[[#All],[Column1]],0)+11,"")</f>
        <v>#NAME?</v>
      </c>
      <c r="AB135" s="134" t="str">
        <f>_xlfn.IFNA(MATCH(B135,Achievements[[#All],[Column1]],0)+10,"")</f>
        <v/>
      </c>
      <c r="AC135" s="134" t="str">
        <f>_xlfn.IFNA(MATCH(C135,Achievements[[#All],[Column1]],0)+10,"")</f>
        <v/>
      </c>
      <c r="AD135" s="134" t="str">
        <f>_xlfn.IFNA(MATCH(D135,Achievements[[#All],[Column110]],0)+10,"")</f>
        <v/>
      </c>
      <c r="AE135" s="134" t="str">
        <f>_xlfn.IFNA(MATCH(E135,Achievements[[#All],[Column110]],0)+10,"")</f>
        <v/>
      </c>
      <c r="AF135" s="134" t="str">
        <f>_xlfn.IFNA(MATCH(F135,Achievements[[#All],[Column111]],0)+10,"")</f>
        <v/>
      </c>
      <c r="AG135" s="134" t="str">
        <f>_xlfn.IFNA(MATCH(G135,Achievements[[#All],[Column111]],0)+10,"")</f>
        <v/>
      </c>
      <c r="AH135" s="134" t="str">
        <f>_xlfn.IFNA(MATCH(H135,Achievements[[#All],[Column112]],0)+10,"")</f>
        <v/>
      </c>
      <c r="AI135" s="134" t="str">
        <f>_xlfn.IFNA(MATCH(I135,Achievements[[#All],[Column112]],0)+10,"")</f>
        <v/>
      </c>
      <c r="AJ135" s="134" t="str">
        <f>_xlfn.IFNA(MATCH(J135,Achievements[[#All],[Column113]],0)+10,"")</f>
        <v/>
      </c>
      <c r="AK135" s="134" t="str">
        <f>_xlfn.IFNA(MATCH(K135,Achievements[[#All],[Column113]],0)+10,"")</f>
        <v/>
      </c>
      <c r="AL135" s="134" t="str">
        <f>_xlfn.IFNA(MATCH(L135,Achievements[[#All],[Column114]],0)+10,"")</f>
        <v/>
      </c>
      <c r="AM135" s="134" t="str">
        <f>_xlfn.IFNA(MATCH(M135,Achievements[[#All],[Column114]],0)+10,"")</f>
        <v/>
      </c>
      <c r="AN135" s="134" t="str">
        <f>_xlfn.IFNA(MATCH(N135,Achievements[[#All],[Column115]],0)+10,"")</f>
        <v/>
      </c>
      <c r="AO135" s="134" t="str">
        <f>_xlfn.IFNA(MATCH(O135,Achievements[[#All],[Column115]],0)+10,"")</f>
        <v/>
      </c>
      <c r="AP135" s="134" t="str">
        <f>_xlfn.IFNA(MATCH(P135,Achievements[[#All],[Column116]],0)+10,"")</f>
        <v/>
      </c>
      <c r="AQ135" s="134" t="str">
        <f>_xlfn.IFNA(MATCH(Q135,Achievements[[#All],[Column116]],0)+10,"")</f>
        <v/>
      </c>
      <c r="AR135" s="134" t="str">
        <f>_xlfn.IFNA(MATCH(R135,Achievements[[#All],[Column117]],0)+10,"")</f>
        <v/>
      </c>
      <c r="AS135" s="134" t="str">
        <f>_xlfn.IFNA(MATCH(S135,Achievements[[#All],[Column117]],0)+10,"")</f>
        <v/>
      </c>
      <c r="AT135" s="134" t="str">
        <f>_xlfn.IFNA(MATCH(T135,Achievements[[#All],[Column118]],0)+10,"")</f>
        <v/>
      </c>
      <c r="AU135" s="134" t="str">
        <f>_xlfn.IFNA(MATCH(U135,Achievements[[#All],[Column118]],0)+10,"")</f>
        <v/>
      </c>
      <c r="AV135" s="134" t="str">
        <f>_xlfn.IFNA(MATCH(V135,Achievements[[#All],[Column119]],0)+10,"")</f>
        <v/>
      </c>
      <c r="AW135" s="134" t="str">
        <f>_xlfn.IFNA(MATCH(W135,Achievements[[#All],[Column119]],0)+10,"")</f>
        <v/>
      </c>
      <c r="AX135" s="134" t="str">
        <f>_xlfn.IFNA(MATCH(X135,Achievements[[#All],[Column120]],0)+10,"")</f>
        <v/>
      </c>
      <c r="AY135" s="134" t="str">
        <f>_xlfn.IFNA(MATCH(Y135,Achievements[[#All],[Column120]],0)+10,"")</f>
        <v/>
      </c>
      <c r="AZ135" s="116" t="e">
        <f t="shared" ca="1" si="2"/>
        <v>#NAME?</v>
      </c>
      <c r="BA135" s="134" t="e" cm="1">
        <f t="array" aca="1" ref="BA135" ca="1">SplitValues("; ",Persons[[#This Row],[Column1]])</f>
        <v>#NAME?</v>
      </c>
      <c r="CA135" s="134" t="e">
        <f ca="1">_xlfn.IFNA(MATCH(BA135,Achievements[[#All],[Column1]],0)+10,"")</f>
        <v>#NAME?</v>
      </c>
      <c r="CB135" s="134" t="str">
        <f>_xlfn.IFNA(MATCH(BB135,Achievements[[#All],[Column1]],0)+10,"")</f>
        <v/>
      </c>
      <c r="CC135" s="134" t="str">
        <f>_xlfn.IFNA(MATCH(BC135,Achievements[[#All],[Column110]],0)+10,"")</f>
        <v/>
      </c>
      <c r="CD135" s="134" t="str">
        <f>_xlfn.IFNA(MATCH(BD135,Achievements[[#All],[Column110]],0)+10,"")</f>
        <v/>
      </c>
      <c r="CE135" s="134" t="str">
        <f>_xlfn.IFNA(MATCH(BE135,Achievements[[#All],[Column111]],0)+10,"")</f>
        <v/>
      </c>
      <c r="CF135" s="134" t="str">
        <f>_xlfn.IFNA(MATCH(BF135,Achievements[[#All],[Column111]],0)+10,"")</f>
        <v/>
      </c>
      <c r="CG135" s="134" t="str">
        <f>_xlfn.IFNA(MATCH(BG135,Achievements[[#All],[Column112]],0)+10,"")</f>
        <v/>
      </c>
      <c r="CH135" s="134" t="str">
        <f>_xlfn.IFNA(MATCH(BH135,Achievements[[#All],[Column112]],0)+10,"")</f>
        <v/>
      </c>
      <c r="CI135" s="134" t="str">
        <f>_xlfn.IFNA(MATCH(BI135,Achievements[[#All],[Column113]],0)+10,"")</f>
        <v/>
      </c>
      <c r="CJ135" s="134" t="str">
        <f>_xlfn.IFNA(MATCH(BJ135,Achievements[[#All],[Column113]],0)+10,"")</f>
        <v/>
      </c>
      <c r="CK135" s="134" t="str">
        <f>_xlfn.IFNA(MATCH(BK135,Achievements[[#All],[Column114]],0)+10,"")</f>
        <v/>
      </c>
      <c r="CL135" s="134" t="str">
        <f>_xlfn.IFNA(MATCH(BL135,Achievements[[#All],[Column114]],0)+10,"")</f>
        <v/>
      </c>
      <c r="CM135" s="134" t="str">
        <f>_xlfn.IFNA(MATCH(BM135,Achievements[[#All],[Column115]],0)+10,"")</f>
        <v/>
      </c>
      <c r="CN135" s="134" t="str">
        <f>_xlfn.IFNA(MATCH(BN135,Achievements[[#All],[Column115]],0)+10,"")</f>
        <v/>
      </c>
      <c r="CO135" s="134" t="str">
        <f>_xlfn.IFNA(MATCH(BO135,Achievements[[#All],[Column116]],0)+10,"")</f>
        <v/>
      </c>
      <c r="CP135" s="134" t="str">
        <f>_xlfn.IFNA(MATCH(BP135,Achievements[[#All],[Column116]],0)+10,"")</f>
        <v/>
      </c>
      <c r="CQ135" s="134" t="str">
        <f>_xlfn.IFNA(MATCH(BQ135,Achievements[[#All],[Column117]],0)+10,"")</f>
        <v/>
      </c>
      <c r="CR135" s="134" t="str">
        <f>_xlfn.IFNA(MATCH(BR135,Achievements[[#All],[Column117]],0)+10,"")</f>
        <v/>
      </c>
      <c r="CS135" s="134" t="str">
        <f>_xlfn.IFNA(MATCH(BS135,Achievements[[#All],[Column118]],0)+10,"")</f>
        <v/>
      </c>
      <c r="CT135" s="134" t="str">
        <f>_xlfn.IFNA(MATCH(BT135,Achievements[[#All],[Column118]],0)+10,"")</f>
        <v/>
      </c>
      <c r="CU135" s="134" t="str">
        <f>_xlfn.IFNA(MATCH(BU135,Achievements[[#All],[Column119]],0)+10,"")</f>
        <v/>
      </c>
      <c r="CV135" s="134" t="str">
        <f>_xlfn.IFNA(MATCH(BV135,Achievements[[#All],[Column119]],0)+10,"")</f>
        <v/>
      </c>
      <c r="CW135" s="134" t="str">
        <f>_xlfn.IFNA(MATCH(BW135,Achievements[[#All],[Column120]],0)+10,"")</f>
        <v/>
      </c>
      <c r="CX135" s="134" t="str">
        <f>_xlfn.IFNA(MATCH(BX135,Achievements[[#All],[Column120]],0)+10,"")</f>
        <v/>
      </c>
      <c r="CY135" s="134" t="str">
        <f>_xlfn.IFNA(MATCH(BY135,Achievements[[#All],[Column121]],0)+10,"")</f>
        <v/>
      </c>
      <c r="CZ135" s="118" t="e">
        <f t="shared" ca="1" si="3"/>
        <v>#NAME?</v>
      </c>
    </row>
    <row r="136" spans="1:104" x14ac:dyDescent="0.25">
      <c r="A136" t="e" cm="1">
        <f t="array" aca="1" ref="A136" ca="1">SplitValues("; ",#REF!)</f>
        <v>#NAME?</v>
      </c>
      <c r="AA136" t="e">
        <f ca="1">_xlfn.IFNA(MATCH(A136,Achievements[[#All],[Column1]],0)+11,"")</f>
        <v>#NAME?</v>
      </c>
      <c r="AB136" s="134" t="str">
        <f>_xlfn.IFNA(MATCH(B136,Achievements[[#All],[Column1]],0)+10,"")</f>
        <v/>
      </c>
      <c r="AC136" s="134" t="str">
        <f>_xlfn.IFNA(MATCH(C136,Achievements[[#All],[Column1]],0)+10,"")</f>
        <v/>
      </c>
      <c r="AD136" s="134" t="str">
        <f>_xlfn.IFNA(MATCH(D136,Achievements[[#All],[Column110]],0)+10,"")</f>
        <v/>
      </c>
      <c r="AE136" s="134" t="str">
        <f>_xlfn.IFNA(MATCH(E136,Achievements[[#All],[Column110]],0)+10,"")</f>
        <v/>
      </c>
      <c r="AF136" s="134" t="str">
        <f>_xlfn.IFNA(MATCH(F136,Achievements[[#All],[Column111]],0)+10,"")</f>
        <v/>
      </c>
      <c r="AG136" s="134" t="str">
        <f>_xlfn.IFNA(MATCH(G136,Achievements[[#All],[Column111]],0)+10,"")</f>
        <v/>
      </c>
      <c r="AH136" s="134" t="str">
        <f>_xlfn.IFNA(MATCH(H136,Achievements[[#All],[Column112]],0)+10,"")</f>
        <v/>
      </c>
      <c r="AI136" s="134" t="str">
        <f>_xlfn.IFNA(MATCH(I136,Achievements[[#All],[Column112]],0)+10,"")</f>
        <v/>
      </c>
      <c r="AJ136" s="134" t="str">
        <f>_xlfn.IFNA(MATCH(J136,Achievements[[#All],[Column113]],0)+10,"")</f>
        <v/>
      </c>
      <c r="AK136" s="134" t="str">
        <f>_xlfn.IFNA(MATCH(K136,Achievements[[#All],[Column113]],0)+10,"")</f>
        <v/>
      </c>
      <c r="AL136" s="134" t="str">
        <f>_xlfn.IFNA(MATCH(L136,Achievements[[#All],[Column114]],0)+10,"")</f>
        <v/>
      </c>
      <c r="AM136" s="134" t="str">
        <f>_xlfn.IFNA(MATCH(M136,Achievements[[#All],[Column114]],0)+10,"")</f>
        <v/>
      </c>
      <c r="AN136" s="134" t="str">
        <f>_xlfn.IFNA(MATCH(N136,Achievements[[#All],[Column115]],0)+10,"")</f>
        <v/>
      </c>
      <c r="AO136" s="134" t="str">
        <f>_xlfn.IFNA(MATCH(O136,Achievements[[#All],[Column115]],0)+10,"")</f>
        <v/>
      </c>
      <c r="AP136" s="134" t="str">
        <f>_xlfn.IFNA(MATCH(P136,Achievements[[#All],[Column116]],0)+10,"")</f>
        <v/>
      </c>
      <c r="AQ136" s="134" t="str">
        <f>_xlfn.IFNA(MATCH(Q136,Achievements[[#All],[Column116]],0)+10,"")</f>
        <v/>
      </c>
      <c r="AR136" s="134" t="str">
        <f>_xlfn.IFNA(MATCH(R136,Achievements[[#All],[Column117]],0)+10,"")</f>
        <v/>
      </c>
      <c r="AS136" s="134" t="str">
        <f>_xlfn.IFNA(MATCH(S136,Achievements[[#All],[Column117]],0)+10,"")</f>
        <v/>
      </c>
      <c r="AT136" s="134" t="str">
        <f>_xlfn.IFNA(MATCH(T136,Achievements[[#All],[Column118]],0)+10,"")</f>
        <v/>
      </c>
      <c r="AU136" s="134" t="str">
        <f>_xlfn.IFNA(MATCH(U136,Achievements[[#All],[Column118]],0)+10,"")</f>
        <v/>
      </c>
      <c r="AV136" s="134" t="str">
        <f>_xlfn.IFNA(MATCH(V136,Achievements[[#All],[Column119]],0)+10,"")</f>
        <v/>
      </c>
      <c r="AW136" s="134" t="str">
        <f>_xlfn.IFNA(MATCH(W136,Achievements[[#All],[Column119]],0)+10,"")</f>
        <v/>
      </c>
      <c r="AX136" s="134" t="str">
        <f>_xlfn.IFNA(MATCH(X136,Achievements[[#All],[Column120]],0)+10,"")</f>
        <v/>
      </c>
      <c r="AY136" s="134" t="str">
        <f>_xlfn.IFNA(MATCH(Y136,Achievements[[#All],[Column120]],0)+10,"")</f>
        <v/>
      </c>
      <c r="AZ136" s="116" t="e">
        <f t="shared" ca="1" si="2"/>
        <v>#NAME?</v>
      </c>
      <c r="BA136" s="134" t="e" cm="1">
        <f t="array" aca="1" ref="BA136" ca="1">SplitValues("; ",Persons[[#This Row],[Column1]])</f>
        <v>#NAME?</v>
      </c>
      <c r="CA136" s="134" t="e">
        <f ca="1">_xlfn.IFNA(MATCH(BA136,Achievements[[#All],[Column1]],0)+10,"")</f>
        <v>#NAME?</v>
      </c>
      <c r="CB136" s="134" t="str">
        <f>_xlfn.IFNA(MATCH(BB136,Achievements[[#All],[Column1]],0)+10,"")</f>
        <v/>
      </c>
      <c r="CC136" s="134" t="str">
        <f>_xlfn.IFNA(MATCH(BC136,Achievements[[#All],[Column110]],0)+10,"")</f>
        <v/>
      </c>
      <c r="CD136" s="134" t="str">
        <f>_xlfn.IFNA(MATCH(BD136,Achievements[[#All],[Column110]],0)+10,"")</f>
        <v/>
      </c>
      <c r="CE136" s="134" t="str">
        <f>_xlfn.IFNA(MATCH(BE136,Achievements[[#All],[Column111]],0)+10,"")</f>
        <v/>
      </c>
      <c r="CF136" s="134" t="str">
        <f>_xlfn.IFNA(MATCH(BF136,Achievements[[#All],[Column111]],0)+10,"")</f>
        <v/>
      </c>
      <c r="CG136" s="134" t="str">
        <f>_xlfn.IFNA(MATCH(BG136,Achievements[[#All],[Column112]],0)+10,"")</f>
        <v/>
      </c>
      <c r="CH136" s="134" t="str">
        <f>_xlfn.IFNA(MATCH(BH136,Achievements[[#All],[Column112]],0)+10,"")</f>
        <v/>
      </c>
      <c r="CI136" s="134" t="str">
        <f>_xlfn.IFNA(MATCH(BI136,Achievements[[#All],[Column113]],0)+10,"")</f>
        <v/>
      </c>
      <c r="CJ136" s="134" t="str">
        <f>_xlfn.IFNA(MATCH(BJ136,Achievements[[#All],[Column113]],0)+10,"")</f>
        <v/>
      </c>
      <c r="CK136" s="134" t="str">
        <f>_xlfn.IFNA(MATCH(BK136,Achievements[[#All],[Column114]],0)+10,"")</f>
        <v/>
      </c>
      <c r="CL136" s="134" t="str">
        <f>_xlfn.IFNA(MATCH(BL136,Achievements[[#All],[Column114]],0)+10,"")</f>
        <v/>
      </c>
      <c r="CM136" s="134" t="str">
        <f>_xlfn.IFNA(MATCH(BM136,Achievements[[#All],[Column115]],0)+10,"")</f>
        <v/>
      </c>
      <c r="CN136" s="134" t="str">
        <f>_xlfn.IFNA(MATCH(BN136,Achievements[[#All],[Column115]],0)+10,"")</f>
        <v/>
      </c>
      <c r="CO136" s="134" t="str">
        <f>_xlfn.IFNA(MATCH(BO136,Achievements[[#All],[Column116]],0)+10,"")</f>
        <v/>
      </c>
      <c r="CP136" s="134" t="str">
        <f>_xlfn.IFNA(MATCH(BP136,Achievements[[#All],[Column116]],0)+10,"")</f>
        <v/>
      </c>
      <c r="CQ136" s="134" t="str">
        <f>_xlfn.IFNA(MATCH(BQ136,Achievements[[#All],[Column117]],0)+10,"")</f>
        <v/>
      </c>
      <c r="CR136" s="134" t="str">
        <f>_xlfn.IFNA(MATCH(BR136,Achievements[[#All],[Column117]],0)+10,"")</f>
        <v/>
      </c>
      <c r="CS136" s="134" t="str">
        <f>_xlfn.IFNA(MATCH(BS136,Achievements[[#All],[Column118]],0)+10,"")</f>
        <v/>
      </c>
      <c r="CT136" s="134" t="str">
        <f>_xlfn.IFNA(MATCH(BT136,Achievements[[#All],[Column118]],0)+10,"")</f>
        <v/>
      </c>
      <c r="CU136" s="134" t="str">
        <f>_xlfn.IFNA(MATCH(BU136,Achievements[[#All],[Column119]],0)+10,"")</f>
        <v/>
      </c>
      <c r="CV136" s="134" t="str">
        <f>_xlfn.IFNA(MATCH(BV136,Achievements[[#All],[Column119]],0)+10,"")</f>
        <v/>
      </c>
      <c r="CW136" s="134" t="str">
        <f>_xlfn.IFNA(MATCH(BW136,Achievements[[#All],[Column120]],0)+10,"")</f>
        <v/>
      </c>
      <c r="CX136" s="134" t="str">
        <f>_xlfn.IFNA(MATCH(BX136,Achievements[[#All],[Column120]],0)+10,"")</f>
        <v/>
      </c>
      <c r="CY136" s="134" t="str">
        <f>_xlfn.IFNA(MATCH(BY136,Achievements[[#All],[Column121]],0)+10,"")</f>
        <v/>
      </c>
      <c r="CZ136" s="118" t="e">
        <f t="shared" ca="1" si="3"/>
        <v>#NAME?</v>
      </c>
    </row>
    <row r="137" spans="1:104" x14ac:dyDescent="0.25">
      <c r="A137" t="e" cm="1">
        <f t="array" aca="1" ref="A137" ca="1">SplitValues("; ",#REF!)</f>
        <v>#NAME?</v>
      </c>
      <c r="AA137" t="e">
        <f ca="1">_xlfn.IFNA(MATCH(A137,Achievements[[#All],[Column1]],0)+11,"")</f>
        <v>#NAME?</v>
      </c>
      <c r="AB137" s="134" t="str">
        <f>_xlfn.IFNA(MATCH(B137,Achievements[[#All],[Column1]],0)+10,"")</f>
        <v/>
      </c>
      <c r="AC137" s="134" t="str">
        <f>_xlfn.IFNA(MATCH(C137,Achievements[[#All],[Column1]],0)+10,"")</f>
        <v/>
      </c>
      <c r="AD137" s="134" t="str">
        <f>_xlfn.IFNA(MATCH(D137,Achievements[[#All],[Column110]],0)+10,"")</f>
        <v/>
      </c>
      <c r="AE137" s="134" t="str">
        <f>_xlfn.IFNA(MATCH(E137,Achievements[[#All],[Column110]],0)+10,"")</f>
        <v/>
      </c>
      <c r="AF137" s="134" t="str">
        <f>_xlfn.IFNA(MATCH(F137,Achievements[[#All],[Column111]],0)+10,"")</f>
        <v/>
      </c>
      <c r="AG137" s="134" t="str">
        <f>_xlfn.IFNA(MATCH(G137,Achievements[[#All],[Column111]],0)+10,"")</f>
        <v/>
      </c>
      <c r="AH137" s="134" t="str">
        <f>_xlfn.IFNA(MATCH(H137,Achievements[[#All],[Column112]],0)+10,"")</f>
        <v/>
      </c>
      <c r="AI137" s="134" t="str">
        <f>_xlfn.IFNA(MATCH(I137,Achievements[[#All],[Column112]],0)+10,"")</f>
        <v/>
      </c>
      <c r="AJ137" s="134" t="str">
        <f>_xlfn.IFNA(MATCH(J137,Achievements[[#All],[Column113]],0)+10,"")</f>
        <v/>
      </c>
      <c r="AK137" s="134" t="str">
        <f>_xlfn.IFNA(MATCH(K137,Achievements[[#All],[Column113]],0)+10,"")</f>
        <v/>
      </c>
      <c r="AL137" s="134" t="str">
        <f>_xlfn.IFNA(MATCH(L137,Achievements[[#All],[Column114]],0)+10,"")</f>
        <v/>
      </c>
      <c r="AM137" s="134" t="str">
        <f>_xlfn.IFNA(MATCH(M137,Achievements[[#All],[Column114]],0)+10,"")</f>
        <v/>
      </c>
      <c r="AN137" s="134" t="str">
        <f>_xlfn.IFNA(MATCH(N137,Achievements[[#All],[Column115]],0)+10,"")</f>
        <v/>
      </c>
      <c r="AO137" s="134" t="str">
        <f>_xlfn.IFNA(MATCH(O137,Achievements[[#All],[Column115]],0)+10,"")</f>
        <v/>
      </c>
      <c r="AP137" s="134" t="str">
        <f>_xlfn.IFNA(MATCH(P137,Achievements[[#All],[Column116]],0)+10,"")</f>
        <v/>
      </c>
      <c r="AQ137" s="134" t="str">
        <f>_xlfn.IFNA(MATCH(Q137,Achievements[[#All],[Column116]],0)+10,"")</f>
        <v/>
      </c>
      <c r="AR137" s="134" t="str">
        <f>_xlfn.IFNA(MATCH(R137,Achievements[[#All],[Column117]],0)+10,"")</f>
        <v/>
      </c>
      <c r="AS137" s="134" t="str">
        <f>_xlfn.IFNA(MATCH(S137,Achievements[[#All],[Column117]],0)+10,"")</f>
        <v/>
      </c>
      <c r="AT137" s="134" t="str">
        <f>_xlfn.IFNA(MATCH(T137,Achievements[[#All],[Column118]],0)+10,"")</f>
        <v/>
      </c>
      <c r="AU137" s="134" t="str">
        <f>_xlfn.IFNA(MATCH(U137,Achievements[[#All],[Column118]],0)+10,"")</f>
        <v/>
      </c>
      <c r="AV137" s="134" t="str">
        <f>_xlfn.IFNA(MATCH(V137,Achievements[[#All],[Column119]],0)+10,"")</f>
        <v/>
      </c>
      <c r="AW137" s="134" t="str">
        <f>_xlfn.IFNA(MATCH(W137,Achievements[[#All],[Column119]],0)+10,"")</f>
        <v/>
      </c>
      <c r="AX137" s="134" t="str">
        <f>_xlfn.IFNA(MATCH(X137,Achievements[[#All],[Column120]],0)+10,"")</f>
        <v/>
      </c>
      <c r="AY137" s="134" t="str">
        <f>_xlfn.IFNA(MATCH(Y137,Achievements[[#All],[Column120]],0)+10,"")</f>
        <v/>
      </c>
      <c r="AZ137" s="116" t="e">
        <f t="shared" ca="1" si="2"/>
        <v>#NAME?</v>
      </c>
      <c r="BA137" s="134" t="e" cm="1">
        <f t="array" aca="1" ref="BA137" ca="1">SplitValues("; ",Persons[[#This Row],[Column1]])</f>
        <v>#NAME?</v>
      </c>
      <c r="CA137" s="134" t="e">
        <f ca="1">_xlfn.IFNA(MATCH(BA137,Achievements[[#All],[Column1]],0)+10,"")</f>
        <v>#NAME?</v>
      </c>
      <c r="CB137" s="134" t="str">
        <f>_xlfn.IFNA(MATCH(BB137,Achievements[[#All],[Column1]],0)+10,"")</f>
        <v/>
      </c>
      <c r="CC137" s="134" t="str">
        <f>_xlfn.IFNA(MATCH(BC137,Achievements[[#All],[Column110]],0)+10,"")</f>
        <v/>
      </c>
      <c r="CD137" s="134" t="str">
        <f>_xlfn.IFNA(MATCH(BD137,Achievements[[#All],[Column110]],0)+10,"")</f>
        <v/>
      </c>
      <c r="CE137" s="134" t="str">
        <f>_xlfn.IFNA(MATCH(BE137,Achievements[[#All],[Column111]],0)+10,"")</f>
        <v/>
      </c>
      <c r="CF137" s="134" t="str">
        <f>_xlfn.IFNA(MATCH(BF137,Achievements[[#All],[Column111]],0)+10,"")</f>
        <v/>
      </c>
      <c r="CG137" s="134" t="str">
        <f>_xlfn.IFNA(MATCH(BG137,Achievements[[#All],[Column112]],0)+10,"")</f>
        <v/>
      </c>
      <c r="CH137" s="134" t="str">
        <f>_xlfn.IFNA(MATCH(BH137,Achievements[[#All],[Column112]],0)+10,"")</f>
        <v/>
      </c>
      <c r="CI137" s="134" t="str">
        <f>_xlfn.IFNA(MATCH(BI137,Achievements[[#All],[Column113]],0)+10,"")</f>
        <v/>
      </c>
      <c r="CJ137" s="134" t="str">
        <f>_xlfn.IFNA(MATCH(BJ137,Achievements[[#All],[Column113]],0)+10,"")</f>
        <v/>
      </c>
      <c r="CK137" s="134" t="str">
        <f>_xlfn.IFNA(MATCH(BK137,Achievements[[#All],[Column114]],0)+10,"")</f>
        <v/>
      </c>
      <c r="CL137" s="134" t="str">
        <f>_xlfn.IFNA(MATCH(BL137,Achievements[[#All],[Column114]],0)+10,"")</f>
        <v/>
      </c>
      <c r="CM137" s="134" t="str">
        <f>_xlfn.IFNA(MATCH(BM137,Achievements[[#All],[Column115]],0)+10,"")</f>
        <v/>
      </c>
      <c r="CN137" s="134" t="str">
        <f>_xlfn.IFNA(MATCH(BN137,Achievements[[#All],[Column115]],0)+10,"")</f>
        <v/>
      </c>
      <c r="CO137" s="134" t="str">
        <f>_xlfn.IFNA(MATCH(BO137,Achievements[[#All],[Column116]],0)+10,"")</f>
        <v/>
      </c>
      <c r="CP137" s="134" t="str">
        <f>_xlfn.IFNA(MATCH(BP137,Achievements[[#All],[Column116]],0)+10,"")</f>
        <v/>
      </c>
      <c r="CQ137" s="134" t="str">
        <f>_xlfn.IFNA(MATCH(BQ137,Achievements[[#All],[Column117]],0)+10,"")</f>
        <v/>
      </c>
      <c r="CR137" s="134" t="str">
        <f>_xlfn.IFNA(MATCH(BR137,Achievements[[#All],[Column117]],0)+10,"")</f>
        <v/>
      </c>
      <c r="CS137" s="134" t="str">
        <f>_xlfn.IFNA(MATCH(BS137,Achievements[[#All],[Column118]],0)+10,"")</f>
        <v/>
      </c>
      <c r="CT137" s="134" t="str">
        <f>_xlfn.IFNA(MATCH(BT137,Achievements[[#All],[Column118]],0)+10,"")</f>
        <v/>
      </c>
      <c r="CU137" s="134" t="str">
        <f>_xlfn.IFNA(MATCH(BU137,Achievements[[#All],[Column119]],0)+10,"")</f>
        <v/>
      </c>
      <c r="CV137" s="134" t="str">
        <f>_xlfn.IFNA(MATCH(BV137,Achievements[[#All],[Column119]],0)+10,"")</f>
        <v/>
      </c>
      <c r="CW137" s="134" t="str">
        <f>_xlfn.IFNA(MATCH(BW137,Achievements[[#All],[Column120]],0)+10,"")</f>
        <v/>
      </c>
      <c r="CX137" s="134" t="str">
        <f>_xlfn.IFNA(MATCH(BX137,Achievements[[#All],[Column120]],0)+10,"")</f>
        <v/>
      </c>
      <c r="CY137" s="134" t="str">
        <f>_xlfn.IFNA(MATCH(BY137,Achievements[[#All],[Column121]],0)+10,"")</f>
        <v/>
      </c>
      <c r="CZ137" s="118" t="e">
        <f t="shared" ca="1" si="3"/>
        <v>#NAME?</v>
      </c>
    </row>
    <row r="138" spans="1:104" x14ac:dyDescent="0.25">
      <c r="A138" t="e" cm="1">
        <f t="array" aca="1" ref="A138" ca="1">SplitValues("; ",#REF!)</f>
        <v>#NAME?</v>
      </c>
      <c r="AA138" t="e">
        <f ca="1">_xlfn.IFNA(MATCH(A138,Achievements[[#All],[Column1]],0)+11,"")</f>
        <v>#NAME?</v>
      </c>
      <c r="AB138" s="134" t="str">
        <f>_xlfn.IFNA(MATCH(B138,Achievements[[#All],[Column1]],0)+10,"")</f>
        <v/>
      </c>
      <c r="AC138" s="134" t="str">
        <f>_xlfn.IFNA(MATCH(C138,Achievements[[#All],[Column1]],0)+10,"")</f>
        <v/>
      </c>
      <c r="AD138" s="134" t="str">
        <f>_xlfn.IFNA(MATCH(D138,Achievements[[#All],[Column110]],0)+10,"")</f>
        <v/>
      </c>
      <c r="AE138" s="134" t="str">
        <f>_xlfn.IFNA(MATCH(E138,Achievements[[#All],[Column110]],0)+10,"")</f>
        <v/>
      </c>
      <c r="AF138" s="134" t="str">
        <f>_xlfn.IFNA(MATCH(F138,Achievements[[#All],[Column111]],0)+10,"")</f>
        <v/>
      </c>
      <c r="AG138" s="134" t="str">
        <f>_xlfn.IFNA(MATCH(G138,Achievements[[#All],[Column111]],0)+10,"")</f>
        <v/>
      </c>
      <c r="AH138" s="134" t="str">
        <f>_xlfn.IFNA(MATCH(H138,Achievements[[#All],[Column112]],0)+10,"")</f>
        <v/>
      </c>
      <c r="AI138" s="134" t="str">
        <f>_xlfn.IFNA(MATCH(I138,Achievements[[#All],[Column112]],0)+10,"")</f>
        <v/>
      </c>
      <c r="AJ138" s="134" t="str">
        <f>_xlfn.IFNA(MATCH(J138,Achievements[[#All],[Column113]],0)+10,"")</f>
        <v/>
      </c>
      <c r="AK138" s="134" t="str">
        <f>_xlfn.IFNA(MATCH(K138,Achievements[[#All],[Column113]],0)+10,"")</f>
        <v/>
      </c>
      <c r="AL138" s="134" t="str">
        <f>_xlfn.IFNA(MATCH(L138,Achievements[[#All],[Column114]],0)+10,"")</f>
        <v/>
      </c>
      <c r="AM138" s="134" t="str">
        <f>_xlfn.IFNA(MATCH(M138,Achievements[[#All],[Column114]],0)+10,"")</f>
        <v/>
      </c>
      <c r="AN138" s="134" t="str">
        <f>_xlfn.IFNA(MATCH(N138,Achievements[[#All],[Column115]],0)+10,"")</f>
        <v/>
      </c>
      <c r="AO138" s="134" t="str">
        <f>_xlfn.IFNA(MATCH(O138,Achievements[[#All],[Column115]],0)+10,"")</f>
        <v/>
      </c>
      <c r="AP138" s="134" t="str">
        <f>_xlfn.IFNA(MATCH(P138,Achievements[[#All],[Column116]],0)+10,"")</f>
        <v/>
      </c>
      <c r="AQ138" s="134" t="str">
        <f>_xlfn.IFNA(MATCH(Q138,Achievements[[#All],[Column116]],0)+10,"")</f>
        <v/>
      </c>
      <c r="AR138" s="134" t="str">
        <f>_xlfn.IFNA(MATCH(R138,Achievements[[#All],[Column117]],0)+10,"")</f>
        <v/>
      </c>
      <c r="AS138" s="134" t="str">
        <f>_xlfn.IFNA(MATCH(S138,Achievements[[#All],[Column117]],0)+10,"")</f>
        <v/>
      </c>
      <c r="AT138" s="134" t="str">
        <f>_xlfn.IFNA(MATCH(T138,Achievements[[#All],[Column118]],0)+10,"")</f>
        <v/>
      </c>
      <c r="AU138" s="134" t="str">
        <f>_xlfn.IFNA(MATCH(U138,Achievements[[#All],[Column118]],0)+10,"")</f>
        <v/>
      </c>
      <c r="AV138" s="134" t="str">
        <f>_xlfn.IFNA(MATCH(V138,Achievements[[#All],[Column119]],0)+10,"")</f>
        <v/>
      </c>
      <c r="AW138" s="134" t="str">
        <f>_xlfn.IFNA(MATCH(W138,Achievements[[#All],[Column119]],0)+10,"")</f>
        <v/>
      </c>
      <c r="AX138" s="134" t="str">
        <f>_xlfn.IFNA(MATCH(X138,Achievements[[#All],[Column120]],0)+10,"")</f>
        <v/>
      </c>
      <c r="AY138" s="134" t="str">
        <f>_xlfn.IFNA(MATCH(Y138,Achievements[[#All],[Column120]],0)+10,"")</f>
        <v/>
      </c>
      <c r="AZ138" s="116" t="e">
        <f t="shared" ca="1" si="2"/>
        <v>#NAME?</v>
      </c>
      <c r="BA138" s="134" t="e" cm="1">
        <f t="array" aca="1" ref="BA138" ca="1">SplitValues("; ",Persons[[#This Row],[Column1]])</f>
        <v>#NAME?</v>
      </c>
      <c r="CA138" s="134" t="e">
        <f ca="1">_xlfn.IFNA(MATCH(BA138,Achievements[[#All],[Column1]],0)+10,"")</f>
        <v>#NAME?</v>
      </c>
      <c r="CB138" s="134" t="str">
        <f>_xlfn.IFNA(MATCH(BB138,Achievements[[#All],[Column1]],0)+10,"")</f>
        <v/>
      </c>
      <c r="CC138" s="134" t="str">
        <f>_xlfn.IFNA(MATCH(BC138,Achievements[[#All],[Column110]],0)+10,"")</f>
        <v/>
      </c>
      <c r="CD138" s="134" t="str">
        <f>_xlfn.IFNA(MATCH(BD138,Achievements[[#All],[Column110]],0)+10,"")</f>
        <v/>
      </c>
      <c r="CE138" s="134" t="str">
        <f>_xlfn.IFNA(MATCH(BE138,Achievements[[#All],[Column111]],0)+10,"")</f>
        <v/>
      </c>
      <c r="CF138" s="134" t="str">
        <f>_xlfn.IFNA(MATCH(BF138,Achievements[[#All],[Column111]],0)+10,"")</f>
        <v/>
      </c>
      <c r="CG138" s="134" t="str">
        <f>_xlfn.IFNA(MATCH(BG138,Achievements[[#All],[Column112]],0)+10,"")</f>
        <v/>
      </c>
      <c r="CH138" s="134" t="str">
        <f>_xlfn.IFNA(MATCH(BH138,Achievements[[#All],[Column112]],0)+10,"")</f>
        <v/>
      </c>
      <c r="CI138" s="134" t="str">
        <f>_xlfn.IFNA(MATCH(BI138,Achievements[[#All],[Column113]],0)+10,"")</f>
        <v/>
      </c>
      <c r="CJ138" s="134" t="str">
        <f>_xlfn.IFNA(MATCH(BJ138,Achievements[[#All],[Column113]],0)+10,"")</f>
        <v/>
      </c>
      <c r="CK138" s="134" t="str">
        <f>_xlfn.IFNA(MATCH(BK138,Achievements[[#All],[Column114]],0)+10,"")</f>
        <v/>
      </c>
      <c r="CL138" s="134" t="str">
        <f>_xlfn.IFNA(MATCH(BL138,Achievements[[#All],[Column114]],0)+10,"")</f>
        <v/>
      </c>
      <c r="CM138" s="134" t="str">
        <f>_xlfn.IFNA(MATCH(BM138,Achievements[[#All],[Column115]],0)+10,"")</f>
        <v/>
      </c>
      <c r="CN138" s="134" t="str">
        <f>_xlfn.IFNA(MATCH(BN138,Achievements[[#All],[Column115]],0)+10,"")</f>
        <v/>
      </c>
      <c r="CO138" s="134" t="str">
        <f>_xlfn.IFNA(MATCH(BO138,Achievements[[#All],[Column116]],0)+10,"")</f>
        <v/>
      </c>
      <c r="CP138" s="134" t="str">
        <f>_xlfn.IFNA(MATCH(BP138,Achievements[[#All],[Column116]],0)+10,"")</f>
        <v/>
      </c>
      <c r="CQ138" s="134" t="str">
        <f>_xlfn.IFNA(MATCH(BQ138,Achievements[[#All],[Column117]],0)+10,"")</f>
        <v/>
      </c>
      <c r="CR138" s="134" t="str">
        <f>_xlfn.IFNA(MATCH(BR138,Achievements[[#All],[Column117]],0)+10,"")</f>
        <v/>
      </c>
      <c r="CS138" s="134" t="str">
        <f>_xlfn.IFNA(MATCH(BS138,Achievements[[#All],[Column118]],0)+10,"")</f>
        <v/>
      </c>
      <c r="CT138" s="134" t="str">
        <f>_xlfn.IFNA(MATCH(BT138,Achievements[[#All],[Column118]],0)+10,"")</f>
        <v/>
      </c>
      <c r="CU138" s="134" t="str">
        <f>_xlfn.IFNA(MATCH(BU138,Achievements[[#All],[Column119]],0)+10,"")</f>
        <v/>
      </c>
      <c r="CV138" s="134" t="str">
        <f>_xlfn.IFNA(MATCH(BV138,Achievements[[#All],[Column119]],0)+10,"")</f>
        <v/>
      </c>
      <c r="CW138" s="134" t="str">
        <f>_xlfn.IFNA(MATCH(BW138,Achievements[[#All],[Column120]],0)+10,"")</f>
        <v/>
      </c>
      <c r="CX138" s="134" t="str">
        <f>_xlfn.IFNA(MATCH(BX138,Achievements[[#All],[Column120]],0)+10,"")</f>
        <v/>
      </c>
      <c r="CY138" s="134" t="str">
        <f>_xlfn.IFNA(MATCH(BY138,Achievements[[#All],[Column121]],0)+10,"")</f>
        <v/>
      </c>
      <c r="CZ138" s="118" t="e">
        <f t="shared" ca="1" si="3"/>
        <v>#NAME?</v>
      </c>
    </row>
    <row r="139" spans="1:104" x14ac:dyDescent="0.25">
      <c r="A139" t="e" cm="1">
        <f t="array" aca="1" ref="A139" ca="1">SplitValues("; ",#REF!)</f>
        <v>#NAME?</v>
      </c>
      <c r="AA139" t="e">
        <f ca="1">_xlfn.IFNA(MATCH(A139,Achievements[[#All],[Column1]],0)+11,"")</f>
        <v>#NAME?</v>
      </c>
      <c r="AB139" s="134" t="str">
        <f>_xlfn.IFNA(MATCH(B139,Achievements[[#All],[Column1]],0)+10,"")</f>
        <v/>
      </c>
      <c r="AC139" s="134" t="str">
        <f>_xlfn.IFNA(MATCH(C139,Achievements[[#All],[Column1]],0)+10,"")</f>
        <v/>
      </c>
      <c r="AD139" s="134" t="str">
        <f>_xlfn.IFNA(MATCH(D139,Achievements[[#All],[Column110]],0)+10,"")</f>
        <v/>
      </c>
      <c r="AE139" s="134" t="str">
        <f>_xlfn.IFNA(MATCH(E139,Achievements[[#All],[Column110]],0)+10,"")</f>
        <v/>
      </c>
      <c r="AF139" s="134" t="str">
        <f>_xlfn.IFNA(MATCH(F139,Achievements[[#All],[Column111]],0)+10,"")</f>
        <v/>
      </c>
      <c r="AG139" s="134" t="str">
        <f>_xlfn.IFNA(MATCH(G139,Achievements[[#All],[Column111]],0)+10,"")</f>
        <v/>
      </c>
      <c r="AH139" s="134" t="str">
        <f>_xlfn.IFNA(MATCH(H139,Achievements[[#All],[Column112]],0)+10,"")</f>
        <v/>
      </c>
      <c r="AI139" s="134" t="str">
        <f>_xlfn.IFNA(MATCH(I139,Achievements[[#All],[Column112]],0)+10,"")</f>
        <v/>
      </c>
      <c r="AJ139" s="134" t="str">
        <f>_xlfn.IFNA(MATCH(J139,Achievements[[#All],[Column113]],0)+10,"")</f>
        <v/>
      </c>
      <c r="AK139" s="134" t="str">
        <f>_xlfn.IFNA(MATCH(K139,Achievements[[#All],[Column113]],0)+10,"")</f>
        <v/>
      </c>
      <c r="AL139" s="134" t="str">
        <f>_xlfn.IFNA(MATCH(L139,Achievements[[#All],[Column114]],0)+10,"")</f>
        <v/>
      </c>
      <c r="AM139" s="134" t="str">
        <f>_xlfn.IFNA(MATCH(M139,Achievements[[#All],[Column114]],0)+10,"")</f>
        <v/>
      </c>
      <c r="AN139" s="134" t="str">
        <f>_xlfn.IFNA(MATCH(N139,Achievements[[#All],[Column115]],0)+10,"")</f>
        <v/>
      </c>
      <c r="AO139" s="134" t="str">
        <f>_xlfn.IFNA(MATCH(O139,Achievements[[#All],[Column115]],0)+10,"")</f>
        <v/>
      </c>
      <c r="AP139" s="134" t="str">
        <f>_xlfn.IFNA(MATCH(P139,Achievements[[#All],[Column116]],0)+10,"")</f>
        <v/>
      </c>
      <c r="AQ139" s="134" t="str">
        <f>_xlfn.IFNA(MATCH(Q139,Achievements[[#All],[Column116]],0)+10,"")</f>
        <v/>
      </c>
      <c r="AR139" s="134" t="str">
        <f>_xlfn.IFNA(MATCH(R139,Achievements[[#All],[Column117]],0)+10,"")</f>
        <v/>
      </c>
      <c r="AS139" s="134" t="str">
        <f>_xlfn.IFNA(MATCH(S139,Achievements[[#All],[Column117]],0)+10,"")</f>
        <v/>
      </c>
      <c r="AT139" s="134" t="str">
        <f>_xlfn.IFNA(MATCH(T139,Achievements[[#All],[Column118]],0)+10,"")</f>
        <v/>
      </c>
      <c r="AU139" s="134" t="str">
        <f>_xlfn.IFNA(MATCH(U139,Achievements[[#All],[Column118]],0)+10,"")</f>
        <v/>
      </c>
      <c r="AV139" s="134" t="str">
        <f>_xlfn.IFNA(MATCH(V139,Achievements[[#All],[Column119]],0)+10,"")</f>
        <v/>
      </c>
      <c r="AW139" s="134" t="str">
        <f>_xlfn.IFNA(MATCH(W139,Achievements[[#All],[Column119]],0)+10,"")</f>
        <v/>
      </c>
      <c r="AX139" s="134" t="str">
        <f>_xlfn.IFNA(MATCH(X139,Achievements[[#All],[Column120]],0)+10,"")</f>
        <v/>
      </c>
      <c r="AY139" s="134" t="str">
        <f>_xlfn.IFNA(MATCH(Y139,Achievements[[#All],[Column120]],0)+10,"")</f>
        <v/>
      </c>
      <c r="AZ139" s="116" t="e">
        <f t="shared" ca="1" si="2"/>
        <v>#NAME?</v>
      </c>
      <c r="BA139" s="134" t="e" cm="1">
        <f t="array" aca="1" ref="BA139" ca="1">SplitValues("; ",Persons[[#This Row],[Column1]])</f>
        <v>#NAME?</v>
      </c>
      <c r="CA139" s="134" t="e">
        <f ca="1">_xlfn.IFNA(MATCH(BA139,Achievements[[#All],[Column1]],0)+10,"")</f>
        <v>#NAME?</v>
      </c>
      <c r="CB139" s="134" t="str">
        <f>_xlfn.IFNA(MATCH(BB139,Achievements[[#All],[Column1]],0)+10,"")</f>
        <v/>
      </c>
      <c r="CC139" s="134" t="str">
        <f>_xlfn.IFNA(MATCH(BC139,Achievements[[#All],[Column110]],0)+10,"")</f>
        <v/>
      </c>
      <c r="CD139" s="134" t="str">
        <f>_xlfn.IFNA(MATCH(BD139,Achievements[[#All],[Column110]],0)+10,"")</f>
        <v/>
      </c>
      <c r="CE139" s="134" t="str">
        <f>_xlfn.IFNA(MATCH(BE139,Achievements[[#All],[Column111]],0)+10,"")</f>
        <v/>
      </c>
      <c r="CF139" s="134" t="str">
        <f>_xlfn.IFNA(MATCH(BF139,Achievements[[#All],[Column111]],0)+10,"")</f>
        <v/>
      </c>
      <c r="CG139" s="134" t="str">
        <f>_xlfn.IFNA(MATCH(BG139,Achievements[[#All],[Column112]],0)+10,"")</f>
        <v/>
      </c>
      <c r="CH139" s="134" t="str">
        <f>_xlfn.IFNA(MATCH(BH139,Achievements[[#All],[Column112]],0)+10,"")</f>
        <v/>
      </c>
      <c r="CI139" s="134" t="str">
        <f>_xlfn.IFNA(MATCH(BI139,Achievements[[#All],[Column113]],0)+10,"")</f>
        <v/>
      </c>
      <c r="CJ139" s="134" t="str">
        <f>_xlfn.IFNA(MATCH(BJ139,Achievements[[#All],[Column113]],0)+10,"")</f>
        <v/>
      </c>
      <c r="CK139" s="134" t="str">
        <f>_xlfn.IFNA(MATCH(BK139,Achievements[[#All],[Column114]],0)+10,"")</f>
        <v/>
      </c>
      <c r="CL139" s="134" t="str">
        <f>_xlfn.IFNA(MATCH(BL139,Achievements[[#All],[Column114]],0)+10,"")</f>
        <v/>
      </c>
      <c r="CM139" s="134" t="str">
        <f>_xlfn.IFNA(MATCH(BM139,Achievements[[#All],[Column115]],0)+10,"")</f>
        <v/>
      </c>
      <c r="CN139" s="134" t="str">
        <f>_xlfn.IFNA(MATCH(BN139,Achievements[[#All],[Column115]],0)+10,"")</f>
        <v/>
      </c>
      <c r="CO139" s="134" t="str">
        <f>_xlfn.IFNA(MATCH(BO139,Achievements[[#All],[Column116]],0)+10,"")</f>
        <v/>
      </c>
      <c r="CP139" s="134" t="str">
        <f>_xlfn.IFNA(MATCH(BP139,Achievements[[#All],[Column116]],0)+10,"")</f>
        <v/>
      </c>
      <c r="CQ139" s="134" t="str">
        <f>_xlfn.IFNA(MATCH(BQ139,Achievements[[#All],[Column117]],0)+10,"")</f>
        <v/>
      </c>
      <c r="CR139" s="134" t="str">
        <f>_xlfn.IFNA(MATCH(BR139,Achievements[[#All],[Column117]],0)+10,"")</f>
        <v/>
      </c>
      <c r="CS139" s="134" t="str">
        <f>_xlfn.IFNA(MATCH(BS139,Achievements[[#All],[Column118]],0)+10,"")</f>
        <v/>
      </c>
      <c r="CT139" s="134" t="str">
        <f>_xlfn.IFNA(MATCH(BT139,Achievements[[#All],[Column118]],0)+10,"")</f>
        <v/>
      </c>
      <c r="CU139" s="134" t="str">
        <f>_xlfn.IFNA(MATCH(BU139,Achievements[[#All],[Column119]],0)+10,"")</f>
        <v/>
      </c>
      <c r="CV139" s="134" t="str">
        <f>_xlfn.IFNA(MATCH(BV139,Achievements[[#All],[Column119]],0)+10,"")</f>
        <v/>
      </c>
      <c r="CW139" s="134" t="str">
        <f>_xlfn.IFNA(MATCH(BW139,Achievements[[#All],[Column120]],0)+10,"")</f>
        <v/>
      </c>
      <c r="CX139" s="134" t="str">
        <f>_xlfn.IFNA(MATCH(BX139,Achievements[[#All],[Column120]],0)+10,"")</f>
        <v/>
      </c>
      <c r="CY139" s="134" t="str">
        <f>_xlfn.IFNA(MATCH(BY139,Achievements[[#All],[Column121]],0)+10,"")</f>
        <v/>
      </c>
      <c r="CZ139" s="118" t="e">
        <f t="shared" ca="1" si="3"/>
        <v>#NAME?</v>
      </c>
    </row>
    <row r="140" spans="1:104" x14ac:dyDescent="0.25">
      <c r="A140" t="e" cm="1">
        <f t="array" aca="1" ref="A140" ca="1">SplitValues("; ",#REF!)</f>
        <v>#NAME?</v>
      </c>
      <c r="AA140" t="e">
        <f ca="1">_xlfn.IFNA(MATCH(A140,Achievements[[#All],[Column1]],0)+11,"")</f>
        <v>#NAME?</v>
      </c>
      <c r="AB140" s="134" t="str">
        <f>_xlfn.IFNA(MATCH(B140,Achievements[[#All],[Column1]],0)+10,"")</f>
        <v/>
      </c>
      <c r="AC140" s="134" t="str">
        <f>_xlfn.IFNA(MATCH(C140,Achievements[[#All],[Column1]],0)+10,"")</f>
        <v/>
      </c>
      <c r="AD140" s="134" t="str">
        <f>_xlfn.IFNA(MATCH(D140,Achievements[[#All],[Column110]],0)+10,"")</f>
        <v/>
      </c>
      <c r="AE140" s="134" t="str">
        <f>_xlfn.IFNA(MATCH(E140,Achievements[[#All],[Column110]],0)+10,"")</f>
        <v/>
      </c>
      <c r="AF140" s="134" t="str">
        <f>_xlfn.IFNA(MATCH(F140,Achievements[[#All],[Column111]],0)+10,"")</f>
        <v/>
      </c>
      <c r="AG140" s="134" t="str">
        <f>_xlfn.IFNA(MATCH(G140,Achievements[[#All],[Column111]],0)+10,"")</f>
        <v/>
      </c>
      <c r="AH140" s="134" t="str">
        <f>_xlfn.IFNA(MATCH(H140,Achievements[[#All],[Column112]],0)+10,"")</f>
        <v/>
      </c>
      <c r="AI140" s="134" t="str">
        <f>_xlfn.IFNA(MATCH(I140,Achievements[[#All],[Column112]],0)+10,"")</f>
        <v/>
      </c>
      <c r="AJ140" s="134" t="str">
        <f>_xlfn.IFNA(MATCH(J140,Achievements[[#All],[Column113]],0)+10,"")</f>
        <v/>
      </c>
      <c r="AK140" s="134" t="str">
        <f>_xlfn.IFNA(MATCH(K140,Achievements[[#All],[Column113]],0)+10,"")</f>
        <v/>
      </c>
      <c r="AL140" s="134" t="str">
        <f>_xlfn.IFNA(MATCH(L140,Achievements[[#All],[Column114]],0)+10,"")</f>
        <v/>
      </c>
      <c r="AM140" s="134" t="str">
        <f>_xlfn.IFNA(MATCH(M140,Achievements[[#All],[Column114]],0)+10,"")</f>
        <v/>
      </c>
      <c r="AN140" s="134" t="str">
        <f>_xlfn.IFNA(MATCH(N140,Achievements[[#All],[Column115]],0)+10,"")</f>
        <v/>
      </c>
      <c r="AO140" s="134" t="str">
        <f>_xlfn.IFNA(MATCH(O140,Achievements[[#All],[Column115]],0)+10,"")</f>
        <v/>
      </c>
      <c r="AP140" s="134" t="str">
        <f>_xlfn.IFNA(MATCH(P140,Achievements[[#All],[Column116]],0)+10,"")</f>
        <v/>
      </c>
      <c r="AQ140" s="134" t="str">
        <f>_xlfn.IFNA(MATCH(Q140,Achievements[[#All],[Column116]],0)+10,"")</f>
        <v/>
      </c>
      <c r="AR140" s="134" t="str">
        <f>_xlfn.IFNA(MATCH(R140,Achievements[[#All],[Column117]],0)+10,"")</f>
        <v/>
      </c>
      <c r="AS140" s="134" t="str">
        <f>_xlfn.IFNA(MATCH(S140,Achievements[[#All],[Column117]],0)+10,"")</f>
        <v/>
      </c>
      <c r="AT140" s="134" t="str">
        <f>_xlfn.IFNA(MATCH(T140,Achievements[[#All],[Column118]],0)+10,"")</f>
        <v/>
      </c>
      <c r="AU140" s="134" t="str">
        <f>_xlfn.IFNA(MATCH(U140,Achievements[[#All],[Column118]],0)+10,"")</f>
        <v/>
      </c>
      <c r="AV140" s="134" t="str">
        <f>_xlfn.IFNA(MATCH(V140,Achievements[[#All],[Column119]],0)+10,"")</f>
        <v/>
      </c>
      <c r="AW140" s="134" t="str">
        <f>_xlfn.IFNA(MATCH(W140,Achievements[[#All],[Column119]],0)+10,"")</f>
        <v/>
      </c>
      <c r="AX140" s="134" t="str">
        <f>_xlfn.IFNA(MATCH(X140,Achievements[[#All],[Column120]],0)+10,"")</f>
        <v/>
      </c>
      <c r="AY140" s="134" t="str">
        <f>_xlfn.IFNA(MATCH(Y140,Achievements[[#All],[Column120]],0)+10,"")</f>
        <v/>
      </c>
      <c r="AZ140" s="116" t="e">
        <f t="shared" ca="1" si="2"/>
        <v>#NAME?</v>
      </c>
      <c r="BA140" s="134" t="e" cm="1">
        <f t="array" aca="1" ref="BA140" ca="1">SplitValues("; ",Persons[[#This Row],[Column1]])</f>
        <v>#NAME?</v>
      </c>
      <c r="CA140" s="134" t="e">
        <f ca="1">_xlfn.IFNA(MATCH(BA140,Achievements[[#All],[Column1]],0)+10,"")</f>
        <v>#NAME?</v>
      </c>
      <c r="CB140" s="134" t="str">
        <f>_xlfn.IFNA(MATCH(BB140,Achievements[[#All],[Column1]],0)+10,"")</f>
        <v/>
      </c>
      <c r="CC140" s="134" t="str">
        <f>_xlfn.IFNA(MATCH(BC140,Achievements[[#All],[Column110]],0)+10,"")</f>
        <v/>
      </c>
      <c r="CD140" s="134" t="str">
        <f>_xlfn.IFNA(MATCH(BD140,Achievements[[#All],[Column110]],0)+10,"")</f>
        <v/>
      </c>
      <c r="CE140" s="134" t="str">
        <f>_xlfn.IFNA(MATCH(BE140,Achievements[[#All],[Column111]],0)+10,"")</f>
        <v/>
      </c>
      <c r="CF140" s="134" t="str">
        <f>_xlfn.IFNA(MATCH(BF140,Achievements[[#All],[Column111]],0)+10,"")</f>
        <v/>
      </c>
      <c r="CG140" s="134" t="str">
        <f>_xlfn.IFNA(MATCH(BG140,Achievements[[#All],[Column112]],0)+10,"")</f>
        <v/>
      </c>
      <c r="CH140" s="134" t="str">
        <f>_xlfn.IFNA(MATCH(BH140,Achievements[[#All],[Column112]],0)+10,"")</f>
        <v/>
      </c>
      <c r="CI140" s="134" t="str">
        <f>_xlfn.IFNA(MATCH(BI140,Achievements[[#All],[Column113]],0)+10,"")</f>
        <v/>
      </c>
      <c r="CJ140" s="134" t="str">
        <f>_xlfn.IFNA(MATCH(BJ140,Achievements[[#All],[Column113]],0)+10,"")</f>
        <v/>
      </c>
      <c r="CK140" s="134" t="str">
        <f>_xlfn.IFNA(MATCH(BK140,Achievements[[#All],[Column114]],0)+10,"")</f>
        <v/>
      </c>
      <c r="CL140" s="134" t="str">
        <f>_xlfn.IFNA(MATCH(BL140,Achievements[[#All],[Column114]],0)+10,"")</f>
        <v/>
      </c>
      <c r="CM140" s="134" t="str">
        <f>_xlfn.IFNA(MATCH(BM140,Achievements[[#All],[Column115]],0)+10,"")</f>
        <v/>
      </c>
      <c r="CN140" s="134" t="str">
        <f>_xlfn.IFNA(MATCH(BN140,Achievements[[#All],[Column115]],0)+10,"")</f>
        <v/>
      </c>
      <c r="CO140" s="134" t="str">
        <f>_xlfn.IFNA(MATCH(BO140,Achievements[[#All],[Column116]],0)+10,"")</f>
        <v/>
      </c>
      <c r="CP140" s="134" t="str">
        <f>_xlfn.IFNA(MATCH(BP140,Achievements[[#All],[Column116]],0)+10,"")</f>
        <v/>
      </c>
      <c r="CQ140" s="134" t="str">
        <f>_xlfn.IFNA(MATCH(BQ140,Achievements[[#All],[Column117]],0)+10,"")</f>
        <v/>
      </c>
      <c r="CR140" s="134" t="str">
        <f>_xlfn.IFNA(MATCH(BR140,Achievements[[#All],[Column117]],0)+10,"")</f>
        <v/>
      </c>
      <c r="CS140" s="134" t="str">
        <f>_xlfn.IFNA(MATCH(BS140,Achievements[[#All],[Column118]],0)+10,"")</f>
        <v/>
      </c>
      <c r="CT140" s="134" t="str">
        <f>_xlfn.IFNA(MATCH(BT140,Achievements[[#All],[Column118]],0)+10,"")</f>
        <v/>
      </c>
      <c r="CU140" s="134" t="str">
        <f>_xlfn.IFNA(MATCH(BU140,Achievements[[#All],[Column119]],0)+10,"")</f>
        <v/>
      </c>
      <c r="CV140" s="134" t="str">
        <f>_xlfn.IFNA(MATCH(BV140,Achievements[[#All],[Column119]],0)+10,"")</f>
        <v/>
      </c>
      <c r="CW140" s="134" t="str">
        <f>_xlfn.IFNA(MATCH(BW140,Achievements[[#All],[Column120]],0)+10,"")</f>
        <v/>
      </c>
      <c r="CX140" s="134" t="str">
        <f>_xlfn.IFNA(MATCH(BX140,Achievements[[#All],[Column120]],0)+10,"")</f>
        <v/>
      </c>
      <c r="CY140" s="134" t="str">
        <f>_xlfn.IFNA(MATCH(BY140,Achievements[[#All],[Column121]],0)+10,"")</f>
        <v/>
      </c>
      <c r="CZ140" s="118" t="e">
        <f t="shared" ca="1" si="3"/>
        <v>#NAME?</v>
      </c>
    </row>
    <row r="141" spans="1:104" x14ac:dyDescent="0.25">
      <c r="A141" t="e" cm="1">
        <f t="array" aca="1" ref="A141" ca="1">SplitValues("; ",#REF!)</f>
        <v>#NAME?</v>
      </c>
      <c r="AA141" t="e">
        <f ca="1">_xlfn.IFNA(MATCH(A141,Achievements[[#All],[Column1]],0)+11,"")</f>
        <v>#NAME?</v>
      </c>
      <c r="AB141" s="134" t="str">
        <f>_xlfn.IFNA(MATCH(B141,Achievements[[#All],[Column1]],0)+10,"")</f>
        <v/>
      </c>
      <c r="AC141" s="134" t="str">
        <f>_xlfn.IFNA(MATCH(C141,Achievements[[#All],[Column1]],0)+10,"")</f>
        <v/>
      </c>
      <c r="AD141" s="134" t="str">
        <f>_xlfn.IFNA(MATCH(D141,Achievements[[#All],[Column110]],0)+10,"")</f>
        <v/>
      </c>
      <c r="AE141" s="134" t="str">
        <f>_xlfn.IFNA(MATCH(E141,Achievements[[#All],[Column110]],0)+10,"")</f>
        <v/>
      </c>
      <c r="AF141" s="134" t="str">
        <f>_xlfn.IFNA(MATCH(F141,Achievements[[#All],[Column111]],0)+10,"")</f>
        <v/>
      </c>
      <c r="AG141" s="134" t="str">
        <f>_xlfn.IFNA(MATCH(G141,Achievements[[#All],[Column111]],0)+10,"")</f>
        <v/>
      </c>
      <c r="AH141" s="134" t="str">
        <f>_xlfn.IFNA(MATCH(H141,Achievements[[#All],[Column112]],0)+10,"")</f>
        <v/>
      </c>
      <c r="AI141" s="134" t="str">
        <f>_xlfn.IFNA(MATCH(I141,Achievements[[#All],[Column112]],0)+10,"")</f>
        <v/>
      </c>
      <c r="AJ141" s="134" t="str">
        <f>_xlfn.IFNA(MATCH(J141,Achievements[[#All],[Column113]],0)+10,"")</f>
        <v/>
      </c>
      <c r="AK141" s="134" t="str">
        <f>_xlfn.IFNA(MATCH(K141,Achievements[[#All],[Column113]],0)+10,"")</f>
        <v/>
      </c>
      <c r="AL141" s="134" t="str">
        <f>_xlfn.IFNA(MATCH(L141,Achievements[[#All],[Column114]],0)+10,"")</f>
        <v/>
      </c>
      <c r="AM141" s="134" t="str">
        <f>_xlfn.IFNA(MATCH(M141,Achievements[[#All],[Column114]],0)+10,"")</f>
        <v/>
      </c>
      <c r="AN141" s="134" t="str">
        <f>_xlfn.IFNA(MATCH(N141,Achievements[[#All],[Column115]],0)+10,"")</f>
        <v/>
      </c>
      <c r="AO141" s="134" t="str">
        <f>_xlfn.IFNA(MATCH(O141,Achievements[[#All],[Column115]],0)+10,"")</f>
        <v/>
      </c>
      <c r="AP141" s="134" t="str">
        <f>_xlfn.IFNA(MATCH(P141,Achievements[[#All],[Column116]],0)+10,"")</f>
        <v/>
      </c>
      <c r="AQ141" s="134" t="str">
        <f>_xlfn.IFNA(MATCH(Q141,Achievements[[#All],[Column116]],0)+10,"")</f>
        <v/>
      </c>
      <c r="AR141" s="134" t="str">
        <f>_xlfn.IFNA(MATCH(R141,Achievements[[#All],[Column117]],0)+10,"")</f>
        <v/>
      </c>
      <c r="AS141" s="134" t="str">
        <f>_xlfn.IFNA(MATCH(S141,Achievements[[#All],[Column117]],0)+10,"")</f>
        <v/>
      </c>
      <c r="AT141" s="134" t="str">
        <f>_xlfn.IFNA(MATCH(T141,Achievements[[#All],[Column118]],0)+10,"")</f>
        <v/>
      </c>
      <c r="AU141" s="134" t="str">
        <f>_xlfn.IFNA(MATCH(U141,Achievements[[#All],[Column118]],0)+10,"")</f>
        <v/>
      </c>
      <c r="AV141" s="134" t="str">
        <f>_xlfn.IFNA(MATCH(V141,Achievements[[#All],[Column119]],0)+10,"")</f>
        <v/>
      </c>
      <c r="AW141" s="134" t="str">
        <f>_xlfn.IFNA(MATCH(W141,Achievements[[#All],[Column119]],0)+10,"")</f>
        <v/>
      </c>
      <c r="AX141" s="134" t="str">
        <f>_xlfn.IFNA(MATCH(X141,Achievements[[#All],[Column120]],0)+10,"")</f>
        <v/>
      </c>
      <c r="AY141" s="134" t="str">
        <f>_xlfn.IFNA(MATCH(Y141,Achievements[[#All],[Column120]],0)+10,"")</f>
        <v/>
      </c>
      <c r="AZ141" s="116" t="e">
        <f t="shared" ref="AZ141:AZ204" ca="1" si="4">SUBSTITUTE(TRIM(AA141&amp;" "&amp;AB141&amp;" "&amp;AC141&amp;" "&amp;AD141&amp;" "&amp;AE141&amp;" "&amp;AF141&amp;" "&amp;AG141&amp;" "&amp;AH141&amp;" "&amp;AI141&amp;" "&amp;AJ141&amp;" "&amp;AK141&amp;" "&amp;AL141&amp;" "&amp;AM141&amp;" "&amp;AN141&amp;" "&amp;AO141&amp;" "&amp;AP141&amp;" "&amp;AQ141&amp;" "&amp;AR141&amp;" "&amp;AS141&amp;" "&amp;AT141&amp;" "&amp;AU141&amp;" "&amp;AV141&amp;" "&amp;AW141&amp;" "&amp;AX141&amp;" "&amp;AY141)," ",", ")</f>
        <v>#NAME?</v>
      </c>
      <c r="BA141" s="134" t="e" cm="1">
        <f t="array" aca="1" ref="BA141" ca="1">SplitValues("; ",Persons[[#This Row],[Column1]])</f>
        <v>#NAME?</v>
      </c>
      <c r="CA141" s="134" t="e">
        <f ca="1">_xlfn.IFNA(MATCH(BA141,Achievements[[#All],[Column1]],0)+10,"")</f>
        <v>#NAME?</v>
      </c>
      <c r="CB141" s="134" t="str">
        <f>_xlfn.IFNA(MATCH(BB141,Achievements[[#All],[Column1]],0)+10,"")</f>
        <v/>
      </c>
      <c r="CC141" s="134" t="str">
        <f>_xlfn.IFNA(MATCH(BC141,Achievements[[#All],[Column110]],0)+10,"")</f>
        <v/>
      </c>
      <c r="CD141" s="134" t="str">
        <f>_xlfn.IFNA(MATCH(BD141,Achievements[[#All],[Column110]],0)+10,"")</f>
        <v/>
      </c>
      <c r="CE141" s="134" t="str">
        <f>_xlfn.IFNA(MATCH(BE141,Achievements[[#All],[Column111]],0)+10,"")</f>
        <v/>
      </c>
      <c r="CF141" s="134" t="str">
        <f>_xlfn.IFNA(MATCH(BF141,Achievements[[#All],[Column111]],0)+10,"")</f>
        <v/>
      </c>
      <c r="CG141" s="134" t="str">
        <f>_xlfn.IFNA(MATCH(BG141,Achievements[[#All],[Column112]],0)+10,"")</f>
        <v/>
      </c>
      <c r="CH141" s="134" t="str">
        <f>_xlfn.IFNA(MATCH(BH141,Achievements[[#All],[Column112]],0)+10,"")</f>
        <v/>
      </c>
      <c r="CI141" s="134" t="str">
        <f>_xlfn.IFNA(MATCH(BI141,Achievements[[#All],[Column113]],0)+10,"")</f>
        <v/>
      </c>
      <c r="CJ141" s="134" t="str">
        <f>_xlfn.IFNA(MATCH(BJ141,Achievements[[#All],[Column113]],0)+10,"")</f>
        <v/>
      </c>
      <c r="CK141" s="134" t="str">
        <f>_xlfn.IFNA(MATCH(BK141,Achievements[[#All],[Column114]],0)+10,"")</f>
        <v/>
      </c>
      <c r="CL141" s="134" t="str">
        <f>_xlfn.IFNA(MATCH(BL141,Achievements[[#All],[Column114]],0)+10,"")</f>
        <v/>
      </c>
      <c r="CM141" s="134" t="str">
        <f>_xlfn.IFNA(MATCH(BM141,Achievements[[#All],[Column115]],0)+10,"")</f>
        <v/>
      </c>
      <c r="CN141" s="134" t="str">
        <f>_xlfn.IFNA(MATCH(BN141,Achievements[[#All],[Column115]],0)+10,"")</f>
        <v/>
      </c>
      <c r="CO141" s="134" t="str">
        <f>_xlfn.IFNA(MATCH(BO141,Achievements[[#All],[Column116]],0)+10,"")</f>
        <v/>
      </c>
      <c r="CP141" s="134" t="str">
        <f>_xlfn.IFNA(MATCH(BP141,Achievements[[#All],[Column116]],0)+10,"")</f>
        <v/>
      </c>
      <c r="CQ141" s="134" t="str">
        <f>_xlfn.IFNA(MATCH(BQ141,Achievements[[#All],[Column117]],0)+10,"")</f>
        <v/>
      </c>
      <c r="CR141" s="134" t="str">
        <f>_xlfn.IFNA(MATCH(BR141,Achievements[[#All],[Column117]],0)+10,"")</f>
        <v/>
      </c>
      <c r="CS141" s="134" t="str">
        <f>_xlfn.IFNA(MATCH(BS141,Achievements[[#All],[Column118]],0)+10,"")</f>
        <v/>
      </c>
      <c r="CT141" s="134" t="str">
        <f>_xlfn.IFNA(MATCH(BT141,Achievements[[#All],[Column118]],0)+10,"")</f>
        <v/>
      </c>
      <c r="CU141" s="134" t="str">
        <f>_xlfn.IFNA(MATCH(BU141,Achievements[[#All],[Column119]],0)+10,"")</f>
        <v/>
      </c>
      <c r="CV141" s="134" t="str">
        <f>_xlfn.IFNA(MATCH(BV141,Achievements[[#All],[Column119]],0)+10,"")</f>
        <v/>
      </c>
      <c r="CW141" s="134" t="str">
        <f>_xlfn.IFNA(MATCH(BW141,Achievements[[#All],[Column120]],0)+10,"")</f>
        <v/>
      </c>
      <c r="CX141" s="134" t="str">
        <f>_xlfn.IFNA(MATCH(BX141,Achievements[[#All],[Column120]],0)+10,"")</f>
        <v/>
      </c>
      <c r="CY141" s="134" t="str">
        <f>_xlfn.IFNA(MATCH(BY141,Achievements[[#All],[Column121]],0)+10,"")</f>
        <v/>
      </c>
      <c r="CZ141" s="118" t="e">
        <f t="shared" ref="CZ141:CZ204" ca="1" si="5">SUBSTITUTE(TRIM(CA141&amp;" "&amp;CB141&amp;" "&amp;CC141&amp;" "&amp;CD141&amp;" "&amp;CE141&amp;" "&amp;CF141&amp;" "&amp;CG141&amp;" "&amp;CH141&amp;" "&amp;CI141&amp;" "&amp;CJ141&amp;" "&amp;CK141&amp;" "&amp;CL141&amp;" "&amp;CM141&amp;" "&amp;CN141&amp;" "&amp;CO141&amp;" "&amp;CP141&amp;" "&amp;CQ141&amp;" "&amp;CR141&amp;" "&amp;CS141&amp;" "&amp;CT141&amp;" "&amp;CU141&amp;" "&amp;CV141&amp;" "&amp;CW141&amp;" "&amp;CX141&amp;" "&amp;CY141)," ",", ")</f>
        <v>#NAME?</v>
      </c>
    </row>
    <row r="142" spans="1:104" x14ac:dyDescent="0.25">
      <c r="A142" t="e" cm="1">
        <f t="array" aca="1" ref="A142" ca="1">SplitValues("; ",#REF!)</f>
        <v>#NAME?</v>
      </c>
      <c r="AA142" t="e">
        <f ca="1">_xlfn.IFNA(MATCH(A142,Achievements[[#All],[Column1]],0)+11,"")</f>
        <v>#NAME?</v>
      </c>
      <c r="AB142" s="134" t="str">
        <f>_xlfn.IFNA(MATCH(B142,Achievements[[#All],[Column1]],0)+10,"")</f>
        <v/>
      </c>
      <c r="AC142" s="134" t="str">
        <f>_xlfn.IFNA(MATCH(C142,Achievements[[#All],[Column1]],0)+10,"")</f>
        <v/>
      </c>
      <c r="AD142" s="134" t="str">
        <f>_xlfn.IFNA(MATCH(D142,Achievements[[#All],[Column110]],0)+10,"")</f>
        <v/>
      </c>
      <c r="AE142" s="134" t="str">
        <f>_xlfn.IFNA(MATCH(E142,Achievements[[#All],[Column110]],0)+10,"")</f>
        <v/>
      </c>
      <c r="AF142" s="134" t="str">
        <f>_xlfn.IFNA(MATCH(F142,Achievements[[#All],[Column111]],0)+10,"")</f>
        <v/>
      </c>
      <c r="AG142" s="134" t="str">
        <f>_xlfn.IFNA(MATCH(G142,Achievements[[#All],[Column111]],0)+10,"")</f>
        <v/>
      </c>
      <c r="AH142" s="134" t="str">
        <f>_xlfn.IFNA(MATCH(H142,Achievements[[#All],[Column112]],0)+10,"")</f>
        <v/>
      </c>
      <c r="AI142" s="134" t="str">
        <f>_xlfn.IFNA(MATCH(I142,Achievements[[#All],[Column112]],0)+10,"")</f>
        <v/>
      </c>
      <c r="AJ142" s="134" t="str">
        <f>_xlfn.IFNA(MATCH(J142,Achievements[[#All],[Column113]],0)+10,"")</f>
        <v/>
      </c>
      <c r="AK142" s="134" t="str">
        <f>_xlfn.IFNA(MATCH(K142,Achievements[[#All],[Column113]],0)+10,"")</f>
        <v/>
      </c>
      <c r="AL142" s="134" t="str">
        <f>_xlfn.IFNA(MATCH(L142,Achievements[[#All],[Column114]],0)+10,"")</f>
        <v/>
      </c>
      <c r="AM142" s="134" t="str">
        <f>_xlfn.IFNA(MATCH(M142,Achievements[[#All],[Column114]],0)+10,"")</f>
        <v/>
      </c>
      <c r="AN142" s="134" t="str">
        <f>_xlfn.IFNA(MATCH(N142,Achievements[[#All],[Column115]],0)+10,"")</f>
        <v/>
      </c>
      <c r="AO142" s="134" t="str">
        <f>_xlfn.IFNA(MATCH(O142,Achievements[[#All],[Column115]],0)+10,"")</f>
        <v/>
      </c>
      <c r="AP142" s="134" t="str">
        <f>_xlfn.IFNA(MATCH(P142,Achievements[[#All],[Column116]],0)+10,"")</f>
        <v/>
      </c>
      <c r="AQ142" s="134" t="str">
        <f>_xlfn.IFNA(MATCH(Q142,Achievements[[#All],[Column116]],0)+10,"")</f>
        <v/>
      </c>
      <c r="AR142" s="134" t="str">
        <f>_xlfn.IFNA(MATCH(R142,Achievements[[#All],[Column117]],0)+10,"")</f>
        <v/>
      </c>
      <c r="AS142" s="134" t="str">
        <f>_xlfn.IFNA(MATCH(S142,Achievements[[#All],[Column117]],0)+10,"")</f>
        <v/>
      </c>
      <c r="AT142" s="134" t="str">
        <f>_xlfn.IFNA(MATCH(T142,Achievements[[#All],[Column118]],0)+10,"")</f>
        <v/>
      </c>
      <c r="AU142" s="134" t="str">
        <f>_xlfn.IFNA(MATCH(U142,Achievements[[#All],[Column118]],0)+10,"")</f>
        <v/>
      </c>
      <c r="AV142" s="134" t="str">
        <f>_xlfn.IFNA(MATCH(V142,Achievements[[#All],[Column119]],0)+10,"")</f>
        <v/>
      </c>
      <c r="AW142" s="134" t="str">
        <f>_xlfn.IFNA(MATCH(W142,Achievements[[#All],[Column119]],0)+10,"")</f>
        <v/>
      </c>
      <c r="AX142" s="134" t="str">
        <f>_xlfn.IFNA(MATCH(X142,Achievements[[#All],[Column120]],0)+10,"")</f>
        <v/>
      </c>
      <c r="AY142" s="134" t="str">
        <f>_xlfn.IFNA(MATCH(Y142,Achievements[[#All],[Column120]],0)+10,"")</f>
        <v/>
      </c>
      <c r="AZ142" s="116" t="e">
        <f t="shared" ca="1" si="4"/>
        <v>#NAME?</v>
      </c>
      <c r="BA142" s="134" t="e" cm="1">
        <f t="array" aca="1" ref="BA142" ca="1">SplitValues("; ",Persons[[#This Row],[Column1]])</f>
        <v>#NAME?</v>
      </c>
      <c r="CA142" s="134" t="e">
        <f ca="1">_xlfn.IFNA(MATCH(BA142,Achievements[[#All],[Column1]],0)+10,"")</f>
        <v>#NAME?</v>
      </c>
      <c r="CB142" s="134" t="str">
        <f>_xlfn.IFNA(MATCH(BB142,Achievements[[#All],[Column1]],0)+10,"")</f>
        <v/>
      </c>
      <c r="CC142" s="134" t="str">
        <f>_xlfn.IFNA(MATCH(BC142,Achievements[[#All],[Column110]],0)+10,"")</f>
        <v/>
      </c>
      <c r="CD142" s="134" t="str">
        <f>_xlfn.IFNA(MATCH(BD142,Achievements[[#All],[Column110]],0)+10,"")</f>
        <v/>
      </c>
      <c r="CE142" s="134" t="str">
        <f>_xlfn.IFNA(MATCH(BE142,Achievements[[#All],[Column111]],0)+10,"")</f>
        <v/>
      </c>
      <c r="CF142" s="134" t="str">
        <f>_xlfn.IFNA(MATCH(BF142,Achievements[[#All],[Column111]],0)+10,"")</f>
        <v/>
      </c>
      <c r="CG142" s="134" t="str">
        <f>_xlfn.IFNA(MATCH(BG142,Achievements[[#All],[Column112]],0)+10,"")</f>
        <v/>
      </c>
      <c r="CH142" s="134" t="str">
        <f>_xlfn.IFNA(MATCH(BH142,Achievements[[#All],[Column112]],0)+10,"")</f>
        <v/>
      </c>
      <c r="CI142" s="134" t="str">
        <f>_xlfn.IFNA(MATCH(BI142,Achievements[[#All],[Column113]],0)+10,"")</f>
        <v/>
      </c>
      <c r="CJ142" s="134" t="str">
        <f>_xlfn.IFNA(MATCH(BJ142,Achievements[[#All],[Column113]],0)+10,"")</f>
        <v/>
      </c>
      <c r="CK142" s="134" t="str">
        <f>_xlfn.IFNA(MATCH(BK142,Achievements[[#All],[Column114]],0)+10,"")</f>
        <v/>
      </c>
      <c r="CL142" s="134" t="str">
        <f>_xlfn.IFNA(MATCH(BL142,Achievements[[#All],[Column114]],0)+10,"")</f>
        <v/>
      </c>
      <c r="CM142" s="134" t="str">
        <f>_xlfn.IFNA(MATCH(BM142,Achievements[[#All],[Column115]],0)+10,"")</f>
        <v/>
      </c>
      <c r="CN142" s="134" t="str">
        <f>_xlfn.IFNA(MATCH(BN142,Achievements[[#All],[Column115]],0)+10,"")</f>
        <v/>
      </c>
      <c r="CO142" s="134" t="str">
        <f>_xlfn.IFNA(MATCH(BO142,Achievements[[#All],[Column116]],0)+10,"")</f>
        <v/>
      </c>
      <c r="CP142" s="134" t="str">
        <f>_xlfn.IFNA(MATCH(BP142,Achievements[[#All],[Column116]],0)+10,"")</f>
        <v/>
      </c>
      <c r="CQ142" s="134" t="str">
        <f>_xlfn.IFNA(MATCH(BQ142,Achievements[[#All],[Column117]],0)+10,"")</f>
        <v/>
      </c>
      <c r="CR142" s="134" t="str">
        <f>_xlfn.IFNA(MATCH(BR142,Achievements[[#All],[Column117]],0)+10,"")</f>
        <v/>
      </c>
      <c r="CS142" s="134" t="str">
        <f>_xlfn.IFNA(MATCH(BS142,Achievements[[#All],[Column118]],0)+10,"")</f>
        <v/>
      </c>
      <c r="CT142" s="134" t="str">
        <f>_xlfn.IFNA(MATCH(BT142,Achievements[[#All],[Column118]],0)+10,"")</f>
        <v/>
      </c>
      <c r="CU142" s="134" t="str">
        <f>_xlfn.IFNA(MATCH(BU142,Achievements[[#All],[Column119]],0)+10,"")</f>
        <v/>
      </c>
      <c r="CV142" s="134" t="str">
        <f>_xlfn.IFNA(MATCH(BV142,Achievements[[#All],[Column119]],0)+10,"")</f>
        <v/>
      </c>
      <c r="CW142" s="134" t="str">
        <f>_xlfn.IFNA(MATCH(BW142,Achievements[[#All],[Column120]],0)+10,"")</f>
        <v/>
      </c>
      <c r="CX142" s="134" t="str">
        <f>_xlfn.IFNA(MATCH(BX142,Achievements[[#All],[Column120]],0)+10,"")</f>
        <v/>
      </c>
      <c r="CY142" s="134" t="str">
        <f>_xlfn.IFNA(MATCH(BY142,Achievements[[#All],[Column121]],0)+10,"")</f>
        <v/>
      </c>
      <c r="CZ142" s="118" t="e">
        <f t="shared" ca="1" si="5"/>
        <v>#NAME?</v>
      </c>
    </row>
    <row r="143" spans="1:104" x14ac:dyDescent="0.25">
      <c r="A143" t="e" cm="1">
        <f t="array" aca="1" ref="A143" ca="1">SplitValues("; ",#REF!)</f>
        <v>#NAME?</v>
      </c>
      <c r="AA143" t="e">
        <f ca="1">_xlfn.IFNA(MATCH(A143,Achievements[[#All],[Column1]],0)+11,"")</f>
        <v>#NAME?</v>
      </c>
      <c r="AB143" s="134" t="str">
        <f>_xlfn.IFNA(MATCH(B143,Achievements[[#All],[Column1]],0)+10,"")</f>
        <v/>
      </c>
      <c r="AC143" s="134" t="str">
        <f>_xlfn.IFNA(MATCH(C143,Achievements[[#All],[Column1]],0)+10,"")</f>
        <v/>
      </c>
      <c r="AD143" s="134" t="str">
        <f>_xlfn.IFNA(MATCH(D143,Achievements[[#All],[Column110]],0)+10,"")</f>
        <v/>
      </c>
      <c r="AE143" s="134" t="str">
        <f>_xlfn.IFNA(MATCH(E143,Achievements[[#All],[Column110]],0)+10,"")</f>
        <v/>
      </c>
      <c r="AF143" s="134" t="str">
        <f>_xlfn.IFNA(MATCH(F143,Achievements[[#All],[Column111]],0)+10,"")</f>
        <v/>
      </c>
      <c r="AG143" s="134" t="str">
        <f>_xlfn.IFNA(MATCH(G143,Achievements[[#All],[Column111]],0)+10,"")</f>
        <v/>
      </c>
      <c r="AH143" s="134" t="str">
        <f>_xlfn.IFNA(MATCH(H143,Achievements[[#All],[Column112]],0)+10,"")</f>
        <v/>
      </c>
      <c r="AI143" s="134" t="str">
        <f>_xlfn.IFNA(MATCH(I143,Achievements[[#All],[Column112]],0)+10,"")</f>
        <v/>
      </c>
      <c r="AJ143" s="134" t="str">
        <f>_xlfn.IFNA(MATCH(J143,Achievements[[#All],[Column113]],0)+10,"")</f>
        <v/>
      </c>
      <c r="AK143" s="134" t="str">
        <f>_xlfn.IFNA(MATCH(K143,Achievements[[#All],[Column113]],0)+10,"")</f>
        <v/>
      </c>
      <c r="AL143" s="134" t="str">
        <f>_xlfn.IFNA(MATCH(L143,Achievements[[#All],[Column114]],0)+10,"")</f>
        <v/>
      </c>
      <c r="AM143" s="134" t="str">
        <f>_xlfn.IFNA(MATCH(M143,Achievements[[#All],[Column114]],0)+10,"")</f>
        <v/>
      </c>
      <c r="AN143" s="134" t="str">
        <f>_xlfn.IFNA(MATCH(N143,Achievements[[#All],[Column115]],0)+10,"")</f>
        <v/>
      </c>
      <c r="AO143" s="134" t="str">
        <f>_xlfn.IFNA(MATCH(O143,Achievements[[#All],[Column115]],0)+10,"")</f>
        <v/>
      </c>
      <c r="AP143" s="134" t="str">
        <f>_xlfn.IFNA(MATCH(P143,Achievements[[#All],[Column116]],0)+10,"")</f>
        <v/>
      </c>
      <c r="AQ143" s="134" t="str">
        <f>_xlfn.IFNA(MATCH(Q143,Achievements[[#All],[Column116]],0)+10,"")</f>
        <v/>
      </c>
      <c r="AR143" s="134" t="str">
        <f>_xlfn.IFNA(MATCH(R143,Achievements[[#All],[Column117]],0)+10,"")</f>
        <v/>
      </c>
      <c r="AS143" s="134" t="str">
        <f>_xlfn.IFNA(MATCH(S143,Achievements[[#All],[Column117]],0)+10,"")</f>
        <v/>
      </c>
      <c r="AT143" s="134" t="str">
        <f>_xlfn.IFNA(MATCH(T143,Achievements[[#All],[Column118]],0)+10,"")</f>
        <v/>
      </c>
      <c r="AU143" s="134" t="str">
        <f>_xlfn.IFNA(MATCH(U143,Achievements[[#All],[Column118]],0)+10,"")</f>
        <v/>
      </c>
      <c r="AV143" s="134" t="str">
        <f>_xlfn.IFNA(MATCH(V143,Achievements[[#All],[Column119]],0)+10,"")</f>
        <v/>
      </c>
      <c r="AW143" s="134" t="str">
        <f>_xlfn.IFNA(MATCH(W143,Achievements[[#All],[Column119]],0)+10,"")</f>
        <v/>
      </c>
      <c r="AX143" s="134" t="str">
        <f>_xlfn.IFNA(MATCH(X143,Achievements[[#All],[Column120]],0)+10,"")</f>
        <v/>
      </c>
      <c r="AY143" s="134" t="str">
        <f>_xlfn.IFNA(MATCH(Y143,Achievements[[#All],[Column120]],0)+10,"")</f>
        <v/>
      </c>
      <c r="AZ143" s="116" t="e">
        <f t="shared" ca="1" si="4"/>
        <v>#NAME?</v>
      </c>
      <c r="BA143" s="134" t="e" cm="1">
        <f t="array" aca="1" ref="BA143" ca="1">SplitValues("; ",Persons[[#This Row],[Column1]])</f>
        <v>#NAME?</v>
      </c>
      <c r="CA143" s="134" t="e">
        <f ca="1">_xlfn.IFNA(MATCH(BA143,Achievements[[#All],[Column1]],0)+10,"")</f>
        <v>#NAME?</v>
      </c>
      <c r="CB143" s="134" t="str">
        <f>_xlfn.IFNA(MATCH(BB143,Achievements[[#All],[Column1]],0)+10,"")</f>
        <v/>
      </c>
      <c r="CC143" s="134" t="str">
        <f>_xlfn.IFNA(MATCH(BC143,Achievements[[#All],[Column110]],0)+10,"")</f>
        <v/>
      </c>
      <c r="CD143" s="134" t="str">
        <f>_xlfn.IFNA(MATCH(BD143,Achievements[[#All],[Column110]],0)+10,"")</f>
        <v/>
      </c>
      <c r="CE143" s="134" t="str">
        <f>_xlfn.IFNA(MATCH(BE143,Achievements[[#All],[Column111]],0)+10,"")</f>
        <v/>
      </c>
      <c r="CF143" s="134" t="str">
        <f>_xlfn.IFNA(MATCH(BF143,Achievements[[#All],[Column111]],0)+10,"")</f>
        <v/>
      </c>
      <c r="CG143" s="134" t="str">
        <f>_xlfn.IFNA(MATCH(BG143,Achievements[[#All],[Column112]],0)+10,"")</f>
        <v/>
      </c>
      <c r="CH143" s="134" t="str">
        <f>_xlfn.IFNA(MATCH(BH143,Achievements[[#All],[Column112]],0)+10,"")</f>
        <v/>
      </c>
      <c r="CI143" s="134" t="str">
        <f>_xlfn.IFNA(MATCH(BI143,Achievements[[#All],[Column113]],0)+10,"")</f>
        <v/>
      </c>
      <c r="CJ143" s="134" t="str">
        <f>_xlfn.IFNA(MATCH(BJ143,Achievements[[#All],[Column113]],0)+10,"")</f>
        <v/>
      </c>
      <c r="CK143" s="134" t="str">
        <f>_xlfn.IFNA(MATCH(BK143,Achievements[[#All],[Column114]],0)+10,"")</f>
        <v/>
      </c>
      <c r="CL143" s="134" t="str">
        <f>_xlfn.IFNA(MATCH(BL143,Achievements[[#All],[Column114]],0)+10,"")</f>
        <v/>
      </c>
      <c r="CM143" s="134" t="str">
        <f>_xlfn.IFNA(MATCH(BM143,Achievements[[#All],[Column115]],0)+10,"")</f>
        <v/>
      </c>
      <c r="CN143" s="134" t="str">
        <f>_xlfn.IFNA(MATCH(BN143,Achievements[[#All],[Column115]],0)+10,"")</f>
        <v/>
      </c>
      <c r="CO143" s="134" t="str">
        <f>_xlfn.IFNA(MATCH(BO143,Achievements[[#All],[Column116]],0)+10,"")</f>
        <v/>
      </c>
      <c r="CP143" s="134" t="str">
        <f>_xlfn.IFNA(MATCH(BP143,Achievements[[#All],[Column116]],0)+10,"")</f>
        <v/>
      </c>
      <c r="CQ143" s="134" t="str">
        <f>_xlfn.IFNA(MATCH(BQ143,Achievements[[#All],[Column117]],0)+10,"")</f>
        <v/>
      </c>
      <c r="CR143" s="134" t="str">
        <f>_xlfn.IFNA(MATCH(BR143,Achievements[[#All],[Column117]],0)+10,"")</f>
        <v/>
      </c>
      <c r="CS143" s="134" t="str">
        <f>_xlfn.IFNA(MATCH(BS143,Achievements[[#All],[Column118]],0)+10,"")</f>
        <v/>
      </c>
      <c r="CT143" s="134" t="str">
        <f>_xlfn.IFNA(MATCH(BT143,Achievements[[#All],[Column118]],0)+10,"")</f>
        <v/>
      </c>
      <c r="CU143" s="134" t="str">
        <f>_xlfn.IFNA(MATCH(BU143,Achievements[[#All],[Column119]],0)+10,"")</f>
        <v/>
      </c>
      <c r="CV143" s="134" t="str">
        <f>_xlfn.IFNA(MATCH(BV143,Achievements[[#All],[Column119]],0)+10,"")</f>
        <v/>
      </c>
      <c r="CW143" s="134" t="str">
        <f>_xlfn.IFNA(MATCH(BW143,Achievements[[#All],[Column120]],0)+10,"")</f>
        <v/>
      </c>
      <c r="CX143" s="134" t="str">
        <f>_xlfn.IFNA(MATCH(BX143,Achievements[[#All],[Column120]],0)+10,"")</f>
        <v/>
      </c>
      <c r="CY143" s="134" t="str">
        <f>_xlfn.IFNA(MATCH(BY143,Achievements[[#All],[Column121]],0)+10,"")</f>
        <v/>
      </c>
      <c r="CZ143" s="118" t="e">
        <f t="shared" ca="1" si="5"/>
        <v>#NAME?</v>
      </c>
    </row>
    <row r="144" spans="1:104" x14ac:dyDescent="0.25">
      <c r="A144" t="e" cm="1">
        <f t="array" aca="1" ref="A144" ca="1">SplitValues("; ",#REF!)</f>
        <v>#NAME?</v>
      </c>
      <c r="AA144" t="e">
        <f ca="1">_xlfn.IFNA(MATCH(A144,Achievements[[#All],[Column1]],0)+11,"")</f>
        <v>#NAME?</v>
      </c>
      <c r="AB144" s="134" t="str">
        <f>_xlfn.IFNA(MATCH(B144,Achievements[[#All],[Column1]],0)+10,"")</f>
        <v/>
      </c>
      <c r="AC144" s="134" t="str">
        <f>_xlfn.IFNA(MATCH(C144,Achievements[[#All],[Column1]],0)+10,"")</f>
        <v/>
      </c>
      <c r="AD144" s="134" t="str">
        <f>_xlfn.IFNA(MATCH(D144,Achievements[[#All],[Column110]],0)+10,"")</f>
        <v/>
      </c>
      <c r="AE144" s="134" t="str">
        <f>_xlfn.IFNA(MATCH(E144,Achievements[[#All],[Column110]],0)+10,"")</f>
        <v/>
      </c>
      <c r="AF144" s="134" t="str">
        <f>_xlfn.IFNA(MATCH(F144,Achievements[[#All],[Column111]],0)+10,"")</f>
        <v/>
      </c>
      <c r="AG144" s="134" t="str">
        <f>_xlfn.IFNA(MATCH(G144,Achievements[[#All],[Column111]],0)+10,"")</f>
        <v/>
      </c>
      <c r="AH144" s="134" t="str">
        <f>_xlfn.IFNA(MATCH(H144,Achievements[[#All],[Column112]],0)+10,"")</f>
        <v/>
      </c>
      <c r="AI144" s="134" t="str">
        <f>_xlfn.IFNA(MATCH(I144,Achievements[[#All],[Column112]],0)+10,"")</f>
        <v/>
      </c>
      <c r="AJ144" s="134" t="str">
        <f>_xlfn.IFNA(MATCH(J144,Achievements[[#All],[Column113]],0)+10,"")</f>
        <v/>
      </c>
      <c r="AK144" s="134" t="str">
        <f>_xlfn.IFNA(MATCH(K144,Achievements[[#All],[Column113]],0)+10,"")</f>
        <v/>
      </c>
      <c r="AL144" s="134" t="str">
        <f>_xlfn.IFNA(MATCH(L144,Achievements[[#All],[Column114]],0)+10,"")</f>
        <v/>
      </c>
      <c r="AM144" s="134" t="str">
        <f>_xlfn.IFNA(MATCH(M144,Achievements[[#All],[Column114]],0)+10,"")</f>
        <v/>
      </c>
      <c r="AN144" s="134" t="str">
        <f>_xlfn.IFNA(MATCH(N144,Achievements[[#All],[Column115]],0)+10,"")</f>
        <v/>
      </c>
      <c r="AO144" s="134" t="str">
        <f>_xlfn.IFNA(MATCH(O144,Achievements[[#All],[Column115]],0)+10,"")</f>
        <v/>
      </c>
      <c r="AP144" s="134" t="str">
        <f>_xlfn.IFNA(MATCH(P144,Achievements[[#All],[Column116]],0)+10,"")</f>
        <v/>
      </c>
      <c r="AQ144" s="134" t="str">
        <f>_xlfn.IFNA(MATCH(Q144,Achievements[[#All],[Column116]],0)+10,"")</f>
        <v/>
      </c>
      <c r="AR144" s="134" t="str">
        <f>_xlfn.IFNA(MATCH(R144,Achievements[[#All],[Column117]],0)+10,"")</f>
        <v/>
      </c>
      <c r="AS144" s="134" t="str">
        <f>_xlfn.IFNA(MATCH(S144,Achievements[[#All],[Column117]],0)+10,"")</f>
        <v/>
      </c>
      <c r="AT144" s="134" t="str">
        <f>_xlfn.IFNA(MATCH(T144,Achievements[[#All],[Column118]],0)+10,"")</f>
        <v/>
      </c>
      <c r="AU144" s="134" t="str">
        <f>_xlfn.IFNA(MATCH(U144,Achievements[[#All],[Column118]],0)+10,"")</f>
        <v/>
      </c>
      <c r="AV144" s="134" t="str">
        <f>_xlfn.IFNA(MATCH(V144,Achievements[[#All],[Column119]],0)+10,"")</f>
        <v/>
      </c>
      <c r="AW144" s="134" t="str">
        <f>_xlfn.IFNA(MATCH(W144,Achievements[[#All],[Column119]],0)+10,"")</f>
        <v/>
      </c>
      <c r="AX144" s="134" t="str">
        <f>_xlfn.IFNA(MATCH(X144,Achievements[[#All],[Column120]],0)+10,"")</f>
        <v/>
      </c>
      <c r="AY144" s="134" t="str">
        <f>_xlfn.IFNA(MATCH(Y144,Achievements[[#All],[Column120]],0)+10,"")</f>
        <v/>
      </c>
      <c r="AZ144" s="116" t="e">
        <f t="shared" ca="1" si="4"/>
        <v>#NAME?</v>
      </c>
      <c r="BA144" s="134" t="e" cm="1">
        <f t="array" aca="1" ref="BA144" ca="1">SplitValues("; ",Persons[[#This Row],[Column1]])</f>
        <v>#NAME?</v>
      </c>
      <c r="CA144" s="134" t="e">
        <f ca="1">_xlfn.IFNA(MATCH(BA144,Achievements[[#All],[Column1]],0)+10,"")</f>
        <v>#NAME?</v>
      </c>
      <c r="CB144" s="134" t="str">
        <f>_xlfn.IFNA(MATCH(BB144,Achievements[[#All],[Column1]],0)+10,"")</f>
        <v/>
      </c>
      <c r="CC144" s="134" t="str">
        <f>_xlfn.IFNA(MATCH(BC144,Achievements[[#All],[Column110]],0)+10,"")</f>
        <v/>
      </c>
      <c r="CD144" s="134" t="str">
        <f>_xlfn.IFNA(MATCH(BD144,Achievements[[#All],[Column110]],0)+10,"")</f>
        <v/>
      </c>
      <c r="CE144" s="134" t="str">
        <f>_xlfn.IFNA(MATCH(BE144,Achievements[[#All],[Column111]],0)+10,"")</f>
        <v/>
      </c>
      <c r="CF144" s="134" t="str">
        <f>_xlfn.IFNA(MATCH(BF144,Achievements[[#All],[Column111]],0)+10,"")</f>
        <v/>
      </c>
      <c r="CG144" s="134" t="str">
        <f>_xlfn.IFNA(MATCH(BG144,Achievements[[#All],[Column112]],0)+10,"")</f>
        <v/>
      </c>
      <c r="CH144" s="134" t="str">
        <f>_xlfn.IFNA(MATCH(BH144,Achievements[[#All],[Column112]],0)+10,"")</f>
        <v/>
      </c>
      <c r="CI144" s="134" t="str">
        <f>_xlfn.IFNA(MATCH(BI144,Achievements[[#All],[Column113]],0)+10,"")</f>
        <v/>
      </c>
      <c r="CJ144" s="134" t="str">
        <f>_xlfn.IFNA(MATCH(BJ144,Achievements[[#All],[Column113]],0)+10,"")</f>
        <v/>
      </c>
      <c r="CK144" s="134" t="str">
        <f>_xlfn.IFNA(MATCH(BK144,Achievements[[#All],[Column114]],0)+10,"")</f>
        <v/>
      </c>
      <c r="CL144" s="134" t="str">
        <f>_xlfn.IFNA(MATCH(BL144,Achievements[[#All],[Column114]],0)+10,"")</f>
        <v/>
      </c>
      <c r="CM144" s="134" t="str">
        <f>_xlfn.IFNA(MATCH(BM144,Achievements[[#All],[Column115]],0)+10,"")</f>
        <v/>
      </c>
      <c r="CN144" s="134" t="str">
        <f>_xlfn.IFNA(MATCH(BN144,Achievements[[#All],[Column115]],0)+10,"")</f>
        <v/>
      </c>
      <c r="CO144" s="134" t="str">
        <f>_xlfn.IFNA(MATCH(BO144,Achievements[[#All],[Column116]],0)+10,"")</f>
        <v/>
      </c>
      <c r="CP144" s="134" t="str">
        <f>_xlfn.IFNA(MATCH(BP144,Achievements[[#All],[Column116]],0)+10,"")</f>
        <v/>
      </c>
      <c r="CQ144" s="134" t="str">
        <f>_xlfn.IFNA(MATCH(BQ144,Achievements[[#All],[Column117]],0)+10,"")</f>
        <v/>
      </c>
      <c r="CR144" s="134" t="str">
        <f>_xlfn.IFNA(MATCH(BR144,Achievements[[#All],[Column117]],0)+10,"")</f>
        <v/>
      </c>
      <c r="CS144" s="134" t="str">
        <f>_xlfn.IFNA(MATCH(BS144,Achievements[[#All],[Column118]],0)+10,"")</f>
        <v/>
      </c>
      <c r="CT144" s="134" t="str">
        <f>_xlfn.IFNA(MATCH(BT144,Achievements[[#All],[Column118]],0)+10,"")</f>
        <v/>
      </c>
      <c r="CU144" s="134" t="str">
        <f>_xlfn.IFNA(MATCH(BU144,Achievements[[#All],[Column119]],0)+10,"")</f>
        <v/>
      </c>
      <c r="CV144" s="134" t="str">
        <f>_xlfn.IFNA(MATCH(BV144,Achievements[[#All],[Column119]],0)+10,"")</f>
        <v/>
      </c>
      <c r="CW144" s="134" t="str">
        <f>_xlfn.IFNA(MATCH(BW144,Achievements[[#All],[Column120]],0)+10,"")</f>
        <v/>
      </c>
      <c r="CX144" s="134" t="str">
        <f>_xlfn.IFNA(MATCH(BX144,Achievements[[#All],[Column120]],0)+10,"")</f>
        <v/>
      </c>
      <c r="CY144" s="134" t="str">
        <f>_xlfn.IFNA(MATCH(BY144,Achievements[[#All],[Column121]],0)+10,"")</f>
        <v/>
      </c>
      <c r="CZ144" s="118" t="e">
        <f t="shared" ca="1" si="5"/>
        <v>#NAME?</v>
      </c>
    </row>
    <row r="145" spans="1:104" x14ac:dyDescent="0.25">
      <c r="A145" t="e" cm="1">
        <f t="array" aca="1" ref="A145" ca="1">SplitValues("; ",#REF!)</f>
        <v>#NAME?</v>
      </c>
      <c r="AA145" t="e">
        <f ca="1">_xlfn.IFNA(MATCH(A145,Achievements[[#All],[Column1]],0)+11,"")</f>
        <v>#NAME?</v>
      </c>
      <c r="AB145" s="134" t="str">
        <f>_xlfn.IFNA(MATCH(B145,Achievements[[#All],[Column1]],0)+10,"")</f>
        <v/>
      </c>
      <c r="AC145" s="134" t="str">
        <f>_xlfn.IFNA(MATCH(C145,Achievements[[#All],[Column1]],0)+10,"")</f>
        <v/>
      </c>
      <c r="AD145" s="134" t="str">
        <f>_xlfn.IFNA(MATCH(D145,Achievements[[#All],[Column110]],0)+10,"")</f>
        <v/>
      </c>
      <c r="AE145" s="134" t="str">
        <f>_xlfn.IFNA(MATCH(E145,Achievements[[#All],[Column110]],0)+10,"")</f>
        <v/>
      </c>
      <c r="AF145" s="134" t="str">
        <f>_xlfn.IFNA(MATCH(F145,Achievements[[#All],[Column111]],0)+10,"")</f>
        <v/>
      </c>
      <c r="AG145" s="134" t="str">
        <f>_xlfn.IFNA(MATCH(G145,Achievements[[#All],[Column111]],0)+10,"")</f>
        <v/>
      </c>
      <c r="AH145" s="134" t="str">
        <f>_xlfn.IFNA(MATCH(H145,Achievements[[#All],[Column112]],0)+10,"")</f>
        <v/>
      </c>
      <c r="AI145" s="134" t="str">
        <f>_xlfn.IFNA(MATCH(I145,Achievements[[#All],[Column112]],0)+10,"")</f>
        <v/>
      </c>
      <c r="AJ145" s="134" t="str">
        <f>_xlfn.IFNA(MATCH(J145,Achievements[[#All],[Column113]],0)+10,"")</f>
        <v/>
      </c>
      <c r="AK145" s="134" t="str">
        <f>_xlfn.IFNA(MATCH(K145,Achievements[[#All],[Column113]],0)+10,"")</f>
        <v/>
      </c>
      <c r="AL145" s="134" t="str">
        <f>_xlfn.IFNA(MATCH(L145,Achievements[[#All],[Column114]],0)+10,"")</f>
        <v/>
      </c>
      <c r="AM145" s="134" t="str">
        <f>_xlfn.IFNA(MATCH(M145,Achievements[[#All],[Column114]],0)+10,"")</f>
        <v/>
      </c>
      <c r="AN145" s="134" t="str">
        <f>_xlfn.IFNA(MATCH(N145,Achievements[[#All],[Column115]],0)+10,"")</f>
        <v/>
      </c>
      <c r="AO145" s="134" t="str">
        <f>_xlfn.IFNA(MATCH(O145,Achievements[[#All],[Column115]],0)+10,"")</f>
        <v/>
      </c>
      <c r="AP145" s="134" t="str">
        <f>_xlfn.IFNA(MATCH(P145,Achievements[[#All],[Column116]],0)+10,"")</f>
        <v/>
      </c>
      <c r="AQ145" s="134" t="str">
        <f>_xlfn.IFNA(MATCH(Q145,Achievements[[#All],[Column116]],0)+10,"")</f>
        <v/>
      </c>
      <c r="AR145" s="134" t="str">
        <f>_xlfn.IFNA(MATCH(R145,Achievements[[#All],[Column117]],0)+10,"")</f>
        <v/>
      </c>
      <c r="AS145" s="134" t="str">
        <f>_xlfn.IFNA(MATCH(S145,Achievements[[#All],[Column117]],0)+10,"")</f>
        <v/>
      </c>
      <c r="AT145" s="134" t="str">
        <f>_xlfn.IFNA(MATCH(T145,Achievements[[#All],[Column118]],0)+10,"")</f>
        <v/>
      </c>
      <c r="AU145" s="134" t="str">
        <f>_xlfn.IFNA(MATCH(U145,Achievements[[#All],[Column118]],0)+10,"")</f>
        <v/>
      </c>
      <c r="AV145" s="134" t="str">
        <f>_xlfn.IFNA(MATCH(V145,Achievements[[#All],[Column119]],0)+10,"")</f>
        <v/>
      </c>
      <c r="AW145" s="134" t="str">
        <f>_xlfn.IFNA(MATCH(W145,Achievements[[#All],[Column119]],0)+10,"")</f>
        <v/>
      </c>
      <c r="AX145" s="134" t="str">
        <f>_xlfn.IFNA(MATCH(X145,Achievements[[#All],[Column120]],0)+10,"")</f>
        <v/>
      </c>
      <c r="AY145" s="134" t="str">
        <f>_xlfn.IFNA(MATCH(Y145,Achievements[[#All],[Column120]],0)+10,"")</f>
        <v/>
      </c>
      <c r="AZ145" s="116" t="e">
        <f t="shared" ca="1" si="4"/>
        <v>#NAME?</v>
      </c>
      <c r="BA145" s="134" t="e" cm="1">
        <f t="array" aca="1" ref="BA145" ca="1">SplitValues("; ",Persons[[#This Row],[Column1]])</f>
        <v>#NAME?</v>
      </c>
      <c r="CA145" s="134" t="e">
        <f ca="1">_xlfn.IFNA(MATCH(BA145,Achievements[[#All],[Column1]],0)+10,"")</f>
        <v>#NAME?</v>
      </c>
      <c r="CB145" s="134" t="str">
        <f>_xlfn.IFNA(MATCH(BB145,Achievements[[#All],[Column1]],0)+10,"")</f>
        <v/>
      </c>
      <c r="CC145" s="134" t="str">
        <f>_xlfn.IFNA(MATCH(BC145,Achievements[[#All],[Column110]],0)+10,"")</f>
        <v/>
      </c>
      <c r="CD145" s="134" t="str">
        <f>_xlfn.IFNA(MATCH(BD145,Achievements[[#All],[Column110]],0)+10,"")</f>
        <v/>
      </c>
      <c r="CE145" s="134" t="str">
        <f>_xlfn.IFNA(MATCH(BE145,Achievements[[#All],[Column111]],0)+10,"")</f>
        <v/>
      </c>
      <c r="CF145" s="134" t="str">
        <f>_xlfn.IFNA(MATCH(BF145,Achievements[[#All],[Column111]],0)+10,"")</f>
        <v/>
      </c>
      <c r="CG145" s="134" t="str">
        <f>_xlfn.IFNA(MATCH(BG145,Achievements[[#All],[Column112]],0)+10,"")</f>
        <v/>
      </c>
      <c r="CH145" s="134" t="str">
        <f>_xlfn.IFNA(MATCH(BH145,Achievements[[#All],[Column112]],0)+10,"")</f>
        <v/>
      </c>
      <c r="CI145" s="134" t="str">
        <f>_xlfn.IFNA(MATCH(BI145,Achievements[[#All],[Column113]],0)+10,"")</f>
        <v/>
      </c>
      <c r="CJ145" s="134" t="str">
        <f>_xlfn.IFNA(MATCH(BJ145,Achievements[[#All],[Column113]],0)+10,"")</f>
        <v/>
      </c>
      <c r="CK145" s="134" t="str">
        <f>_xlfn.IFNA(MATCH(BK145,Achievements[[#All],[Column114]],0)+10,"")</f>
        <v/>
      </c>
      <c r="CL145" s="134" t="str">
        <f>_xlfn.IFNA(MATCH(BL145,Achievements[[#All],[Column114]],0)+10,"")</f>
        <v/>
      </c>
      <c r="CM145" s="134" t="str">
        <f>_xlfn.IFNA(MATCH(BM145,Achievements[[#All],[Column115]],0)+10,"")</f>
        <v/>
      </c>
      <c r="CN145" s="134" t="str">
        <f>_xlfn.IFNA(MATCH(BN145,Achievements[[#All],[Column115]],0)+10,"")</f>
        <v/>
      </c>
      <c r="CO145" s="134" t="str">
        <f>_xlfn.IFNA(MATCH(BO145,Achievements[[#All],[Column116]],0)+10,"")</f>
        <v/>
      </c>
      <c r="CP145" s="134" t="str">
        <f>_xlfn.IFNA(MATCH(BP145,Achievements[[#All],[Column116]],0)+10,"")</f>
        <v/>
      </c>
      <c r="CQ145" s="134" t="str">
        <f>_xlfn.IFNA(MATCH(BQ145,Achievements[[#All],[Column117]],0)+10,"")</f>
        <v/>
      </c>
      <c r="CR145" s="134" t="str">
        <f>_xlfn.IFNA(MATCH(BR145,Achievements[[#All],[Column117]],0)+10,"")</f>
        <v/>
      </c>
      <c r="CS145" s="134" t="str">
        <f>_xlfn.IFNA(MATCH(BS145,Achievements[[#All],[Column118]],0)+10,"")</f>
        <v/>
      </c>
      <c r="CT145" s="134" t="str">
        <f>_xlfn.IFNA(MATCH(BT145,Achievements[[#All],[Column118]],0)+10,"")</f>
        <v/>
      </c>
      <c r="CU145" s="134" t="str">
        <f>_xlfn.IFNA(MATCH(BU145,Achievements[[#All],[Column119]],0)+10,"")</f>
        <v/>
      </c>
      <c r="CV145" s="134" t="str">
        <f>_xlfn.IFNA(MATCH(BV145,Achievements[[#All],[Column119]],0)+10,"")</f>
        <v/>
      </c>
      <c r="CW145" s="134" t="str">
        <f>_xlfn.IFNA(MATCH(BW145,Achievements[[#All],[Column120]],0)+10,"")</f>
        <v/>
      </c>
      <c r="CX145" s="134" t="str">
        <f>_xlfn.IFNA(MATCH(BX145,Achievements[[#All],[Column120]],0)+10,"")</f>
        <v/>
      </c>
      <c r="CY145" s="134" t="str">
        <f>_xlfn.IFNA(MATCH(BY145,Achievements[[#All],[Column121]],0)+10,"")</f>
        <v/>
      </c>
      <c r="CZ145" s="118" t="e">
        <f t="shared" ca="1" si="5"/>
        <v>#NAME?</v>
      </c>
    </row>
    <row r="146" spans="1:104" x14ac:dyDescent="0.25">
      <c r="A146" t="e" cm="1">
        <f t="array" aca="1" ref="A146" ca="1">SplitValues("; ",#REF!)</f>
        <v>#NAME?</v>
      </c>
      <c r="AA146" t="e">
        <f ca="1">_xlfn.IFNA(MATCH(A146,Achievements[[#All],[Column1]],0)+11,"")</f>
        <v>#NAME?</v>
      </c>
      <c r="AB146" s="134" t="str">
        <f>_xlfn.IFNA(MATCH(B146,Achievements[[#All],[Column1]],0)+10,"")</f>
        <v/>
      </c>
      <c r="AC146" s="134" t="str">
        <f>_xlfn.IFNA(MATCH(C146,Achievements[[#All],[Column1]],0)+10,"")</f>
        <v/>
      </c>
      <c r="AD146" s="134" t="str">
        <f>_xlfn.IFNA(MATCH(D146,Achievements[[#All],[Column110]],0)+10,"")</f>
        <v/>
      </c>
      <c r="AE146" s="134" t="str">
        <f>_xlfn.IFNA(MATCH(E146,Achievements[[#All],[Column110]],0)+10,"")</f>
        <v/>
      </c>
      <c r="AF146" s="134" t="str">
        <f>_xlfn.IFNA(MATCH(F146,Achievements[[#All],[Column111]],0)+10,"")</f>
        <v/>
      </c>
      <c r="AG146" s="134" t="str">
        <f>_xlfn.IFNA(MATCH(G146,Achievements[[#All],[Column111]],0)+10,"")</f>
        <v/>
      </c>
      <c r="AH146" s="134" t="str">
        <f>_xlfn.IFNA(MATCH(H146,Achievements[[#All],[Column112]],0)+10,"")</f>
        <v/>
      </c>
      <c r="AI146" s="134" t="str">
        <f>_xlfn.IFNA(MATCH(I146,Achievements[[#All],[Column112]],0)+10,"")</f>
        <v/>
      </c>
      <c r="AJ146" s="134" t="str">
        <f>_xlfn.IFNA(MATCH(J146,Achievements[[#All],[Column113]],0)+10,"")</f>
        <v/>
      </c>
      <c r="AK146" s="134" t="str">
        <f>_xlfn.IFNA(MATCH(K146,Achievements[[#All],[Column113]],0)+10,"")</f>
        <v/>
      </c>
      <c r="AL146" s="134" t="str">
        <f>_xlfn.IFNA(MATCH(L146,Achievements[[#All],[Column114]],0)+10,"")</f>
        <v/>
      </c>
      <c r="AM146" s="134" t="str">
        <f>_xlfn.IFNA(MATCH(M146,Achievements[[#All],[Column114]],0)+10,"")</f>
        <v/>
      </c>
      <c r="AN146" s="134" t="str">
        <f>_xlfn.IFNA(MATCH(N146,Achievements[[#All],[Column115]],0)+10,"")</f>
        <v/>
      </c>
      <c r="AO146" s="134" t="str">
        <f>_xlfn.IFNA(MATCH(O146,Achievements[[#All],[Column115]],0)+10,"")</f>
        <v/>
      </c>
      <c r="AP146" s="134" t="str">
        <f>_xlfn.IFNA(MATCH(P146,Achievements[[#All],[Column116]],0)+10,"")</f>
        <v/>
      </c>
      <c r="AQ146" s="134" t="str">
        <f>_xlfn.IFNA(MATCH(Q146,Achievements[[#All],[Column116]],0)+10,"")</f>
        <v/>
      </c>
      <c r="AR146" s="134" t="str">
        <f>_xlfn.IFNA(MATCH(R146,Achievements[[#All],[Column117]],0)+10,"")</f>
        <v/>
      </c>
      <c r="AS146" s="134" t="str">
        <f>_xlfn.IFNA(MATCH(S146,Achievements[[#All],[Column117]],0)+10,"")</f>
        <v/>
      </c>
      <c r="AT146" s="134" t="str">
        <f>_xlfn.IFNA(MATCH(T146,Achievements[[#All],[Column118]],0)+10,"")</f>
        <v/>
      </c>
      <c r="AU146" s="134" t="str">
        <f>_xlfn.IFNA(MATCH(U146,Achievements[[#All],[Column118]],0)+10,"")</f>
        <v/>
      </c>
      <c r="AV146" s="134" t="str">
        <f>_xlfn.IFNA(MATCH(V146,Achievements[[#All],[Column119]],0)+10,"")</f>
        <v/>
      </c>
      <c r="AW146" s="134" t="str">
        <f>_xlfn.IFNA(MATCH(W146,Achievements[[#All],[Column119]],0)+10,"")</f>
        <v/>
      </c>
      <c r="AX146" s="134" t="str">
        <f>_xlfn.IFNA(MATCH(X146,Achievements[[#All],[Column120]],0)+10,"")</f>
        <v/>
      </c>
      <c r="AY146" s="134" t="str">
        <f>_xlfn.IFNA(MATCH(Y146,Achievements[[#All],[Column120]],0)+10,"")</f>
        <v/>
      </c>
      <c r="AZ146" s="116" t="e">
        <f t="shared" ca="1" si="4"/>
        <v>#NAME?</v>
      </c>
      <c r="BA146" s="134" t="e" cm="1">
        <f t="array" aca="1" ref="BA146" ca="1">SplitValues("; ",Persons[[#This Row],[Column1]])</f>
        <v>#NAME?</v>
      </c>
      <c r="CA146" s="134" t="e">
        <f ca="1">_xlfn.IFNA(MATCH(BA146,Achievements[[#All],[Column1]],0)+10,"")</f>
        <v>#NAME?</v>
      </c>
      <c r="CB146" s="134" t="str">
        <f>_xlfn.IFNA(MATCH(BB146,Achievements[[#All],[Column1]],0)+10,"")</f>
        <v/>
      </c>
      <c r="CC146" s="134" t="str">
        <f>_xlfn.IFNA(MATCH(BC146,Achievements[[#All],[Column110]],0)+10,"")</f>
        <v/>
      </c>
      <c r="CD146" s="134" t="str">
        <f>_xlfn.IFNA(MATCH(BD146,Achievements[[#All],[Column110]],0)+10,"")</f>
        <v/>
      </c>
      <c r="CE146" s="134" t="str">
        <f>_xlfn.IFNA(MATCH(BE146,Achievements[[#All],[Column111]],0)+10,"")</f>
        <v/>
      </c>
      <c r="CF146" s="134" t="str">
        <f>_xlfn.IFNA(MATCH(BF146,Achievements[[#All],[Column111]],0)+10,"")</f>
        <v/>
      </c>
      <c r="CG146" s="134" t="str">
        <f>_xlfn.IFNA(MATCH(BG146,Achievements[[#All],[Column112]],0)+10,"")</f>
        <v/>
      </c>
      <c r="CH146" s="134" t="str">
        <f>_xlfn.IFNA(MATCH(BH146,Achievements[[#All],[Column112]],0)+10,"")</f>
        <v/>
      </c>
      <c r="CI146" s="134" t="str">
        <f>_xlfn.IFNA(MATCH(BI146,Achievements[[#All],[Column113]],0)+10,"")</f>
        <v/>
      </c>
      <c r="CJ146" s="134" t="str">
        <f>_xlfn.IFNA(MATCH(BJ146,Achievements[[#All],[Column113]],0)+10,"")</f>
        <v/>
      </c>
      <c r="CK146" s="134" t="str">
        <f>_xlfn.IFNA(MATCH(BK146,Achievements[[#All],[Column114]],0)+10,"")</f>
        <v/>
      </c>
      <c r="CL146" s="134" t="str">
        <f>_xlfn.IFNA(MATCH(BL146,Achievements[[#All],[Column114]],0)+10,"")</f>
        <v/>
      </c>
      <c r="CM146" s="134" t="str">
        <f>_xlfn.IFNA(MATCH(BM146,Achievements[[#All],[Column115]],0)+10,"")</f>
        <v/>
      </c>
      <c r="CN146" s="134" t="str">
        <f>_xlfn.IFNA(MATCH(BN146,Achievements[[#All],[Column115]],0)+10,"")</f>
        <v/>
      </c>
      <c r="CO146" s="134" t="str">
        <f>_xlfn.IFNA(MATCH(BO146,Achievements[[#All],[Column116]],0)+10,"")</f>
        <v/>
      </c>
      <c r="CP146" s="134" t="str">
        <f>_xlfn.IFNA(MATCH(BP146,Achievements[[#All],[Column116]],0)+10,"")</f>
        <v/>
      </c>
      <c r="CQ146" s="134" t="str">
        <f>_xlfn.IFNA(MATCH(BQ146,Achievements[[#All],[Column117]],0)+10,"")</f>
        <v/>
      </c>
      <c r="CR146" s="134" t="str">
        <f>_xlfn.IFNA(MATCH(BR146,Achievements[[#All],[Column117]],0)+10,"")</f>
        <v/>
      </c>
      <c r="CS146" s="134" t="str">
        <f>_xlfn.IFNA(MATCH(BS146,Achievements[[#All],[Column118]],0)+10,"")</f>
        <v/>
      </c>
      <c r="CT146" s="134" t="str">
        <f>_xlfn.IFNA(MATCH(BT146,Achievements[[#All],[Column118]],0)+10,"")</f>
        <v/>
      </c>
      <c r="CU146" s="134" t="str">
        <f>_xlfn.IFNA(MATCH(BU146,Achievements[[#All],[Column119]],0)+10,"")</f>
        <v/>
      </c>
      <c r="CV146" s="134" t="str">
        <f>_xlfn.IFNA(MATCH(BV146,Achievements[[#All],[Column119]],0)+10,"")</f>
        <v/>
      </c>
      <c r="CW146" s="134" t="str">
        <f>_xlfn.IFNA(MATCH(BW146,Achievements[[#All],[Column120]],0)+10,"")</f>
        <v/>
      </c>
      <c r="CX146" s="134" t="str">
        <f>_xlfn.IFNA(MATCH(BX146,Achievements[[#All],[Column120]],0)+10,"")</f>
        <v/>
      </c>
      <c r="CY146" s="134" t="str">
        <f>_xlfn.IFNA(MATCH(BY146,Achievements[[#All],[Column121]],0)+10,"")</f>
        <v/>
      </c>
      <c r="CZ146" s="118" t="e">
        <f t="shared" ca="1" si="5"/>
        <v>#NAME?</v>
      </c>
    </row>
    <row r="147" spans="1:104" x14ac:dyDescent="0.25">
      <c r="A147" t="e" cm="1">
        <f t="array" aca="1" ref="A147" ca="1">SplitValues("; ",#REF!)</f>
        <v>#NAME?</v>
      </c>
      <c r="AA147" t="e">
        <f ca="1">_xlfn.IFNA(MATCH(A147,Achievements[[#All],[Column1]],0)+11,"")</f>
        <v>#NAME?</v>
      </c>
      <c r="AB147" s="134" t="str">
        <f>_xlfn.IFNA(MATCH(B147,Achievements[[#All],[Column1]],0)+10,"")</f>
        <v/>
      </c>
      <c r="AC147" s="134" t="str">
        <f>_xlfn.IFNA(MATCH(C147,Achievements[[#All],[Column1]],0)+10,"")</f>
        <v/>
      </c>
      <c r="AD147" s="134" t="str">
        <f>_xlfn.IFNA(MATCH(D147,Achievements[[#All],[Column110]],0)+10,"")</f>
        <v/>
      </c>
      <c r="AE147" s="134" t="str">
        <f>_xlfn.IFNA(MATCH(E147,Achievements[[#All],[Column110]],0)+10,"")</f>
        <v/>
      </c>
      <c r="AF147" s="134" t="str">
        <f>_xlfn.IFNA(MATCH(F147,Achievements[[#All],[Column111]],0)+10,"")</f>
        <v/>
      </c>
      <c r="AG147" s="134" t="str">
        <f>_xlfn.IFNA(MATCH(G147,Achievements[[#All],[Column111]],0)+10,"")</f>
        <v/>
      </c>
      <c r="AH147" s="134" t="str">
        <f>_xlfn.IFNA(MATCH(H147,Achievements[[#All],[Column112]],0)+10,"")</f>
        <v/>
      </c>
      <c r="AI147" s="134" t="str">
        <f>_xlfn.IFNA(MATCH(I147,Achievements[[#All],[Column112]],0)+10,"")</f>
        <v/>
      </c>
      <c r="AJ147" s="134" t="str">
        <f>_xlfn.IFNA(MATCH(J147,Achievements[[#All],[Column113]],0)+10,"")</f>
        <v/>
      </c>
      <c r="AK147" s="134" t="str">
        <f>_xlfn.IFNA(MATCH(K147,Achievements[[#All],[Column113]],0)+10,"")</f>
        <v/>
      </c>
      <c r="AL147" s="134" t="str">
        <f>_xlfn.IFNA(MATCH(L147,Achievements[[#All],[Column114]],0)+10,"")</f>
        <v/>
      </c>
      <c r="AM147" s="134" t="str">
        <f>_xlfn.IFNA(MATCH(M147,Achievements[[#All],[Column114]],0)+10,"")</f>
        <v/>
      </c>
      <c r="AN147" s="134" t="str">
        <f>_xlfn.IFNA(MATCH(N147,Achievements[[#All],[Column115]],0)+10,"")</f>
        <v/>
      </c>
      <c r="AO147" s="134" t="str">
        <f>_xlfn.IFNA(MATCH(O147,Achievements[[#All],[Column115]],0)+10,"")</f>
        <v/>
      </c>
      <c r="AP147" s="134" t="str">
        <f>_xlfn.IFNA(MATCH(P147,Achievements[[#All],[Column116]],0)+10,"")</f>
        <v/>
      </c>
      <c r="AQ147" s="134" t="str">
        <f>_xlfn.IFNA(MATCH(Q147,Achievements[[#All],[Column116]],0)+10,"")</f>
        <v/>
      </c>
      <c r="AR147" s="134" t="str">
        <f>_xlfn.IFNA(MATCH(R147,Achievements[[#All],[Column117]],0)+10,"")</f>
        <v/>
      </c>
      <c r="AS147" s="134" t="str">
        <f>_xlfn.IFNA(MATCH(S147,Achievements[[#All],[Column117]],0)+10,"")</f>
        <v/>
      </c>
      <c r="AT147" s="134" t="str">
        <f>_xlfn.IFNA(MATCH(T147,Achievements[[#All],[Column118]],0)+10,"")</f>
        <v/>
      </c>
      <c r="AU147" s="134" t="str">
        <f>_xlfn.IFNA(MATCH(U147,Achievements[[#All],[Column118]],0)+10,"")</f>
        <v/>
      </c>
      <c r="AV147" s="134" t="str">
        <f>_xlfn.IFNA(MATCH(V147,Achievements[[#All],[Column119]],0)+10,"")</f>
        <v/>
      </c>
      <c r="AW147" s="134" t="str">
        <f>_xlfn.IFNA(MATCH(W147,Achievements[[#All],[Column119]],0)+10,"")</f>
        <v/>
      </c>
      <c r="AX147" s="134" t="str">
        <f>_xlfn.IFNA(MATCH(X147,Achievements[[#All],[Column120]],0)+10,"")</f>
        <v/>
      </c>
      <c r="AY147" s="134" t="str">
        <f>_xlfn.IFNA(MATCH(Y147,Achievements[[#All],[Column120]],0)+10,"")</f>
        <v/>
      </c>
      <c r="AZ147" s="116" t="e">
        <f t="shared" ca="1" si="4"/>
        <v>#NAME?</v>
      </c>
      <c r="BA147" s="134" t="e" cm="1">
        <f t="array" aca="1" ref="BA147" ca="1">SplitValues("; ",Persons[[#This Row],[Column1]])</f>
        <v>#NAME?</v>
      </c>
      <c r="CA147" s="134" t="e">
        <f ca="1">_xlfn.IFNA(MATCH(BA147,Achievements[[#All],[Column1]],0)+10,"")</f>
        <v>#NAME?</v>
      </c>
      <c r="CB147" s="134" t="str">
        <f>_xlfn.IFNA(MATCH(BB147,Achievements[[#All],[Column1]],0)+10,"")</f>
        <v/>
      </c>
      <c r="CC147" s="134" t="str">
        <f>_xlfn.IFNA(MATCH(BC147,Achievements[[#All],[Column110]],0)+10,"")</f>
        <v/>
      </c>
      <c r="CD147" s="134" t="str">
        <f>_xlfn.IFNA(MATCH(BD147,Achievements[[#All],[Column110]],0)+10,"")</f>
        <v/>
      </c>
      <c r="CE147" s="134" t="str">
        <f>_xlfn.IFNA(MATCH(BE147,Achievements[[#All],[Column111]],0)+10,"")</f>
        <v/>
      </c>
      <c r="CF147" s="134" t="str">
        <f>_xlfn.IFNA(MATCH(BF147,Achievements[[#All],[Column111]],0)+10,"")</f>
        <v/>
      </c>
      <c r="CG147" s="134" t="str">
        <f>_xlfn.IFNA(MATCH(BG147,Achievements[[#All],[Column112]],0)+10,"")</f>
        <v/>
      </c>
      <c r="CH147" s="134" t="str">
        <f>_xlfn.IFNA(MATCH(BH147,Achievements[[#All],[Column112]],0)+10,"")</f>
        <v/>
      </c>
      <c r="CI147" s="134" t="str">
        <f>_xlfn.IFNA(MATCH(BI147,Achievements[[#All],[Column113]],0)+10,"")</f>
        <v/>
      </c>
      <c r="CJ147" s="134" t="str">
        <f>_xlfn.IFNA(MATCH(BJ147,Achievements[[#All],[Column113]],0)+10,"")</f>
        <v/>
      </c>
      <c r="CK147" s="134" t="str">
        <f>_xlfn.IFNA(MATCH(BK147,Achievements[[#All],[Column114]],0)+10,"")</f>
        <v/>
      </c>
      <c r="CL147" s="134" t="str">
        <f>_xlfn.IFNA(MATCH(BL147,Achievements[[#All],[Column114]],0)+10,"")</f>
        <v/>
      </c>
      <c r="CM147" s="134" t="str">
        <f>_xlfn.IFNA(MATCH(BM147,Achievements[[#All],[Column115]],0)+10,"")</f>
        <v/>
      </c>
      <c r="CN147" s="134" t="str">
        <f>_xlfn.IFNA(MATCH(BN147,Achievements[[#All],[Column115]],0)+10,"")</f>
        <v/>
      </c>
      <c r="CO147" s="134" t="str">
        <f>_xlfn.IFNA(MATCH(BO147,Achievements[[#All],[Column116]],0)+10,"")</f>
        <v/>
      </c>
      <c r="CP147" s="134" t="str">
        <f>_xlfn.IFNA(MATCH(BP147,Achievements[[#All],[Column116]],0)+10,"")</f>
        <v/>
      </c>
      <c r="CQ147" s="134" t="str">
        <f>_xlfn.IFNA(MATCH(BQ147,Achievements[[#All],[Column117]],0)+10,"")</f>
        <v/>
      </c>
      <c r="CR147" s="134" t="str">
        <f>_xlfn.IFNA(MATCH(BR147,Achievements[[#All],[Column117]],0)+10,"")</f>
        <v/>
      </c>
      <c r="CS147" s="134" t="str">
        <f>_xlfn.IFNA(MATCH(BS147,Achievements[[#All],[Column118]],0)+10,"")</f>
        <v/>
      </c>
      <c r="CT147" s="134" t="str">
        <f>_xlfn.IFNA(MATCH(BT147,Achievements[[#All],[Column118]],0)+10,"")</f>
        <v/>
      </c>
      <c r="CU147" s="134" t="str">
        <f>_xlfn.IFNA(MATCH(BU147,Achievements[[#All],[Column119]],0)+10,"")</f>
        <v/>
      </c>
      <c r="CV147" s="134" t="str">
        <f>_xlfn.IFNA(MATCH(BV147,Achievements[[#All],[Column119]],0)+10,"")</f>
        <v/>
      </c>
      <c r="CW147" s="134" t="str">
        <f>_xlfn.IFNA(MATCH(BW147,Achievements[[#All],[Column120]],0)+10,"")</f>
        <v/>
      </c>
      <c r="CX147" s="134" t="str">
        <f>_xlfn.IFNA(MATCH(BX147,Achievements[[#All],[Column120]],0)+10,"")</f>
        <v/>
      </c>
      <c r="CY147" s="134" t="str">
        <f>_xlfn.IFNA(MATCH(BY147,Achievements[[#All],[Column121]],0)+10,"")</f>
        <v/>
      </c>
      <c r="CZ147" s="118" t="e">
        <f t="shared" ca="1" si="5"/>
        <v>#NAME?</v>
      </c>
    </row>
    <row r="148" spans="1:104" x14ac:dyDescent="0.25">
      <c r="A148" t="e" cm="1">
        <f t="array" aca="1" ref="A148" ca="1">SplitValues("; ",#REF!)</f>
        <v>#NAME?</v>
      </c>
      <c r="AA148" t="e">
        <f ca="1">_xlfn.IFNA(MATCH(A148,Achievements[[#All],[Column1]],0)+11,"")</f>
        <v>#NAME?</v>
      </c>
      <c r="AB148" s="134" t="str">
        <f>_xlfn.IFNA(MATCH(B148,Achievements[[#All],[Column1]],0)+10,"")</f>
        <v/>
      </c>
      <c r="AC148" s="134" t="str">
        <f>_xlfn.IFNA(MATCH(C148,Achievements[[#All],[Column1]],0)+10,"")</f>
        <v/>
      </c>
      <c r="AD148" s="134" t="str">
        <f>_xlfn.IFNA(MATCH(D148,Achievements[[#All],[Column110]],0)+10,"")</f>
        <v/>
      </c>
      <c r="AE148" s="134" t="str">
        <f>_xlfn.IFNA(MATCH(E148,Achievements[[#All],[Column110]],0)+10,"")</f>
        <v/>
      </c>
      <c r="AF148" s="134" t="str">
        <f>_xlfn.IFNA(MATCH(F148,Achievements[[#All],[Column111]],0)+10,"")</f>
        <v/>
      </c>
      <c r="AG148" s="134" t="str">
        <f>_xlfn.IFNA(MATCH(G148,Achievements[[#All],[Column111]],0)+10,"")</f>
        <v/>
      </c>
      <c r="AH148" s="134" t="str">
        <f>_xlfn.IFNA(MATCH(H148,Achievements[[#All],[Column112]],0)+10,"")</f>
        <v/>
      </c>
      <c r="AI148" s="134" t="str">
        <f>_xlfn.IFNA(MATCH(I148,Achievements[[#All],[Column112]],0)+10,"")</f>
        <v/>
      </c>
      <c r="AJ148" s="134" t="str">
        <f>_xlfn.IFNA(MATCH(J148,Achievements[[#All],[Column113]],0)+10,"")</f>
        <v/>
      </c>
      <c r="AK148" s="134" t="str">
        <f>_xlfn.IFNA(MATCH(K148,Achievements[[#All],[Column113]],0)+10,"")</f>
        <v/>
      </c>
      <c r="AL148" s="134" t="str">
        <f>_xlfn.IFNA(MATCH(L148,Achievements[[#All],[Column114]],0)+10,"")</f>
        <v/>
      </c>
      <c r="AM148" s="134" t="str">
        <f>_xlfn.IFNA(MATCH(M148,Achievements[[#All],[Column114]],0)+10,"")</f>
        <v/>
      </c>
      <c r="AN148" s="134" t="str">
        <f>_xlfn.IFNA(MATCH(N148,Achievements[[#All],[Column115]],0)+10,"")</f>
        <v/>
      </c>
      <c r="AO148" s="134" t="str">
        <f>_xlfn.IFNA(MATCH(O148,Achievements[[#All],[Column115]],0)+10,"")</f>
        <v/>
      </c>
      <c r="AP148" s="134" t="str">
        <f>_xlfn.IFNA(MATCH(P148,Achievements[[#All],[Column116]],0)+10,"")</f>
        <v/>
      </c>
      <c r="AQ148" s="134" t="str">
        <f>_xlfn.IFNA(MATCH(Q148,Achievements[[#All],[Column116]],0)+10,"")</f>
        <v/>
      </c>
      <c r="AR148" s="134" t="str">
        <f>_xlfn.IFNA(MATCH(R148,Achievements[[#All],[Column117]],0)+10,"")</f>
        <v/>
      </c>
      <c r="AS148" s="134" t="str">
        <f>_xlfn.IFNA(MATCH(S148,Achievements[[#All],[Column117]],0)+10,"")</f>
        <v/>
      </c>
      <c r="AT148" s="134" t="str">
        <f>_xlfn.IFNA(MATCH(T148,Achievements[[#All],[Column118]],0)+10,"")</f>
        <v/>
      </c>
      <c r="AU148" s="134" t="str">
        <f>_xlfn.IFNA(MATCH(U148,Achievements[[#All],[Column118]],0)+10,"")</f>
        <v/>
      </c>
      <c r="AV148" s="134" t="str">
        <f>_xlfn.IFNA(MATCH(V148,Achievements[[#All],[Column119]],0)+10,"")</f>
        <v/>
      </c>
      <c r="AW148" s="134" t="str">
        <f>_xlfn.IFNA(MATCH(W148,Achievements[[#All],[Column119]],0)+10,"")</f>
        <v/>
      </c>
      <c r="AX148" s="134" t="str">
        <f>_xlfn.IFNA(MATCH(X148,Achievements[[#All],[Column120]],0)+10,"")</f>
        <v/>
      </c>
      <c r="AY148" s="134" t="str">
        <f>_xlfn.IFNA(MATCH(Y148,Achievements[[#All],[Column120]],0)+10,"")</f>
        <v/>
      </c>
      <c r="AZ148" s="116" t="e">
        <f t="shared" ca="1" si="4"/>
        <v>#NAME?</v>
      </c>
      <c r="BA148" s="134" t="e" cm="1">
        <f t="array" aca="1" ref="BA148" ca="1">SplitValues("; ",Persons[[#This Row],[Column1]])</f>
        <v>#NAME?</v>
      </c>
      <c r="CA148" s="134" t="e">
        <f ca="1">_xlfn.IFNA(MATCH(BA148,Achievements[[#All],[Column1]],0)+10,"")</f>
        <v>#NAME?</v>
      </c>
      <c r="CB148" s="134" t="str">
        <f>_xlfn.IFNA(MATCH(BB148,Achievements[[#All],[Column1]],0)+10,"")</f>
        <v/>
      </c>
      <c r="CC148" s="134" t="str">
        <f>_xlfn.IFNA(MATCH(BC148,Achievements[[#All],[Column110]],0)+10,"")</f>
        <v/>
      </c>
      <c r="CD148" s="134" t="str">
        <f>_xlfn.IFNA(MATCH(BD148,Achievements[[#All],[Column110]],0)+10,"")</f>
        <v/>
      </c>
      <c r="CE148" s="134" t="str">
        <f>_xlfn.IFNA(MATCH(BE148,Achievements[[#All],[Column111]],0)+10,"")</f>
        <v/>
      </c>
      <c r="CF148" s="134" t="str">
        <f>_xlfn.IFNA(MATCH(BF148,Achievements[[#All],[Column111]],0)+10,"")</f>
        <v/>
      </c>
      <c r="CG148" s="134" t="str">
        <f>_xlfn.IFNA(MATCH(BG148,Achievements[[#All],[Column112]],0)+10,"")</f>
        <v/>
      </c>
      <c r="CH148" s="134" t="str">
        <f>_xlfn.IFNA(MATCH(BH148,Achievements[[#All],[Column112]],0)+10,"")</f>
        <v/>
      </c>
      <c r="CI148" s="134" t="str">
        <f>_xlfn.IFNA(MATCH(BI148,Achievements[[#All],[Column113]],0)+10,"")</f>
        <v/>
      </c>
      <c r="CJ148" s="134" t="str">
        <f>_xlfn.IFNA(MATCH(BJ148,Achievements[[#All],[Column113]],0)+10,"")</f>
        <v/>
      </c>
      <c r="CK148" s="134" t="str">
        <f>_xlfn.IFNA(MATCH(BK148,Achievements[[#All],[Column114]],0)+10,"")</f>
        <v/>
      </c>
      <c r="CL148" s="134" t="str">
        <f>_xlfn.IFNA(MATCH(BL148,Achievements[[#All],[Column114]],0)+10,"")</f>
        <v/>
      </c>
      <c r="CM148" s="134" t="str">
        <f>_xlfn.IFNA(MATCH(BM148,Achievements[[#All],[Column115]],0)+10,"")</f>
        <v/>
      </c>
      <c r="CN148" s="134" t="str">
        <f>_xlfn.IFNA(MATCH(BN148,Achievements[[#All],[Column115]],0)+10,"")</f>
        <v/>
      </c>
      <c r="CO148" s="134" t="str">
        <f>_xlfn.IFNA(MATCH(BO148,Achievements[[#All],[Column116]],0)+10,"")</f>
        <v/>
      </c>
      <c r="CP148" s="134" t="str">
        <f>_xlfn.IFNA(MATCH(BP148,Achievements[[#All],[Column116]],0)+10,"")</f>
        <v/>
      </c>
      <c r="CQ148" s="134" t="str">
        <f>_xlfn.IFNA(MATCH(BQ148,Achievements[[#All],[Column117]],0)+10,"")</f>
        <v/>
      </c>
      <c r="CR148" s="134" t="str">
        <f>_xlfn.IFNA(MATCH(BR148,Achievements[[#All],[Column117]],0)+10,"")</f>
        <v/>
      </c>
      <c r="CS148" s="134" t="str">
        <f>_xlfn.IFNA(MATCH(BS148,Achievements[[#All],[Column118]],0)+10,"")</f>
        <v/>
      </c>
      <c r="CT148" s="134" t="str">
        <f>_xlfn.IFNA(MATCH(BT148,Achievements[[#All],[Column118]],0)+10,"")</f>
        <v/>
      </c>
      <c r="CU148" s="134" t="str">
        <f>_xlfn.IFNA(MATCH(BU148,Achievements[[#All],[Column119]],0)+10,"")</f>
        <v/>
      </c>
      <c r="CV148" s="134" t="str">
        <f>_xlfn.IFNA(MATCH(BV148,Achievements[[#All],[Column119]],0)+10,"")</f>
        <v/>
      </c>
      <c r="CW148" s="134" t="str">
        <f>_xlfn.IFNA(MATCH(BW148,Achievements[[#All],[Column120]],0)+10,"")</f>
        <v/>
      </c>
      <c r="CX148" s="134" t="str">
        <f>_xlfn.IFNA(MATCH(BX148,Achievements[[#All],[Column120]],0)+10,"")</f>
        <v/>
      </c>
      <c r="CY148" s="134" t="str">
        <f>_xlfn.IFNA(MATCH(BY148,Achievements[[#All],[Column121]],0)+10,"")</f>
        <v/>
      </c>
      <c r="CZ148" s="118" t="e">
        <f t="shared" ca="1" si="5"/>
        <v>#NAME?</v>
      </c>
    </row>
    <row r="149" spans="1:104" x14ac:dyDescent="0.25">
      <c r="A149" t="e" cm="1">
        <f t="array" aca="1" ref="A149" ca="1">SplitValues("; ",#REF!)</f>
        <v>#NAME?</v>
      </c>
      <c r="AA149" t="e">
        <f ca="1">_xlfn.IFNA(MATCH(A149,Achievements[[#All],[Column1]],0)+11,"")</f>
        <v>#NAME?</v>
      </c>
      <c r="AB149" s="134" t="str">
        <f>_xlfn.IFNA(MATCH(B149,Achievements[[#All],[Column1]],0)+10,"")</f>
        <v/>
      </c>
      <c r="AC149" s="134" t="str">
        <f>_xlfn.IFNA(MATCH(C149,Achievements[[#All],[Column1]],0)+10,"")</f>
        <v/>
      </c>
      <c r="AD149" s="134" t="str">
        <f>_xlfn.IFNA(MATCH(D149,Achievements[[#All],[Column110]],0)+10,"")</f>
        <v/>
      </c>
      <c r="AE149" s="134" t="str">
        <f>_xlfn.IFNA(MATCH(E149,Achievements[[#All],[Column110]],0)+10,"")</f>
        <v/>
      </c>
      <c r="AF149" s="134" t="str">
        <f>_xlfn.IFNA(MATCH(F149,Achievements[[#All],[Column111]],0)+10,"")</f>
        <v/>
      </c>
      <c r="AG149" s="134" t="str">
        <f>_xlfn.IFNA(MATCH(G149,Achievements[[#All],[Column111]],0)+10,"")</f>
        <v/>
      </c>
      <c r="AH149" s="134" t="str">
        <f>_xlfn.IFNA(MATCH(H149,Achievements[[#All],[Column112]],0)+10,"")</f>
        <v/>
      </c>
      <c r="AI149" s="134" t="str">
        <f>_xlfn.IFNA(MATCH(I149,Achievements[[#All],[Column112]],0)+10,"")</f>
        <v/>
      </c>
      <c r="AJ149" s="134" t="str">
        <f>_xlfn.IFNA(MATCH(J149,Achievements[[#All],[Column113]],0)+10,"")</f>
        <v/>
      </c>
      <c r="AK149" s="134" t="str">
        <f>_xlfn.IFNA(MATCH(K149,Achievements[[#All],[Column113]],0)+10,"")</f>
        <v/>
      </c>
      <c r="AL149" s="134" t="str">
        <f>_xlfn.IFNA(MATCH(L149,Achievements[[#All],[Column114]],0)+10,"")</f>
        <v/>
      </c>
      <c r="AM149" s="134" t="str">
        <f>_xlfn.IFNA(MATCH(M149,Achievements[[#All],[Column114]],0)+10,"")</f>
        <v/>
      </c>
      <c r="AN149" s="134" t="str">
        <f>_xlfn.IFNA(MATCH(N149,Achievements[[#All],[Column115]],0)+10,"")</f>
        <v/>
      </c>
      <c r="AO149" s="134" t="str">
        <f>_xlfn.IFNA(MATCH(O149,Achievements[[#All],[Column115]],0)+10,"")</f>
        <v/>
      </c>
      <c r="AP149" s="134" t="str">
        <f>_xlfn.IFNA(MATCH(P149,Achievements[[#All],[Column116]],0)+10,"")</f>
        <v/>
      </c>
      <c r="AQ149" s="134" t="str">
        <f>_xlfn.IFNA(MATCH(Q149,Achievements[[#All],[Column116]],0)+10,"")</f>
        <v/>
      </c>
      <c r="AR149" s="134" t="str">
        <f>_xlfn.IFNA(MATCH(R149,Achievements[[#All],[Column117]],0)+10,"")</f>
        <v/>
      </c>
      <c r="AS149" s="134" t="str">
        <f>_xlfn.IFNA(MATCH(S149,Achievements[[#All],[Column117]],0)+10,"")</f>
        <v/>
      </c>
      <c r="AT149" s="134" t="str">
        <f>_xlfn.IFNA(MATCH(T149,Achievements[[#All],[Column118]],0)+10,"")</f>
        <v/>
      </c>
      <c r="AU149" s="134" t="str">
        <f>_xlfn.IFNA(MATCH(U149,Achievements[[#All],[Column118]],0)+10,"")</f>
        <v/>
      </c>
      <c r="AV149" s="134" t="str">
        <f>_xlfn.IFNA(MATCH(V149,Achievements[[#All],[Column119]],0)+10,"")</f>
        <v/>
      </c>
      <c r="AW149" s="134" t="str">
        <f>_xlfn.IFNA(MATCH(W149,Achievements[[#All],[Column119]],0)+10,"")</f>
        <v/>
      </c>
      <c r="AX149" s="134" t="str">
        <f>_xlfn.IFNA(MATCH(X149,Achievements[[#All],[Column120]],0)+10,"")</f>
        <v/>
      </c>
      <c r="AY149" s="134" t="str">
        <f>_xlfn.IFNA(MATCH(Y149,Achievements[[#All],[Column120]],0)+10,"")</f>
        <v/>
      </c>
      <c r="AZ149" s="116" t="e">
        <f t="shared" ca="1" si="4"/>
        <v>#NAME?</v>
      </c>
      <c r="BA149" s="134" t="e" cm="1">
        <f t="array" aca="1" ref="BA149" ca="1">SplitValues("; ",Persons[[#This Row],[Column1]])</f>
        <v>#NAME?</v>
      </c>
      <c r="CA149" s="134" t="e">
        <f ca="1">_xlfn.IFNA(MATCH(BA149,Achievements[[#All],[Column1]],0)+10,"")</f>
        <v>#NAME?</v>
      </c>
      <c r="CB149" s="134" t="str">
        <f>_xlfn.IFNA(MATCH(BB149,Achievements[[#All],[Column1]],0)+10,"")</f>
        <v/>
      </c>
      <c r="CC149" s="134" t="str">
        <f>_xlfn.IFNA(MATCH(BC149,Achievements[[#All],[Column110]],0)+10,"")</f>
        <v/>
      </c>
      <c r="CD149" s="134" t="str">
        <f>_xlfn.IFNA(MATCH(BD149,Achievements[[#All],[Column110]],0)+10,"")</f>
        <v/>
      </c>
      <c r="CE149" s="134" t="str">
        <f>_xlfn.IFNA(MATCH(BE149,Achievements[[#All],[Column111]],0)+10,"")</f>
        <v/>
      </c>
      <c r="CF149" s="134" t="str">
        <f>_xlfn.IFNA(MATCH(BF149,Achievements[[#All],[Column111]],0)+10,"")</f>
        <v/>
      </c>
      <c r="CG149" s="134" t="str">
        <f>_xlfn.IFNA(MATCH(BG149,Achievements[[#All],[Column112]],0)+10,"")</f>
        <v/>
      </c>
      <c r="CH149" s="134" t="str">
        <f>_xlfn.IFNA(MATCH(BH149,Achievements[[#All],[Column112]],0)+10,"")</f>
        <v/>
      </c>
      <c r="CI149" s="134" t="str">
        <f>_xlfn.IFNA(MATCH(BI149,Achievements[[#All],[Column113]],0)+10,"")</f>
        <v/>
      </c>
      <c r="CJ149" s="134" t="str">
        <f>_xlfn.IFNA(MATCH(BJ149,Achievements[[#All],[Column113]],0)+10,"")</f>
        <v/>
      </c>
      <c r="CK149" s="134" t="str">
        <f>_xlfn.IFNA(MATCH(BK149,Achievements[[#All],[Column114]],0)+10,"")</f>
        <v/>
      </c>
      <c r="CL149" s="134" t="str">
        <f>_xlfn.IFNA(MATCH(BL149,Achievements[[#All],[Column114]],0)+10,"")</f>
        <v/>
      </c>
      <c r="CM149" s="134" t="str">
        <f>_xlfn.IFNA(MATCH(BM149,Achievements[[#All],[Column115]],0)+10,"")</f>
        <v/>
      </c>
      <c r="CN149" s="134" t="str">
        <f>_xlfn.IFNA(MATCH(BN149,Achievements[[#All],[Column115]],0)+10,"")</f>
        <v/>
      </c>
      <c r="CO149" s="134" t="str">
        <f>_xlfn.IFNA(MATCH(BO149,Achievements[[#All],[Column116]],0)+10,"")</f>
        <v/>
      </c>
      <c r="CP149" s="134" t="str">
        <f>_xlfn.IFNA(MATCH(BP149,Achievements[[#All],[Column116]],0)+10,"")</f>
        <v/>
      </c>
      <c r="CQ149" s="134" t="str">
        <f>_xlfn.IFNA(MATCH(BQ149,Achievements[[#All],[Column117]],0)+10,"")</f>
        <v/>
      </c>
      <c r="CR149" s="134" t="str">
        <f>_xlfn.IFNA(MATCH(BR149,Achievements[[#All],[Column117]],0)+10,"")</f>
        <v/>
      </c>
      <c r="CS149" s="134" t="str">
        <f>_xlfn.IFNA(MATCH(BS149,Achievements[[#All],[Column118]],0)+10,"")</f>
        <v/>
      </c>
      <c r="CT149" s="134" t="str">
        <f>_xlfn.IFNA(MATCH(BT149,Achievements[[#All],[Column118]],0)+10,"")</f>
        <v/>
      </c>
      <c r="CU149" s="134" t="str">
        <f>_xlfn.IFNA(MATCH(BU149,Achievements[[#All],[Column119]],0)+10,"")</f>
        <v/>
      </c>
      <c r="CV149" s="134" t="str">
        <f>_xlfn.IFNA(MATCH(BV149,Achievements[[#All],[Column119]],0)+10,"")</f>
        <v/>
      </c>
      <c r="CW149" s="134" t="str">
        <f>_xlfn.IFNA(MATCH(BW149,Achievements[[#All],[Column120]],0)+10,"")</f>
        <v/>
      </c>
      <c r="CX149" s="134" t="str">
        <f>_xlfn.IFNA(MATCH(BX149,Achievements[[#All],[Column120]],0)+10,"")</f>
        <v/>
      </c>
      <c r="CY149" s="134" t="str">
        <f>_xlfn.IFNA(MATCH(BY149,Achievements[[#All],[Column121]],0)+10,"")</f>
        <v/>
      </c>
      <c r="CZ149" s="118" t="e">
        <f t="shared" ca="1" si="5"/>
        <v>#NAME?</v>
      </c>
    </row>
    <row r="150" spans="1:104" x14ac:dyDescent="0.25">
      <c r="A150" t="e" cm="1">
        <f t="array" aca="1" ref="A150" ca="1">SplitValues("; ",#REF!)</f>
        <v>#NAME?</v>
      </c>
      <c r="AA150" t="e">
        <f ca="1">_xlfn.IFNA(MATCH(A150,Achievements[[#All],[Column1]],0)+11,"")</f>
        <v>#NAME?</v>
      </c>
      <c r="AB150" s="134" t="str">
        <f>_xlfn.IFNA(MATCH(B150,Achievements[[#All],[Column1]],0)+10,"")</f>
        <v/>
      </c>
      <c r="AC150" s="134" t="str">
        <f>_xlfn.IFNA(MATCH(C150,Achievements[[#All],[Column1]],0)+10,"")</f>
        <v/>
      </c>
      <c r="AD150" s="134" t="str">
        <f>_xlfn.IFNA(MATCH(D150,Achievements[[#All],[Column110]],0)+10,"")</f>
        <v/>
      </c>
      <c r="AE150" s="134" t="str">
        <f>_xlfn.IFNA(MATCH(E150,Achievements[[#All],[Column110]],0)+10,"")</f>
        <v/>
      </c>
      <c r="AF150" s="134" t="str">
        <f>_xlfn.IFNA(MATCH(F150,Achievements[[#All],[Column111]],0)+10,"")</f>
        <v/>
      </c>
      <c r="AG150" s="134" t="str">
        <f>_xlfn.IFNA(MATCH(G150,Achievements[[#All],[Column111]],0)+10,"")</f>
        <v/>
      </c>
      <c r="AH150" s="134" t="str">
        <f>_xlfn.IFNA(MATCH(H150,Achievements[[#All],[Column112]],0)+10,"")</f>
        <v/>
      </c>
      <c r="AI150" s="134" t="str">
        <f>_xlfn.IFNA(MATCH(I150,Achievements[[#All],[Column112]],0)+10,"")</f>
        <v/>
      </c>
      <c r="AJ150" s="134" t="str">
        <f>_xlfn.IFNA(MATCH(J150,Achievements[[#All],[Column113]],0)+10,"")</f>
        <v/>
      </c>
      <c r="AK150" s="134" t="str">
        <f>_xlfn.IFNA(MATCH(K150,Achievements[[#All],[Column113]],0)+10,"")</f>
        <v/>
      </c>
      <c r="AL150" s="134" t="str">
        <f>_xlfn.IFNA(MATCH(L150,Achievements[[#All],[Column114]],0)+10,"")</f>
        <v/>
      </c>
      <c r="AM150" s="134" t="str">
        <f>_xlfn.IFNA(MATCH(M150,Achievements[[#All],[Column114]],0)+10,"")</f>
        <v/>
      </c>
      <c r="AN150" s="134" t="str">
        <f>_xlfn.IFNA(MATCH(N150,Achievements[[#All],[Column115]],0)+10,"")</f>
        <v/>
      </c>
      <c r="AO150" s="134" t="str">
        <f>_xlfn.IFNA(MATCH(O150,Achievements[[#All],[Column115]],0)+10,"")</f>
        <v/>
      </c>
      <c r="AP150" s="134" t="str">
        <f>_xlfn.IFNA(MATCH(P150,Achievements[[#All],[Column116]],0)+10,"")</f>
        <v/>
      </c>
      <c r="AQ150" s="134" t="str">
        <f>_xlfn.IFNA(MATCH(Q150,Achievements[[#All],[Column116]],0)+10,"")</f>
        <v/>
      </c>
      <c r="AR150" s="134" t="str">
        <f>_xlfn.IFNA(MATCH(R150,Achievements[[#All],[Column117]],0)+10,"")</f>
        <v/>
      </c>
      <c r="AS150" s="134" t="str">
        <f>_xlfn.IFNA(MATCH(S150,Achievements[[#All],[Column117]],0)+10,"")</f>
        <v/>
      </c>
      <c r="AT150" s="134" t="str">
        <f>_xlfn.IFNA(MATCH(T150,Achievements[[#All],[Column118]],0)+10,"")</f>
        <v/>
      </c>
      <c r="AU150" s="134" t="str">
        <f>_xlfn.IFNA(MATCH(U150,Achievements[[#All],[Column118]],0)+10,"")</f>
        <v/>
      </c>
      <c r="AV150" s="134" t="str">
        <f>_xlfn.IFNA(MATCH(V150,Achievements[[#All],[Column119]],0)+10,"")</f>
        <v/>
      </c>
      <c r="AW150" s="134" t="str">
        <f>_xlfn.IFNA(MATCH(W150,Achievements[[#All],[Column119]],0)+10,"")</f>
        <v/>
      </c>
      <c r="AX150" s="134" t="str">
        <f>_xlfn.IFNA(MATCH(X150,Achievements[[#All],[Column120]],0)+10,"")</f>
        <v/>
      </c>
      <c r="AY150" s="134" t="str">
        <f>_xlfn.IFNA(MATCH(Y150,Achievements[[#All],[Column120]],0)+10,"")</f>
        <v/>
      </c>
      <c r="AZ150" s="116" t="e">
        <f t="shared" ca="1" si="4"/>
        <v>#NAME?</v>
      </c>
      <c r="BA150" s="134" t="e" cm="1">
        <f t="array" aca="1" ref="BA150" ca="1">SplitValues("; ",Persons[[#This Row],[Column1]])</f>
        <v>#NAME?</v>
      </c>
      <c r="CA150" s="134" t="e">
        <f ca="1">_xlfn.IFNA(MATCH(BA150,Achievements[[#All],[Column1]],0)+10,"")</f>
        <v>#NAME?</v>
      </c>
      <c r="CB150" s="134" t="str">
        <f>_xlfn.IFNA(MATCH(BB150,Achievements[[#All],[Column1]],0)+10,"")</f>
        <v/>
      </c>
      <c r="CC150" s="134" t="str">
        <f>_xlfn.IFNA(MATCH(BC150,Achievements[[#All],[Column110]],0)+10,"")</f>
        <v/>
      </c>
      <c r="CD150" s="134" t="str">
        <f>_xlfn.IFNA(MATCH(BD150,Achievements[[#All],[Column110]],0)+10,"")</f>
        <v/>
      </c>
      <c r="CE150" s="134" t="str">
        <f>_xlfn.IFNA(MATCH(BE150,Achievements[[#All],[Column111]],0)+10,"")</f>
        <v/>
      </c>
      <c r="CF150" s="134" t="str">
        <f>_xlfn.IFNA(MATCH(BF150,Achievements[[#All],[Column111]],0)+10,"")</f>
        <v/>
      </c>
      <c r="CG150" s="134" t="str">
        <f>_xlfn.IFNA(MATCH(BG150,Achievements[[#All],[Column112]],0)+10,"")</f>
        <v/>
      </c>
      <c r="CH150" s="134" t="str">
        <f>_xlfn.IFNA(MATCH(BH150,Achievements[[#All],[Column112]],0)+10,"")</f>
        <v/>
      </c>
      <c r="CI150" s="134" t="str">
        <f>_xlfn.IFNA(MATCH(BI150,Achievements[[#All],[Column113]],0)+10,"")</f>
        <v/>
      </c>
      <c r="CJ150" s="134" t="str">
        <f>_xlfn.IFNA(MATCH(BJ150,Achievements[[#All],[Column113]],0)+10,"")</f>
        <v/>
      </c>
      <c r="CK150" s="134" t="str">
        <f>_xlfn.IFNA(MATCH(BK150,Achievements[[#All],[Column114]],0)+10,"")</f>
        <v/>
      </c>
      <c r="CL150" s="134" t="str">
        <f>_xlfn.IFNA(MATCH(BL150,Achievements[[#All],[Column114]],0)+10,"")</f>
        <v/>
      </c>
      <c r="CM150" s="134" t="str">
        <f>_xlfn.IFNA(MATCH(BM150,Achievements[[#All],[Column115]],0)+10,"")</f>
        <v/>
      </c>
      <c r="CN150" s="134" t="str">
        <f>_xlfn.IFNA(MATCH(BN150,Achievements[[#All],[Column115]],0)+10,"")</f>
        <v/>
      </c>
      <c r="CO150" s="134" t="str">
        <f>_xlfn.IFNA(MATCH(BO150,Achievements[[#All],[Column116]],0)+10,"")</f>
        <v/>
      </c>
      <c r="CP150" s="134" t="str">
        <f>_xlfn.IFNA(MATCH(BP150,Achievements[[#All],[Column116]],0)+10,"")</f>
        <v/>
      </c>
      <c r="CQ150" s="134" t="str">
        <f>_xlfn.IFNA(MATCH(BQ150,Achievements[[#All],[Column117]],0)+10,"")</f>
        <v/>
      </c>
      <c r="CR150" s="134" t="str">
        <f>_xlfn.IFNA(MATCH(BR150,Achievements[[#All],[Column117]],0)+10,"")</f>
        <v/>
      </c>
      <c r="CS150" s="134" t="str">
        <f>_xlfn.IFNA(MATCH(BS150,Achievements[[#All],[Column118]],0)+10,"")</f>
        <v/>
      </c>
      <c r="CT150" s="134" t="str">
        <f>_xlfn.IFNA(MATCH(BT150,Achievements[[#All],[Column118]],0)+10,"")</f>
        <v/>
      </c>
      <c r="CU150" s="134" t="str">
        <f>_xlfn.IFNA(MATCH(BU150,Achievements[[#All],[Column119]],0)+10,"")</f>
        <v/>
      </c>
      <c r="CV150" s="134" t="str">
        <f>_xlfn.IFNA(MATCH(BV150,Achievements[[#All],[Column119]],0)+10,"")</f>
        <v/>
      </c>
      <c r="CW150" s="134" t="str">
        <f>_xlfn.IFNA(MATCH(BW150,Achievements[[#All],[Column120]],0)+10,"")</f>
        <v/>
      </c>
      <c r="CX150" s="134" t="str">
        <f>_xlfn.IFNA(MATCH(BX150,Achievements[[#All],[Column120]],0)+10,"")</f>
        <v/>
      </c>
      <c r="CY150" s="134" t="str">
        <f>_xlfn.IFNA(MATCH(BY150,Achievements[[#All],[Column121]],0)+10,"")</f>
        <v/>
      </c>
      <c r="CZ150" s="118" t="e">
        <f t="shared" ca="1" si="5"/>
        <v>#NAME?</v>
      </c>
    </row>
    <row r="151" spans="1:104" x14ac:dyDescent="0.25">
      <c r="A151" t="e" cm="1">
        <f t="array" aca="1" ref="A151" ca="1">SplitValues("; ",#REF!)</f>
        <v>#NAME?</v>
      </c>
      <c r="AA151" t="e">
        <f ca="1">_xlfn.IFNA(MATCH(A151,Achievements[[#All],[Column1]],0)+11,"")</f>
        <v>#NAME?</v>
      </c>
      <c r="AB151" s="134" t="str">
        <f>_xlfn.IFNA(MATCH(B151,Achievements[[#All],[Column1]],0)+10,"")</f>
        <v/>
      </c>
      <c r="AC151" s="134" t="str">
        <f>_xlfn.IFNA(MATCH(C151,Achievements[[#All],[Column1]],0)+10,"")</f>
        <v/>
      </c>
      <c r="AD151" s="134" t="str">
        <f>_xlfn.IFNA(MATCH(D151,Achievements[[#All],[Column110]],0)+10,"")</f>
        <v/>
      </c>
      <c r="AE151" s="134" t="str">
        <f>_xlfn.IFNA(MATCH(E151,Achievements[[#All],[Column110]],0)+10,"")</f>
        <v/>
      </c>
      <c r="AF151" s="134" t="str">
        <f>_xlfn.IFNA(MATCH(F151,Achievements[[#All],[Column111]],0)+10,"")</f>
        <v/>
      </c>
      <c r="AG151" s="134" t="str">
        <f>_xlfn.IFNA(MATCH(G151,Achievements[[#All],[Column111]],0)+10,"")</f>
        <v/>
      </c>
      <c r="AH151" s="134" t="str">
        <f>_xlfn.IFNA(MATCH(H151,Achievements[[#All],[Column112]],0)+10,"")</f>
        <v/>
      </c>
      <c r="AI151" s="134" t="str">
        <f>_xlfn.IFNA(MATCH(I151,Achievements[[#All],[Column112]],0)+10,"")</f>
        <v/>
      </c>
      <c r="AJ151" s="134" t="str">
        <f>_xlfn.IFNA(MATCH(J151,Achievements[[#All],[Column113]],0)+10,"")</f>
        <v/>
      </c>
      <c r="AK151" s="134" t="str">
        <f>_xlfn.IFNA(MATCH(K151,Achievements[[#All],[Column113]],0)+10,"")</f>
        <v/>
      </c>
      <c r="AL151" s="134" t="str">
        <f>_xlfn.IFNA(MATCH(L151,Achievements[[#All],[Column114]],0)+10,"")</f>
        <v/>
      </c>
      <c r="AM151" s="134" t="str">
        <f>_xlfn.IFNA(MATCH(M151,Achievements[[#All],[Column114]],0)+10,"")</f>
        <v/>
      </c>
      <c r="AN151" s="134" t="str">
        <f>_xlfn.IFNA(MATCH(N151,Achievements[[#All],[Column115]],0)+10,"")</f>
        <v/>
      </c>
      <c r="AO151" s="134" t="str">
        <f>_xlfn.IFNA(MATCH(O151,Achievements[[#All],[Column115]],0)+10,"")</f>
        <v/>
      </c>
      <c r="AP151" s="134" t="str">
        <f>_xlfn.IFNA(MATCH(P151,Achievements[[#All],[Column116]],0)+10,"")</f>
        <v/>
      </c>
      <c r="AQ151" s="134" t="str">
        <f>_xlfn.IFNA(MATCH(Q151,Achievements[[#All],[Column116]],0)+10,"")</f>
        <v/>
      </c>
      <c r="AR151" s="134" t="str">
        <f>_xlfn.IFNA(MATCH(R151,Achievements[[#All],[Column117]],0)+10,"")</f>
        <v/>
      </c>
      <c r="AS151" s="134" t="str">
        <f>_xlfn.IFNA(MATCH(S151,Achievements[[#All],[Column117]],0)+10,"")</f>
        <v/>
      </c>
      <c r="AT151" s="134" t="str">
        <f>_xlfn.IFNA(MATCH(T151,Achievements[[#All],[Column118]],0)+10,"")</f>
        <v/>
      </c>
      <c r="AU151" s="134" t="str">
        <f>_xlfn.IFNA(MATCH(U151,Achievements[[#All],[Column118]],0)+10,"")</f>
        <v/>
      </c>
      <c r="AV151" s="134" t="str">
        <f>_xlfn.IFNA(MATCH(V151,Achievements[[#All],[Column119]],0)+10,"")</f>
        <v/>
      </c>
      <c r="AW151" s="134" t="str">
        <f>_xlfn.IFNA(MATCH(W151,Achievements[[#All],[Column119]],0)+10,"")</f>
        <v/>
      </c>
      <c r="AX151" s="134" t="str">
        <f>_xlfn.IFNA(MATCH(X151,Achievements[[#All],[Column120]],0)+10,"")</f>
        <v/>
      </c>
      <c r="AY151" s="134" t="str">
        <f>_xlfn.IFNA(MATCH(Y151,Achievements[[#All],[Column120]],0)+10,"")</f>
        <v/>
      </c>
      <c r="AZ151" s="116" t="e">
        <f t="shared" ca="1" si="4"/>
        <v>#NAME?</v>
      </c>
      <c r="BA151" s="134" t="e" cm="1">
        <f t="array" aca="1" ref="BA151" ca="1">SplitValues("; ",Persons[[#This Row],[Column1]])</f>
        <v>#NAME?</v>
      </c>
      <c r="CA151" s="134" t="e">
        <f ca="1">_xlfn.IFNA(MATCH(BA151,Achievements[[#All],[Column1]],0)+10,"")</f>
        <v>#NAME?</v>
      </c>
      <c r="CB151" s="134" t="str">
        <f>_xlfn.IFNA(MATCH(BB151,Achievements[[#All],[Column1]],0)+10,"")</f>
        <v/>
      </c>
      <c r="CC151" s="134" t="str">
        <f>_xlfn.IFNA(MATCH(BC151,Achievements[[#All],[Column110]],0)+10,"")</f>
        <v/>
      </c>
      <c r="CD151" s="134" t="str">
        <f>_xlfn.IFNA(MATCH(BD151,Achievements[[#All],[Column110]],0)+10,"")</f>
        <v/>
      </c>
      <c r="CE151" s="134" t="str">
        <f>_xlfn.IFNA(MATCH(BE151,Achievements[[#All],[Column111]],0)+10,"")</f>
        <v/>
      </c>
      <c r="CF151" s="134" t="str">
        <f>_xlfn.IFNA(MATCH(BF151,Achievements[[#All],[Column111]],0)+10,"")</f>
        <v/>
      </c>
      <c r="CG151" s="134" t="str">
        <f>_xlfn.IFNA(MATCH(BG151,Achievements[[#All],[Column112]],0)+10,"")</f>
        <v/>
      </c>
      <c r="CH151" s="134" t="str">
        <f>_xlfn.IFNA(MATCH(BH151,Achievements[[#All],[Column112]],0)+10,"")</f>
        <v/>
      </c>
      <c r="CI151" s="134" t="str">
        <f>_xlfn.IFNA(MATCH(BI151,Achievements[[#All],[Column113]],0)+10,"")</f>
        <v/>
      </c>
      <c r="CJ151" s="134" t="str">
        <f>_xlfn.IFNA(MATCH(BJ151,Achievements[[#All],[Column113]],0)+10,"")</f>
        <v/>
      </c>
      <c r="CK151" s="134" t="str">
        <f>_xlfn.IFNA(MATCH(BK151,Achievements[[#All],[Column114]],0)+10,"")</f>
        <v/>
      </c>
      <c r="CL151" s="134" t="str">
        <f>_xlfn.IFNA(MATCH(BL151,Achievements[[#All],[Column114]],0)+10,"")</f>
        <v/>
      </c>
      <c r="CM151" s="134" t="str">
        <f>_xlfn.IFNA(MATCH(BM151,Achievements[[#All],[Column115]],0)+10,"")</f>
        <v/>
      </c>
      <c r="CN151" s="134" t="str">
        <f>_xlfn.IFNA(MATCH(BN151,Achievements[[#All],[Column115]],0)+10,"")</f>
        <v/>
      </c>
      <c r="CO151" s="134" t="str">
        <f>_xlfn.IFNA(MATCH(BO151,Achievements[[#All],[Column116]],0)+10,"")</f>
        <v/>
      </c>
      <c r="CP151" s="134" t="str">
        <f>_xlfn.IFNA(MATCH(BP151,Achievements[[#All],[Column116]],0)+10,"")</f>
        <v/>
      </c>
      <c r="CQ151" s="134" t="str">
        <f>_xlfn.IFNA(MATCH(BQ151,Achievements[[#All],[Column117]],0)+10,"")</f>
        <v/>
      </c>
      <c r="CR151" s="134" t="str">
        <f>_xlfn.IFNA(MATCH(BR151,Achievements[[#All],[Column117]],0)+10,"")</f>
        <v/>
      </c>
      <c r="CS151" s="134" t="str">
        <f>_xlfn.IFNA(MATCH(BS151,Achievements[[#All],[Column118]],0)+10,"")</f>
        <v/>
      </c>
      <c r="CT151" s="134" t="str">
        <f>_xlfn.IFNA(MATCH(BT151,Achievements[[#All],[Column118]],0)+10,"")</f>
        <v/>
      </c>
      <c r="CU151" s="134" t="str">
        <f>_xlfn.IFNA(MATCH(BU151,Achievements[[#All],[Column119]],0)+10,"")</f>
        <v/>
      </c>
      <c r="CV151" s="134" t="str">
        <f>_xlfn.IFNA(MATCH(BV151,Achievements[[#All],[Column119]],0)+10,"")</f>
        <v/>
      </c>
      <c r="CW151" s="134" t="str">
        <f>_xlfn.IFNA(MATCH(BW151,Achievements[[#All],[Column120]],0)+10,"")</f>
        <v/>
      </c>
      <c r="CX151" s="134" t="str">
        <f>_xlfn.IFNA(MATCH(BX151,Achievements[[#All],[Column120]],0)+10,"")</f>
        <v/>
      </c>
      <c r="CY151" s="134" t="str">
        <f>_xlfn.IFNA(MATCH(BY151,Achievements[[#All],[Column121]],0)+10,"")</f>
        <v/>
      </c>
      <c r="CZ151" s="118" t="e">
        <f t="shared" ca="1" si="5"/>
        <v>#NAME?</v>
      </c>
    </row>
    <row r="152" spans="1:104" x14ac:dyDescent="0.25">
      <c r="A152" t="e" cm="1">
        <f t="array" aca="1" ref="A152" ca="1">SplitValues("; ",#REF!)</f>
        <v>#NAME?</v>
      </c>
      <c r="AA152" t="e">
        <f ca="1">_xlfn.IFNA(MATCH(A152,Achievements[[#All],[Column1]],0)+11,"")</f>
        <v>#NAME?</v>
      </c>
      <c r="AB152" s="134" t="str">
        <f>_xlfn.IFNA(MATCH(B152,Achievements[[#All],[Column1]],0)+10,"")</f>
        <v/>
      </c>
      <c r="AC152" s="134" t="str">
        <f>_xlfn.IFNA(MATCH(C152,Achievements[[#All],[Column1]],0)+10,"")</f>
        <v/>
      </c>
      <c r="AD152" s="134" t="str">
        <f>_xlfn.IFNA(MATCH(D152,Achievements[[#All],[Column110]],0)+10,"")</f>
        <v/>
      </c>
      <c r="AE152" s="134" t="str">
        <f>_xlfn.IFNA(MATCH(E152,Achievements[[#All],[Column110]],0)+10,"")</f>
        <v/>
      </c>
      <c r="AF152" s="134" t="str">
        <f>_xlfn.IFNA(MATCH(F152,Achievements[[#All],[Column111]],0)+10,"")</f>
        <v/>
      </c>
      <c r="AG152" s="134" t="str">
        <f>_xlfn.IFNA(MATCH(G152,Achievements[[#All],[Column111]],0)+10,"")</f>
        <v/>
      </c>
      <c r="AH152" s="134" t="str">
        <f>_xlfn.IFNA(MATCH(H152,Achievements[[#All],[Column112]],0)+10,"")</f>
        <v/>
      </c>
      <c r="AI152" s="134" t="str">
        <f>_xlfn.IFNA(MATCH(I152,Achievements[[#All],[Column112]],0)+10,"")</f>
        <v/>
      </c>
      <c r="AJ152" s="134" t="str">
        <f>_xlfn.IFNA(MATCH(J152,Achievements[[#All],[Column113]],0)+10,"")</f>
        <v/>
      </c>
      <c r="AK152" s="134" t="str">
        <f>_xlfn.IFNA(MATCH(K152,Achievements[[#All],[Column113]],0)+10,"")</f>
        <v/>
      </c>
      <c r="AL152" s="134" t="str">
        <f>_xlfn.IFNA(MATCH(L152,Achievements[[#All],[Column114]],0)+10,"")</f>
        <v/>
      </c>
      <c r="AM152" s="134" t="str">
        <f>_xlfn.IFNA(MATCH(M152,Achievements[[#All],[Column114]],0)+10,"")</f>
        <v/>
      </c>
      <c r="AN152" s="134" t="str">
        <f>_xlfn.IFNA(MATCH(N152,Achievements[[#All],[Column115]],0)+10,"")</f>
        <v/>
      </c>
      <c r="AO152" s="134" t="str">
        <f>_xlfn.IFNA(MATCH(O152,Achievements[[#All],[Column115]],0)+10,"")</f>
        <v/>
      </c>
      <c r="AP152" s="134" t="str">
        <f>_xlfn.IFNA(MATCH(P152,Achievements[[#All],[Column116]],0)+10,"")</f>
        <v/>
      </c>
      <c r="AQ152" s="134" t="str">
        <f>_xlfn.IFNA(MATCH(Q152,Achievements[[#All],[Column116]],0)+10,"")</f>
        <v/>
      </c>
      <c r="AR152" s="134" t="str">
        <f>_xlfn.IFNA(MATCH(R152,Achievements[[#All],[Column117]],0)+10,"")</f>
        <v/>
      </c>
      <c r="AS152" s="134" t="str">
        <f>_xlfn.IFNA(MATCH(S152,Achievements[[#All],[Column117]],0)+10,"")</f>
        <v/>
      </c>
      <c r="AT152" s="134" t="str">
        <f>_xlfn.IFNA(MATCH(T152,Achievements[[#All],[Column118]],0)+10,"")</f>
        <v/>
      </c>
      <c r="AU152" s="134" t="str">
        <f>_xlfn.IFNA(MATCH(U152,Achievements[[#All],[Column118]],0)+10,"")</f>
        <v/>
      </c>
      <c r="AV152" s="134" t="str">
        <f>_xlfn.IFNA(MATCH(V152,Achievements[[#All],[Column119]],0)+10,"")</f>
        <v/>
      </c>
      <c r="AW152" s="134" t="str">
        <f>_xlfn.IFNA(MATCH(W152,Achievements[[#All],[Column119]],0)+10,"")</f>
        <v/>
      </c>
      <c r="AX152" s="134" t="str">
        <f>_xlfn.IFNA(MATCH(X152,Achievements[[#All],[Column120]],0)+10,"")</f>
        <v/>
      </c>
      <c r="AY152" s="134" t="str">
        <f>_xlfn.IFNA(MATCH(Y152,Achievements[[#All],[Column120]],0)+10,"")</f>
        <v/>
      </c>
      <c r="AZ152" s="116" t="e">
        <f t="shared" ca="1" si="4"/>
        <v>#NAME?</v>
      </c>
      <c r="BA152" s="134" t="e" cm="1">
        <f t="array" aca="1" ref="BA152" ca="1">SplitValues("; ",Persons[[#This Row],[Column1]])</f>
        <v>#NAME?</v>
      </c>
      <c r="CA152" s="134" t="e">
        <f ca="1">_xlfn.IFNA(MATCH(BA152,Achievements[[#All],[Column1]],0)+10,"")</f>
        <v>#NAME?</v>
      </c>
      <c r="CB152" s="134" t="str">
        <f>_xlfn.IFNA(MATCH(BB152,Achievements[[#All],[Column1]],0)+10,"")</f>
        <v/>
      </c>
      <c r="CC152" s="134" t="str">
        <f>_xlfn.IFNA(MATCH(BC152,Achievements[[#All],[Column110]],0)+10,"")</f>
        <v/>
      </c>
      <c r="CD152" s="134" t="str">
        <f>_xlfn.IFNA(MATCH(BD152,Achievements[[#All],[Column110]],0)+10,"")</f>
        <v/>
      </c>
      <c r="CE152" s="134" t="str">
        <f>_xlfn.IFNA(MATCH(BE152,Achievements[[#All],[Column111]],0)+10,"")</f>
        <v/>
      </c>
      <c r="CF152" s="134" t="str">
        <f>_xlfn.IFNA(MATCH(BF152,Achievements[[#All],[Column111]],0)+10,"")</f>
        <v/>
      </c>
      <c r="CG152" s="134" t="str">
        <f>_xlfn.IFNA(MATCH(BG152,Achievements[[#All],[Column112]],0)+10,"")</f>
        <v/>
      </c>
      <c r="CH152" s="134" t="str">
        <f>_xlfn.IFNA(MATCH(BH152,Achievements[[#All],[Column112]],0)+10,"")</f>
        <v/>
      </c>
      <c r="CI152" s="134" t="str">
        <f>_xlfn.IFNA(MATCH(BI152,Achievements[[#All],[Column113]],0)+10,"")</f>
        <v/>
      </c>
      <c r="CJ152" s="134" t="str">
        <f>_xlfn.IFNA(MATCH(BJ152,Achievements[[#All],[Column113]],0)+10,"")</f>
        <v/>
      </c>
      <c r="CK152" s="134" t="str">
        <f>_xlfn.IFNA(MATCH(BK152,Achievements[[#All],[Column114]],0)+10,"")</f>
        <v/>
      </c>
      <c r="CL152" s="134" t="str">
        <f>_xlfn.IFNA(MATCH(BL152,Achievements[[#All],[Column114]],0)+10,"")</f>
        <v/>
      </c>
      <c r="CM152" s="134" t="str">
        <f>_xlfn.IFNA(MATCH(BM152,Achievements[[#All],[Column115]],0)+10,"")</f>
        <v/>
      </c>
      <c r="CN152" s="134" t="str">
        <f>_xlfn.IFNA(MATCH(BN152,Achievements[[#All],[Column115]],0)+10,"")</f>
        <v/>
      </c>
      <c r="CO152" s="134" t="str">
        <f>_xlfn.IFNA(MATCH(BO152,Achievements[[#All],[Column116]],0)+10,"")</f>
        <v/>
      </c>
      <c r="CP152" s="134" t="str">
        <f>_xlfn.IFNA(MATCH(BP152,Achievements[[#All],[Column116]],0)+10,"")</f>
        <v/>
      </c>
      <c r="CQ152" s="134" t="str">
        <f>_xlfn.IFNA(MATCH(BQ152,Achievements[[#All],[Column117]],0)+10,"")</f>
        <v/>
      </c>
      <c r="CR152" s="134" t="str">
        <f>_xlfn.IFNA(MATCH(BR152,Achievements[[#All],[Column117]],0)+10,"")</f>
        <v/>
      </c>
      <c r="CS152" s="134" t="str">
        <f>_xlfn.IFNA(MATCH(BS152,Achievements[[#All],[Column118]],0)+10,"")</f>
        <v/>
      </c>
      <c r="CT152" s="134" t="str">
        <f>_xlfn.IFNA(MATCH(BT152,Achievements[[#All],[Column118]],0)+10,"")</f>
        <v/>
      </c>
      <c r="CU152" s="134" t="str">
        <f>_xlfn.IFNA(MATCH(BU152,Achievements[[#All],[Column119]],0)+10,"")</f>
        <v/>
      </c>
      <c r="CV152" s="134" t="str">
        <f>_xlfn.IFNA(MATCH(BV152,Achievements[[#All],[Column119]],0)+10,"")</f>
        <v/>
      </c>
      <c r="CW152" s="134" t="str">
        <f>_xlfn.IFNA(MATCH(BW152,Achievements[[#All],[Column120]],0)+10,"")</f>
        <v/>
      </c>
      <c r="CX152" s="134" t="str">
        <f>_xlfn.IFNA(MATCH(BX152,Achievements[[#All],[Column120]],0)+10,"")</f>
        <v/>
      </c>
      <c r="CY152" s="134" t="str">
        <f>_xlfn.IFNA(MATCH(BY152,Achievements[[#All],[Column121]],0)+10,"")</f>
        <v/>
      </c>
      <c r="CZ152" s="118" t="e">
        <f t="shared" ca="1" si="5"/>
        <v>#NAME?</v>
      </c>
    </row>
    <row r="153" spans="1:104" x14ac:dyDescent="0.25">
      <c r="A153" t="e" cm="1">
        <f t="array" aca="1" ref="A153" ca="1">SplitValues("; ",#REF!)</f>
        <v>#NAME?</v>
      </c>
      <c r="AA153" t="e">
        <f ca="1">_xlfn.IFNA(MATCH(A153,Achievements[[#All],[Column1]],0)+11,"")</f>
        <v>#NAME?</v>
      </c>
      <c r="AB153" s="134" t="str">
        <f>_xlfn.IFNA(MATCH(B153,Achievements[[#All],[Column1]],0)+10,"")</f>
        <v/>
      </c>
      <c r="AC153" s="134" t="str">
        <f>_xlfn.IFNA(MATCH(C153,Achievements[[#All],[Column1]],0)+10,"")</f>
        <v/>
      </c>
      <c r="AD153" s="134" t="str">
        <f>_xlfn.IFNA(MATCH(D153,Achievements[[#All],[Column110]],0)+10,"")</f>
        <v/>
      </c>
      <c r="AE153" s="134" t="str">
        <f>_xlfn.IFNA(MATCH(E153,Achievements[[#All],[Column110]],0)+10,"")</f>
        <v/>
      </c>
      <c r="AF153" s="134" t="str">
        <f>_xlfn.IFNA(MATCH(F153,Achievements[[#All],[Column111]],0)+10,"")</f>
        <v/>
      </c>
      <c r="AG153" s="134" t="str">
        <f>_xlfn.IFNA(MATCH(G153,Achievements[[#All],[Column111]],0)+10,"")</f>
        <v/>
      </c>
      <c r="AH153" s="134" t="str">
        <f>_xlfn.IFNA(MATCH(H153,Achievements[[#All],[Column112]],0)+10,"")</f>
        <v/>
      </c>
      <c r="AI153" s="134" t="str">
        <f>_xlfn.IFNA(MATCH(I153,Achievements[[#All],[Column112]],0)+10,"")</f>
        <v/>
      </c>
      <c r="AJ153" s="134" t="str">
        <f>_xlfn.IFNA(MATCH(J153,Achievements[[#All],[Column113]],0)+10,"")</f>
        <v/>
      </c>
      <c r="AK153" s="134" t="str">
        <f>_xlfn.IFNA(MATCH(K153,Achievements[[#All],[Column113]],0)+10,"")</f>
        <v/>
      </c>
      <c r="AL153" s="134" t="str">
        <f>_xlfn.IFNA(MATCH(L153,Achievements[[#All],[Column114]],0)+10,"")</f>
        <v/>
      </c>
      <c r="AM153" s="134" t="str">
        <f>_xlfn.IFNA(MATCH(M153,Achievements[[#All],[Column114]],0)+10,"")</f>
        <v/>
      </c>
      <c r="AN153" s="134" t="str">
        <f>_xlfn.IFNA(MATCH(N153,Achievements[[#All],[Column115]],0)+10,"")</f>
        <v/>
      </c>
      <c r="AO153" s="134" t="str">
        <f>_xlfn.IFNA(MATCH(O153,Achievements[[#All],[Column115]],0)+10,"")</f>
        <v/>
      </c>
      <c r="AP153" s="134" t="str">
        <f>_xlfn.IFNA(MATCH(P153,Achievements[[#All],[Column116]],0)+10,"")</f>
        <v/>
      </c>
      <c r="AQ153" s="134" t="str">
        <f>_xlfn.IFNA(MATCH(Q153,Achievements[[#All],[Column116]],0)+10,"")</f>
        <v/>
      </c>
      <c r="AR153" s="134" t="str">
        <f>_xlfn.IFNA(MATCH(R153,Achievements[[#All],[Column117]],0)+10,"")</f>
        <v/>
      </c>
      <c r="AS153" s="134" t="str">
        <f>_xlfn.IFNA(MATCH(S153,Achievements[[#All],[Column117]],0)+10,"")</f>
        <v/>
      </c>
      <c r="AT153" s="134" t="str">
        <f>_xlfn.IFNA(MATCH(T153,Achievements[[#All],[Column118]],0)+10,"")</f>
        <v/>
      </c>
      <c r="AU153" s="134" t="str">
        <f>_xlfn.IFNA(MATCH(U153,Achievements[[#All],[Column118]],0)+10,"")</f>
        <v/>
      </c>
      <c r="AV153" s="134" t="str">
        <f>_xlfn.IFNA(MATCH(V153,Achievements[[#All],[Column119]],0)+10,"")</f>
        <v/>
      </c>
      <c r="AW153" s="134" t="str">
        <f>_xlfn.IFNA(MATCH(W153,Achievements[[#All],[Column119]],0)+10,"")</f>
        <v/>
      </c>
      <c r="AX153" s="134" t="str">
        <f>_xlfn.IFNA(MATCH(X153,Achievements[[#All],[Column120]],0)+10,"")</f>
        <v/>
      </c>
      <c r="AY153" s="134" t="str">
        <f>_xlfn.IFNA(MATCH(Y153,Achievements[[#All],[Column120]],0)+10,"")</f>
        <v/>
      </c>
      <c r="AZ153" s="116" t="e">
        <f t="shared" ca="1" si="4"/>
        <v>#NAME?</v>
      </c>
      <c r="BA153" s="134" t="e" cm="1">
        <f t="array" aca="1" ref="BA153" ca="1">SplitValues("; ",Persons[[#This Row],[Column1]])</f>
        <v>#NAME?</v>
      </c>
      <c r="CA153" s="134" t="e">
        <f ca="1">_xlfn.IFNA(MATCH(BA153,Achievements[[#All],[Column1]],0)+10,"")</f>
        <v>#NAME?</v>
      </c>
      <c r="CB153" s="134" t="str">
        <f>_xlfn.IFNA(MATCH(BB153,Achievements[[#All],[Column1]],0)+10,"")</f>
        <v/>
      </c>
      <c r="CC153" s="134" t="str">
        <f>_xlfn.IFNA(MATCH(BC153,Achievements[[#All],[Column110]],0)+10,"")</f>
        <v/>
      </c>
      <c r="CD153" s="134" t="str">
        <f>_xlfn.IFNA(MATCH(BD153,Achievements[[#All],[Column110]],0)+10,"")</f>
        <v/>
      </c>
      <c r="CE153" s="134" t="str">
        <f>_xlfn.IFNA(MATCH(BE153,Achievements[[#All],[Column111]],0)+10,"")</f>
        <v/>
      </c>
      <c r="CF153" s="134" t="str">
        <f>_xlfn.IFNA(MATCH(BF153,Achievements[[#All],[Column111]],0)+10,"")</f>
        <v/>
      </c>
      <c r="CG153" s="134" t="str">
        <f>_xlfn.IFNA(MATCH(BG153,Achievements[[#All],[Column112]],0)+10,"")</f>
        <v/>
      </c>
      <c r="CH153" s="134" t="str">
        <f>_xlfn.IFNA(MATCH(BH153,Achievements[[#All],[Column112]],0)+10,"")</f>
        <v/>
      </c>
      <c r="CI153" s="134" t="str">
        <f>_xlfn.IFNA(MATCH(BI153,Achievements[[#All],[Column113]],0)+10,"")</f>
        <v/>
      </c>
      <c r="CJ153" s="134" t="str">
        <f>_xlfn.IFNA(MATCH(BJ153,Achievements[[#All],[Column113]],0)+10,"")</f>
        <v/>
      </c>
      <c r="CK153" s="134" t="str">
        <f>_xlfn.IFNA(MATCH(BK153,Achievements[[#All],[Column114]],0)+10,"")</f>
        <v/>
      </c>
      <c r="CL153" s="134" t="str">
        <f>_xlfn.IFNA(MATCH(BL153,Achievements[[#All],[Column114]],0)+10,"")</f>
        <v/>
      </c>
      <c r="CM153" s="134" t="str">
        <f>_xlfn.IFNA(MATCH(BM153,Achievements[[#All],[Column115]],0)+10,"")</f>
        <v/>
      </c>
      <c r="CN153" s="134" t="str">
        <f>_xlfn.IFNA(MATCH(BN153,Achievements[[#All],[Column115]],0)+10,"")</f>
        <v/>
      </c>
      <c r="CO153" s="134" t="str">
        <f>_xlfn.IFNA(MATCH(BO153,Achievements[[#All],[Column116]],0)+10,"")</f>
        <v/>
      </c>
      <c r="CP153" s="134" t="str">
        <f>_xlfn.IFNA(MATCH(BP153,Achievements[[#All],[Column116]],0)+10,"")</f>
        <v/>
      </c>
      <c r="CQ153" s="134" t="str">
        <f>_xlfn.IFNA(MATCH(BQ153,Achievements[[#All],[Column117]],0)+10,"")</f>
        <v/>
      </c>
      <c r="CR153" s="134" t="str">
        <f>_xlfn.IFNA(MATCH(BR153,Achievements[[#All],[Column117]],0)+10,"")</f>
        <v/>
      </c>
      <c r="CS153" s="134" t="str">
        <f>_xlfn.IFNA(MATCH(BS153,Achievements[[#All],[Column118]],0)+10,"")</f>
        <v/>
      </c>
      <c r="CT153" s="134" t="str">
        <f>_xlfn.IFNA(MATCH(BT153,Achievements[[#All],[Column118]],0)+10,"")</f>
        <v/>
      </c>
      <c r="CU153" s="134" t="str">
        <f>_xlfn.IFNA(MATCH(BU153,Achievements[[#All],[Column119]],0)+10,"")</f>
        <v/>
      </c>
      <c r="CV153" s="134" t="str">
        <f>_xlfn.IFNA(MATCH(BV153,Achievements[[#All],[Column119]],0)+10,"")</f>
        <v/>
      </c>
      <c r="CW153" s="134" t="str">
        <f>_xlfn.IFNA(MATCH(BW153,Achievements[[#All],[Column120]],0)+10,"")</f>
        <v/>
      </c>
      <c r="CX153" s="134" t="str">
        <f>_xlfn.IFNA(MATCH(BX153,Achievements[[#All],[Column120]],0)+10,"")</f>
        <v/>
      </c>
      <c r="CY153" s="134" t="str">
        <f>_xlfn.IFNA(MATCH(BY153,Achievements[[#All],[Column121]],0)+10,"")</f>
        <v/>
      </c>
      <c r="CZ153" s="118" t="e">
        <f t="shared" ca="1" si="5"/>
        <v>#NAME?</v>
      </c>
    </row>
    <row r="154" spans="1:104" x14ac:dyDescent="0.25">
      <c r="A154" t="e" cm="1">
        <f t="array" aca="1" ref="A154" ca="1">SplitValues("; ",#REF!)</f>
        <v>#NAME?</v>
      </c>
      <c r="AA154" t="e">
        <f ca="1">_xlfn.IFNA(MATCH(A154,Achievements[[#All],[Column1]],0)+11,"")</f>
        <v>#NAME?</v>
      </c>
      <c r="AB154" s="134" t="str">
        <f>_xlfn.IFNA(MATCH(B154,Achievements[[#All],[Column1]],0)+10,"")</f>
        <v/>
      </c>
      <c r="AC154" s="134" t="str">
        <f>_xlfn.IFNA(MATCH(C154,Achievements[[#All],[Column1]],0)+10,"")</f>
        <v/>
      </c>
      <c r="AD154" s="134" t="str">
        <f>_xlfn.IFNA(MATCH(D154,Achievements[[#All],[Column110]],0)+10,"")</f>
        <v/>
      </c>
      <c r="AE154" s="134" t="str">
        <f>_xlfn.IFNA(MATCH(E154,Achievements[[#All],[Column110]],0)+10,"")</f>
        <v/>
      </c>
      <c r="AF154" s="134" t="str">
        <f>_xlfn.IFNA(MATCH(F154,Achievements[[#All],[Column111]],0)+10,"")</f>
        <v/>
      </c>
      <c r="AG154" s="134" t="str">
        <f>_xlfn.IFNA(MATCH(G154,Achievements[[#All],[Column111]],0)+10,"")</f>
        <v/>
      </c>
      <c r="AH154" s="134" t="str">
        <f>_xlfn.IFNA(MATCH(H154,Achievements[[#All],[Column112]],0)+10,"")</f>
        <v/>
      </c>
      <c r="AI154" s="134" t="str">
        <f>_xlfn.IFNA(MATCH(I154,Achievements[[#All],[Column112]],0)+10,"")</f>
        <v/>
      </c>
      <c r="AJ154" s="134" t="str">
        <f>_xlfn.IFNA(MATCH(J154,Achievements[[#All],[Column113]],0)+10,"")</f>
        <v/>
      </c>
      <c r="AK154" s="134" t="str">
        <f>_xlfn.IFNA(MATCH(K154,Achievements[[#All],[Column113]],0)+10,"")</f>
        <v/>
      </c>
      <c r="AL154" s="134" t="str">
        <f>_xlfn.IFNA(MATCH(L154,Achievements[[#All],[Column114]],0)+10,"")</f>
        <v/>
      </c>
      <c r="AM154" s="134" t="str">
        <f>_xlfn.IFNA(MATCH(M154,Achievements[[#All],[Column114]],0)+10,"")</f>
        <v/>
      </c>
      <c r="AN154" s="134" t="str">
        <f>_xlfn.IFNA(MATCH(N154,Achievements[[#All],[Column115]],0)+10,"")</f>
        <v/>
      </c>
      <c r="AO154" s="134" t="str">
        <f>_xlfn.IFNA(MATCH(O154,Achievements[[#All],[Column115]],0)+10,"")</f>
        <v/>
      </c>
      <c r="AP154" s="134" t="str">
        <f>_xlfn.IFNA(MATCH(P154,Achievements[[#All],[Column116]],0)+10,"")</f>
        <v/>
      </c>
      <c r="AQ154" s="134" t="str">
        <f>_xlfn.IFNA(MATCH(Q154,Achievements[[#All],[Column116]],0)+10,"")</f>
        <v/>
      </c>
      <c r="AR154" s="134" t="str">
        <f>_xlfn.IFNA(MATCH(R154,Achievements[[#All],[Column117]],0)+10,"")</f>
        <v/>
      </c>
      <c r="AS154" s="134" t="str">
        <f>_xlfn.IFNA(MATCH(S154,Achievements[[#All],[Column117]],0)+10,"")</f>
        <v/>
      </c>
      <c r="AT154" s="134" t="str">
        <f>_xlfn.IFNA(MATCH(T154,Achievements[[#All],[Column118]],0)+10,"")</f>
        <v/>
      </c>
      <c r="AU154" s="134" t="str">
        <f>_xlfn.IFNA(MATCH(U154,Achievements[[#All],[Column118]],0)+10,"")</f>
        <v/>
      </c>
      <c r="AV154" s="134" t="str">
        <f>_xlfn.IFNA(MATCH(V154,Achievements[[#All],[Column119]],0)+10,"")</f>
        <v/>
      </c>
      <c r="AW154" s="134" t="str">
        <f>_xlfn.IFNA(MATCH(W154,Achievements[[#All],[Column119]],0)+10,"")</f>
        <v/>
      </c>
      <c r="AX154" s="134" t="str">
        <f>_xlfn.IFNA(MATCH(X154,Achievements[[#All],[Column120]],0)+10,"")</f>
        <v/>
      </c>
      <c r="AY154" s="134" t="str">
        <f>_xlfn.IFNA(MATCH(Y154,Achievements[[#All],[Column120]],0)+10,"")</f>
        <v/>
      </c>
      <c r="AZ154" s="116" t="e">
        <f t="shared" ca="1" si="4"/>
        <v>#NAME?</v>
      </c>
      <c r="BA154" s="134" t="e" cm="1">
        <f t="array" aca="1" ref="BA154" ca="1">SplitValues("; ",Persons[[#This Row],[Column1]])</f>
        <v>#NAME?</v>
      </c>
      <c r="CA154" s="134" t="e">
        <f ca="1">_xlfn.IFNA(MATCH(BA154,Achievements[[#All],[Column1]],0)+10,"")</f>
        <v>#NAME?</v>
      </c>
      <c r="CB154" s="134" t="str">
        <f>_xlfn.IFNA(MATCH(BB154,Achievements[[#All],[Column1]],0)+10,"")</f>
        <v/>
      </c>
      <c r="CC154" s="134" t="str">
        <f>_xlfn.IFNA(MATCH(BC154,Achievements[[#All],[Column110]],0)+10,"")</f>
        <v/>
      </c>
      <c r="CD154" s="134" t="str">
        <f>_xlfn.IFNA(MATCH(BD154,Achievements[[#All],[Column110]],0)+10,"")</f>
        <v/>
      </c>
      <c r="CE154" s="134" t="str">
        <f>_xlfn.IFNA(MATCH(BE154,Achievements[[#All],[Column111]],0)+10,"")</f>
        <v/>
      </c>
      <c r="CF154" s="134" t="str">
        <f>_xlfn.IFNA(MATCH(BF154,Achievements[[#All],[Column111]],0)+10,"")</f>
        <v/>
      </c>
      <c r="CG154" s="134" t="str">
        <f>_xlfn.IFNA(MATCH(BG154,Achievements[[#All],[Column112]],0)+10,"")</f>
        <v/>
      </c>
      <c r="CH154" s="134" t="str">
        <f>_xlfn.IFNA(MATCH(BH154,Achievements[[#All],[Column112]],0)+10,"")</f>
        <v/>
      </c>
      <c r="CI154" s="134" t="str">
        <f>_xlfn.IFNA(MATCH(BI154,Achievements[[#All],[Column113]],0)+10,"")</f>
        <v/>
      </c>
      <c r="CJ154" s="134" t="str">
        <f>_xlfn.IFNA(MATCH(BJ154,Achievements[[#All],[Column113]],0)+10,"")</f>
        <v/>
      </c>
      <c r="CK154" s="134" t="str">
        <f>_xlfn.IFNA(MATCH(BK154,Achievements[[#All],[Column114]],0)+10,"")</f>
        <v/>
      </c>
      <c r="CL154" s="134" t="str">
        <f>_xlfn.IFNA(MATCH(BL154,Achievements[[#All],[Column114]],0)+10,"")</f>
        <v/>
      </c>
      <c r="CM154" s="134" t="str">
        <f>_xlfn.IFNA(MATCH(BM154,Achievements[[#All],[Column115]],0)+10,"")</f>
        <v/>
      </c>
      <c r="CN154" s="134" t="str">
        <f>_xlfn.IFNA(MATCH(BN154,Achievements[[#All],[Column115]],0)+10,"")</f>
        <v/>
      </c>
      <c r="CO154" s="134" t="str">
        <f>_xlfn.IFNA(MATCH(BO154,Achievements[[#All],[Column116]],0)+10,"")</f>
        <v/>
      </c>
      <c r="CP154" s="134" t="str">
        <f>_xlfn.IFNA(MATCH(BP154,Achievements[[#All],[Column116]],0)+10,"")</f>
        <v/>
      </c>
      <c r="CQ154" s="134" t="str">
        <f>_xlfn.IFNA(MATCH(BQ154,Achievements[[#All],[Column117]],0)+10,"")</f>
        <v/>
      </c>
      <c r="CR154" s="134" t="str">
        <f>_xlfn.IFNA(MATCH(BR154,Achievements[[#All],[Column117]],0)+10,"")</f>
        <v/>
      </c>
      <c r="CS154" s="134" t="str">
        <f>_xlfn.IFNA(MATCH(BS154,Achievements[[#All],[Column118]],0)+10,"")</f>
        <v/>
      </c>
      <c r="CT154" s="134" t="str">
        <f>_xlfn.IFNA(MATCH(BT154,Achievements[[#All],[Column118]],0)+10,"")</f>
        <v/>
      </c>
      <c r="CU154" s="134" t="str">
        <f>_xlfn.IFNA(MATCH(BU154,Achievements[[#All],[Column119]],0)+10,"")</f>
        <v/>
      </c>
      <c r="CV154" s="134" t="str">
        <f>_xlfn.IFNA(MATCH(BV154,Achievements[[#All],[Column119]],0)+10,"")</f>
        <v/>
      </c>
      <c r="CW154" s="134" t="str">
        <f>_xlfn.IFNA(MATCH(BW154,Achievements[[#All],[Column120]],0)+10,"")</f>
        <v/>
      </c>
      <c r="CX154" s="134" t="str">
        <f>_xlfn.IFNA(MATCH(BX154,Achievements[[#All],[Column120]],0)+10,"")</f>
        <v/>
      </c>
      <c r="CY154" s="134" t="str">
        <f>_xlfn.IFNA(MATCH(BY154,Achievements[[#All],[Column121]],0)+10,"")</f>
        <v/>
      </c>
      <c r="CZ154" s="118" t="e">
        <f t="shared" ca="1" si="5"/>
        <v>#NAME?</v>
      </c>
    </row>
    <row r="155" spans="1:104" x14ac:dyDescent="0.25">
      <c r="A155" t="e" cm="1">
        <f t="array" aca="1" ref="A155" ca="1">SplitValues("; ",#REF!)</f>
        <v>#NAME?</v>
      </c>
      <c r="AA155" t="e">
        <f ca="1">_xlfn.IFNA(MATCH(A155,Achievements[[#All],[Column1]],0)+11,"")</f>
        <v>#NAME?</v>
      </c>
      <c r="AB155" s="134" t="str">
        <f>_xlfn.IFNA(MATCH(B155,Achievements[[#All],[Column1]],0)+10,"")</f>
        <v/>
      </c>
      <c r="AC155" s="134" t="str">
        <f>_xlfn.IFNA(MATCH(C155,Achievements[[#All],[Column1]],0)+10,"")</f>
        <v/>
      </c>
      <c r="AD155" s="134" t="str">
        <f>_xlfn.IFNA(MATCH(D155,Achievements[[#All],[Column110]],0)+10,"")</f>
        <v/>
      </c>
      <c r="AE155" s="134" t="str">
        <f>_xlfn.IFNA(MATCH(E155,Achievements[[#All],[Column110]],0)+10,"")</f>
        <v/>
      </c>
      <c r="AF155" s="134" t="str">
        <f>_xlfn.IFNA(MATCH(F155,Achievements[[#All],[Column111]],0)+10,"")</f>
        <v/>
      </c>
      <c r="AG155" s="134" t="str">
        <f>_xlfn.IFNA(MATCH(G155,Achievements[[#All],[Column111]],0)+10,"")</f>
        <v/>
      </c>
      <c r="AH155" s="134" t="str">
        <f>_xlfn.IFNA(MATCH(H155,Achievements[[#All],[Column112]],0)+10,"")</f>
        <v/>
      </c>
      <c r="AI155" s="134" t="str">
        <f>_xlfn.IFNA(MATCH(I155,Achievements[[#All],[Column112]],0)+10,"")</f>
        <v/>
      </c>
      <c r="AJ155" s="134" t="str">
        <f>_xlfn.IFNA(MATCH(J155,Achievements[[#All],[Column113]],0)+10,"")</f>
        <v/>
      </c>
      <c r="AK155" s="134" t="str">
        <f>_xlfn.IFNA(MATCH(K155,Achievements[[#All],[Column113]],0)+10,"")</f>
        <v/>
      </c>
      <c r="AL155" s="134" t="str">
        <f>_xlfn.IFNA(MATCH(L155,Achievements[[#All],[Column114]],0)+10,"")</f>
        <v/>
      </c>
      <c r="AM155" s="134" t="str">
        <f>_xlfn.IFNA(MATCH(M155,Achievements[[#All],[Column114]],0)+10,"")</f>
        <v/>
      </c>
      <c r="AN155" s="134" t="str">
        <f>_xlfn.IFNA(MATCH(N155,Achievements[[#All],[Column115]],0)+10,"")</f>
        <v/>
      </c>
      <c r="AO155" s="134" t="str">
        <f>_xlfn.IFNA(MATCH(O155,Achievements[[#All],[Column115]],0)+10,"")</f>
        <v/>
      </c>
      <c r="AP155" s="134" t="str">
        <f>_xlfn.IFNA(MATCH(P155,Achievements[[#All],[Column116]],0)+10,"")</f>
        <v/>
      </c>
      <c r="AQ155" s="134" t="str">
        <f>_xlfn.IFNA(MATCH(Q155,Achievements[[#All],[Column116]],0)+10,"")</f>
        <v/>
      </c>
      <c r="AR155" s="134" t="str">
        <f>_xlfn.IFNA(MATCH(R155,Achievements[[#All],[Column117]],0)+10,"")</f>
        <v/>
      </c>
      <c r="AS155" s="134" t="str">
        <f>_xlfn.IFNA(MATCH(S155,Achievements[[#All],[Column117]],0)+10,"")</f>
        <v/>
      </c>
      <c r="AT155" s="134" t="str">
        <f>_xlfn.IFNA(MATCH(T155,Achievements[[#All],[Column118]],0)+10,"")</f>
        <v/>
      </c>
      <c r="AU155" s="134" t="str">
        <f>_xlfn.IFNA(MATCH(U155,Achievements[[#All],[Column118]],0)+10,"")</f>
        <v/>
      </c>
      <c r="AV155" s="134" t="str">
        <f>_xlfn.IFNA(MATCH(V155,Achievements[[#All],[Column119]],0)+10,"")</f>
        <v/>
      </c>
      <c r="AW155" s="134" t="str">
        <f>_xlfn.IFNA(MATCH(W155,Achievements[[#All],[Column119]],0)+10,"")</f>
        <v/>
      </c>
      <c r="AX155" s="134" t="str">
        <f>_xlfn.IFNA(MATCH(X155,Achievements[[#All],[Column120]],0)+10,"")</f>
        <v/>
      </c>
      <c r="AY155" s="134" t="str">
        <f>_xlfn.IFNA(MATCH(Y155,Achievements[[#All],[Column120]],0)+10,"")</f>
        <v/>
      </c>
      <c r="AZ155" s="116" t="e">
        <f t="shared" ca="1" si="4"/>
        <v>#NAME?</v>
      </c>
      <c r="BA155" s="134" t="e" cm="1">
        <f t="array" aca="1" ref="BA155" ca="1">SplitValues("; ",Persons[[#This Row],[Column1]])</f>
        <v>#NAME?</v>
      </c>
      <c r="CA155" s="134" t="e">
        <f ca="1">_xlfn.IFNA(MATCH(BA155,Achievements[[#All],[Column1]],0)+10,"")</f>
        <v>#NAME?</v>
      </c>
      <c r="CB155" s="134" t="str">
        <f>_xlfn.IFNA(MATCH(BB155,Achievements[[#All],[Column1]],0)+10,"")</f>
        <v/>
      </c>
      <c r="CC155" s="134" t="str">
        <f>_xlfn.IFNA(MATCH(BC155,Achievements[[#All],[Column110]],0)+10,"")</f>
        <v/>
      </c>
      <c r="CD155" s="134" t="str">
        <f>_xlfn.IFNA(MATCH(BD155,Achievements[[#All],[Column110]],0)+10,"")</f>
        <v/>
      </c>
      <c r="CE155" s="134" t="str">
        <f>_xlfn.IFNA(MATCH(BE155,Achievements[[#All],[Column111]],0)+10,"")</f>
        <v/>
      </c>
      <c r="CF155" s="134" t="str">
        <f>_xlfn.IFNA(MATCH(BF155,Achievements[[#All],[Column111]],0)+10,"")</f>
        <v/>
      </c>
      <c r="CG155" s="134" t="str">
        <f>_xlfn.IFNA(MATCH(BG155,Achievements[[#All],[Column112]],0)+10,"")</f>
        <v/>
      </c>
      <c r="CH155" s="134" t="str">
        <f>_xlfn.IFNA(MATCH(BH155,Achievements[[#All],[Column112]],0)+10,"")</f>
        <v/>
      </c>
      <c r="CI155" s="134" t="str">
        <f>_xlfn.IFNA(MATCH(BI155,Achievements[[#All],[Column113]],0)+10,"")</f>
        <v/>
      </c>
      <c r="CJ155" s="134" t="str">
        <f>_xlfn.IFNA(MATCH(BJ155,Achievements[[#All],[Column113]],0)+10,"")</f>
        <v/>
      </c>
      <c r="CK155" s="134" t="str">
        <f>_xlfn.IFNA(MATCH(BK155,Achievements[[#All],[Column114]],0)+10,"")</f>
        <v/>
      </c>
      <c r="CL155" s="134" t="str">
        <f>_xlfn.IFNA(MATCH(BL155,Achievements[[#All],[Column114]],0)+10,"")</f>
        <v/>
      </c>
      <c r="CM155" s="134" t="str">
        <f>_xlfn.IFNA(MATCH(BM155,Achievements[[#All],[Column115]],0)+10,"")</f>
        <v/>
      </c>
      <c r="CN155" s="134" t="str">
        <f>_xlfn.IFNA(MATCH(BN155,Achievements[[#All],[Column115]],0)+10,"")</f>
        <v/>
      </c>
      <c r="CO155" s="134" t="str">
        <f>_xlfn.IFNA(MATCH(BO155,Achievements[[#All],[Column116]],0)+10,"")</f>
        <v/>
      </c>
      <c r="CP155" s="134" t="str">
        <f>_xlfn.IFNA(MATCH(BP155,Achievements[[#All],[Column116]],0)+10,"")</f>
        <v/>
      </c>
      <c r="CQ155" s="134" t="str">
        <f>_xlfn.IFNA(MATCH(BQ155,Achievements[[#All],[Column117]],0)+10,"")</f>
        <v/>
      </c>
      <c r="CR155" s="134" t="str">
        <f>_xlfn.IFNA(MATCH(BR155,Achievements[[#All],[Column117]],0)+10,"")</f>
        <v/>
      </c>
      <c r="CS155" s="134" t="str">
        <f>_xlfn.IFNA(MATCH(BS155,Achievements[[#All],[Column118]],0)+10,"")</f>
        <v/>
      </c>
      <c r="CT155" s="134" t="str">
        <f>_xlfn.IFNA(MATCH(BT155,Achievements[[#All],[Column118]],0)+10,"")</f>
        <v/>
      </c>
      <c r="CU155" s="134" t="str">
        <f>_xlfn.IFNA(MATCH(BU155,Achievements[[#All],[Column119]],0)+10,"")</f>
        <v/>
      </c>
      <c r="CV155" s="134" t="str">
        <f>_xlfn.IFNA(MATCH(BV155,Achievements[[#All],[Column119]],0)+10,"")</f>
        <v/>
      </c>
      <c r="CW155" s="134" t="str">
        <f>_xlfn.IFNA(MATCH(BW155,Achievements[[#All],[Column120]],0)+10,"")</f>
        <v/>
      </c>
      <c r="CX155" s="134" t="str">
        <f>_xlfn.IFNA(MATCH(BX155,Achievements[[#All],[Column120]],0)+10,"")</f>
        <v/>
      </c>
      <c r="CY155" s="134" t="str">
        <f>_xlfn.IFNA(MATCH(BY155,Achievements[[#All],[Column121]],0)+10,"")</f>
        <v/>
      </c>
      <c r="CZ155" s="118" t="e">
        <f t="shared" ca="1" si="5"/>
        <v>#NAME?</v>
      </c>
    </row>
    <row r="156" spans="1:104" x14ac:dyDescent="0.25">
      <c r="A156" t="e" cm="1">
        <f t="array" aca="1" ref="A156" ca="1">SplitValues("; ",#REF!)</f>
        <v>#NAME?</v>
      </c>
      <c r="AA156" t="e">
        <f ca="1">_xlfn.IFNA(MATCH(A156,Achievements[[#All],[Column1]],0)+11,"")</f>
        <v>#NAME?</v>
      </c>
      <c r="AB156" s="134" t="str">
        <f>_xlfn.IFNA(MATCH(B156,Achievements[[#All],[Column1]],0)+10,"")</f>
        <v/>
      </c>
      <c r="AC156" s="134" t="str">
        <f>_xlfn.IFNA(MATCH(C156,Achievements[[#All],[Column1]],0)+10,"")</f>
        <v/>
      </c>
      <c r="AD156" s="134" t="str">
        <f>_xlfn.IFNA(MATCH(D156,Achievements[[#All],[Column110]],0)+10,"")</f>
        <v/>
      </c>
      <c r="AE156" s="134" t="str">
        <f>_xlfn.IFNA(MATCH(E156,Achievements[[#All],[Column110]],0)+10,"")</f>
        <v/>
      </c>
      <c r="AF156" s="134" t="str">
        <f>_xlfn.IFNA(MATCH(F156,Achievements[[#All],[Column111]],0)+10,"")</f>
        <v/>
      </c>
      <c r="AG156" s="134" t="str">
        <f>_xlfn.IFNA(MATCH(G156,Achievements[[#All],[Column111]],0)+10,"")</f>
        <v/>
      </c>
      <c r="AH156" s="134" t="str">
        <f>_xlfn.IFNA(MATCH(H156,Achievements[[#All],[Column112]],0)+10,"")</f>
        <v/>
      </c>
      <c r="AI156" s="134" t="str">
        <f>_xlfn.IFNA(MATCH(I156,Achievements[[#All],[Column112]],0)+10,"")</f>
        <v/>
      </c>
      <c r="AJ156" s="134" t="str">
        <f>_xlfn.IFNA(MATCH(J156,Achievements[[#All],[Column113]],0)+10,"")</f>
        <v/>
      </c>
      <c r="AK156" s="134" t="str">
        <f>_xlfn.IFNA(MATCH(K156,Achievements[[#All],[Column113]],0)+10,"")</f>
        <v/>
      </c>
      <c r="AL156" s="134" t="str">
        <f>_xlfn.IFNA(MATCH(L156,Achievements[[#All],[Column114]],0)+10,"")</f>
        <v/>
      </c>
      <c r="AM156" s="134" t="str">
        <f>_xlfn.IFNA(MATCH(M156,Achievements[[#All],[Column114]],0)+10,"")</f>
        <v/>
      </c>
      <c r="AN156" s="134" t="str">
        <f>_xlfn.IFNA(MATCH(N156,Achievements[[#All],[Column115]],0)+10,"")</f>
        <v/>
      </c>
      <c r="AO156" s="134" t="str">
        <f>_xlfn.IFNA(MATCH(O156,Achievements[[#All],[Column115]],0)+10,"")</f>
        <v/>
      </c>
      <c r="AP156" s="134" t="str">
        <f>_xlfn.IFNA(MATCH(P156,Achievements[[#All],[Column116]],0)+10,"")</f>
        <v/>
      </c>
      <c r="AQ156" s="134" t="str">
        <f>_xlfn.IFNA(MATCH(Q156,Achievements[[#All],[Column116]],0)+10,"")</f>
        <v/>
      </c>
      <c r="AR156" s="134" t="str">
        <f>_xlfn.IFNA(MATCH(R156,Achievements[[#All],[Column117]],0)+10,"")</f>
        <v/>
      </c>
      <c r="AS156" s="134" t="str">
        <f>_xlfn.IFNA(MATCH(S156,Achievements[[#All],[Column117]],0)+10,"")</f>
        <v/>
      </c>
      <c r="AT156" s="134" t="str">
        <f>_xlfn.IFNA(MATCH(T156,Achievements[[#All],[Column118]],0)+10,"")</f>
        <v/>
      </c>
      <c r="AU156" s="134" t="str">
        <f>_xlfn.IFNA(MATCH(U156,Achievements[[#All],[Column118]],0)+10,"")</f>
        <v/>
      </c>
      <c r="AV156" s="134" t="str">
        <f>_xlfn.IFNA(MATCH(V156,Achievements[[#All],[Column119]],0)+10,"")</f>
        <v/>
      </c>
      <c r="AW156" s="134" t="str">
        <f>_xlfn.IFNA(MATCH(W156,Achievements[[#All],[Column119]],0)+10,"")</f>
        <v/>
      </c>
      <c r="AX156" s="134" t="str">
        <f>_xlfn.IFNA(MATCH(X156,Achievements[[#All],[Column120]],0)+10,"")</f>
        <v/>
      </c>
      <c r="AY156" s="134" t="str">
        <f>_xlfn.IFNA(MATCH(Y156,Achievements[[#All],[Column120]],0)+10,"")</f>
        <v/>
      </c>
      <c r="AZ156" s="116" t="e">
        <f t="shared" ca="1" si="4"/>
        <v>#NAME?</v>
      </c>
      <c r="BA156" s="134" t="e" cm="1">
        <f t="array" aca="1" ref="BA156" ca="1">SplitValues("; ",Persons[[#This Row],[Column1]])</f>
        <v>#NAME?</v>
      </c>
      <c r="CA156" s="134" t="e">
        <f ca="1">_xlfn.IFNA(MATCH(BA156,Achievements[[#All],[Column1]],0)+10,"")</f>
        <v>#NAME?</v>
      </c>
      <c r="CB156" s="134" t="str">
        <f>_xlfn.IFNA(MATCH(BB156,Achievements[[#All],[Column1]],0)+10,"")</f>
        <v/>
      </c>
      <c r="CC156" s="134" t="str">
        <f>_xlfn.IFNA(MATCH(BC156,Achievements[[#All],[Column110]],0)+10,"")</f>
        <v/>
      </c>
      <c r="CD156" s="134" t="str">
        <f>_xlfn.IFNA(MATCH(BD156,Achievements[[#All],[Column110]],0)+10,"")</f>
        <v/>
      </c>
      <c r="CE156" s="134" t="str">
        <f>_xlfn.IFNA(MATCH(BE156,Achievements[[#All],[Column111]],0)+10,"")</f>
        <v/>
      </c>
      <c r="CF156" s="134" t="str">
        <f>_xlfn.IFNA(MATCH(BF156,Achievements[[#All],[Column111]],0)+10,"")</f>
        <v/>
      </c>
      <c r="CG156" s="134" t="str">
        <f>_xlfn.IFNA(MATCH(BG156,Achievements[[#All],[Column112]],0)+10,"")</f>
        <v/>
      </c>
      <c r="CH156" s="134" t="str">
        <f>_xlfn.IFNA(MATCH(BH156,Achievements[[#All],[Column112]],0)+10,"")</f>
        <v/>
      </c>
      <c r="CI156" s="134" t="str">
        <f>_xlfn.IFNA(MATCH(BI156,Achievements[[#All],[Column113]],0)+10,"")</f>
        <v/>
      </c>
      <c r="CJ156" s="134" t="str">
        <f>_xlfn.IFNA(MATCH(BJ156,Achievements[[#All],[Column113]],0)+10,"")</f>
        <v/>
      </c>
      <c r="CK156" s="134" t="str">
        <f>_xlfn.IFNA(MATCH(BK156,Achievements[[#All],[Column114]],0)+10,"")</f>
        <v/>
      </c>
      <c r="CL156" s="134" t="str">
        <f>_xlfn.IFNA(MATCH(BL156,Achievements[[#All],[Column114]],0)+10,"")</f>
        <v/>
      </c>
      <c r="CM156" s="134" t="str">
        <f>_xlfn.IFNA(MATCH(BM156,Achievements[[#All],[Column115]],0)+10,"")</f>
        <v/>
      </c>
      <c r="CN156" s="134" t="str">
        <f>_xlfn.IFNA(MATCH(BN156,Achievements[[#All],[Column115]],0)+10,"")</f>
        <v/>
      </c>
      <c r="CO156" s="134" t="str">
        <f>_xlfn.IFNA(MATCH(BO156,Achievements[[#All],[Column116]],0)+10,"")</f>
        <v/>
      </c>
      <c r="CP156" s="134" t="str">
        <f>_xlfn.IFNA(MATCH(BP156,Achievements[[#All],[Column116]],0)+10,"")</f>
        <v/>
      </c>
      <c r="CQ156" s="134" t="str">
        <f>_xlfn.IFNA(MATCH(BQ156,Achievements[[#All],[Column117]],0)+10,"")</f>
        <v/>
      </c>
      <c r="CR156" s="134" t="str">
        <f>_xlfn.IFNA(MATCH(BR156,Achievements[[#All],[Column117]],0)+10,"")</f>
        <v/>
      </c>
      <c r="CS156" s="134" t="str">
        <f>_xlfn.IFNA(MATCH(BS156,Achievements[[#All],[Column118]],0)+10,"")</f>
        <v/>
      </c>
      <c r="CT156" s="134" t="str">
        <f>_xlfn.IFNA(MATCH(BT156,Achievements[[#All],[Column118]],0)+10,"")</f>
        <v/>
      </c>
      <c r="CU156" s="134" t="str">
        <f>_xlfn.IFNA(MATCH(BU156,Achievements[[#All],[Column119]],0)+10,"")</f>
        <v/>
      </c>
      <c r="CV156" s="134" t="str">
        <f>_xlfn.IFNA(MATCH(BV156,Achievements[[#All],[Column119]],0)+10,"")</f>
        <v/>
      </c>
      <c r="CW156" s="134" t="str">
        <f>_xlfn.IFNA(MATCH(BW156,Achievements[[#All],[Column120]],0)+10,"")</f>
        <v/>
      </c>
      <c r="CX156" s="134" t="str">
        <f>_xlfn.IFNA(MATCH(BX156,Achievements[[#All],[Column120]],0)+10,"")</f>
        <v/>
      </c>
      <c r="CY156" s="134" t="str">
        <f>_xlfn.IFNA(MATCH(BY156,Achievements[[#All],[Column121]],0)+10,"")</f>
        <v/>
      </c>
      <c r="CZ156" s="118" t="e">
        <f t="shared" ca="1" si="5"/>
        <v>#NAME?</v>
      </c>
    </row>
    <row r="157" spans="1:104" x14ac:dyDescent="0.25">
      <c r="A157" t="e" cm="1">
        <f t="array" aca="1" ref="A157" ca="1">SplitValues("; ",#REF!)</f>
        <v>#NAME?</v>
      </c>
      <c r="AA157" t="e">
        <f ca="1">_xlfn.IFNA(MATCH(A157,Achievements[[#All],[Column1]],0)+11,"")</f>
        <v>#NAME?</v>
      </c>
      <c r="AB157" s="134" t="str">
        <f>_xlfn.IFNA(MATCH(B157,Achievements[[#All],[Column1]],0)+10,"")</f>
        <v/>
      </c>
      <c r="AC157" s="134" t="str">
        <f>_xlfn.IFNA(MATCH(C157,Achievements[[#All],[Column1]],0)+10,"")</f>
        <v/>
      </c>
      <c r="AD157" s="134" t="str">
        <f>_xlfn.IFNA(MATCH(D157,Achievements[[#All],[Column110]],0)+10,"")</f>
        <v/>
      </c>
      <c r="AE157" s="134" t="str">
        <f>_xlfn.IFNA(MATCH(E157,Achievements[[#All],[Column110]],0)+10,"")</f>
        <v/>
      </c>
      <c r="AF157" s="134" t="str">
        <f>_xlfn.IFNA(MATCH(F157,Achievements[[#All],[Column111]],0)+10,"")</f>
        <v/>
      </c>
      <c r="AG157" s="134" t="str">
        <f>_xlfn.IFNA(MATCH(G157,Achievements[[#All],[Column111]],0)+10,"")</f>
        <v/>
      </c>
      <c r="AH157" s="134" t="str">
        <f>_xlfn.IFNA(MATCH(H157,Achievements[[#All],[Column112]],0)+10,"")</f>
        <v/>
      </c>
      <c r="AI157" s="134" t="str">
        <f>_xlfn.IFNA(MATCH(I157,Achievements[[#All],[Column112]],0)+10,"")</f>
        <v/>
      </c>
      <c r="AJ157" s="134" t="str">
        <f>_xlfn.IFNA(MATCH(J157,Achievements[[#All],[Column113]],0)+10,"")</f>
        <v/>
      </c>
      <c r="AK157" s="134" t="str">
        <f>_xlfn.IFNA(MATCH(K157,Achievements[[#All],[Column113]],0)+10,"")</f>
        <v/>
      </c>
      <c r="AL157" s="134" t="str">
        <f>_xlfn.IFNA(MATCH(L157,Achievements[[#All],[Column114]],0)+10,"")</f>
        <v/>
      </c>
      <c r="AM157" s="134" t="str">
        <f>_xlfn.IFNA(MATCH(M157,Achievements[[#All],[Column114]],0)+10,"")</f>
        <v/>
      </c>
      <c r="AN157" s="134" t="str">
        <f>_xlfn.IFNA(MATCH(N157,Achievements[[#All],[Column115]],0)+10,"")</f>
        <v/>
      </c>
      <c r="AO157" s="134" t="str">
        <f>_xlfn.IFNA(MATCH(O157,Achievements[[#All],[Column115]],0)+10,"")</f>
        <v/>
      </c>
      <c r="AP157" s="134" t="str">
        <f>_xlfn.IFNA(MATCH(P157,Achievements[[#All],[Column116]],0)+10,"")</f>
        <v/>
      </c>
      <c r="AQ157" s="134" t="str">
        <f>_xlfn.IFNA(MATCH(Q157,Achievements[[#All],[Column116]],0)+10,"")</f>
        <v/>
      </c>
      <c r="AR157" s="134" t="str">
        <f>_xlfn.IFNA(MATCH(R157,Achievements[[#All],[Column117]],0)+10,"")</f>
        <v/>
      </c>
      <c r="AS157" s="134" t="str">
        <f>_xlfn.IFNA(MATCH(S157,Achievements[[#All],[Column117]],0)+10,"")</f>
        <v/>
      </c>
      <c r="AT157" s="134" t="str">
        <f>_xlfn.IFNA(MATCH(T157,Achievements[[#All],[Column118]],0)+10,"")</f>
        <v/>
      </c>
      <c r="AU157" s="134" t="str">
        <f>_xlfn.IFNA(MATCH(U157,Achievements[[#All],[Column118]],0)+10,"")</f>
        <v/>
      </c>
      <c r="AV157" s="134" t="str">
        <f>_xlfn.IFNA(MATCH(V157,Achievements[[#All],[Column119]],0)+10,"")</f>
        <v/>
      </c>
      <c r="AW157" s="134" t="str">
        <f>_xlfn.IFNA(MATCH(W157,Achievements[[#All],[Column119]],0)+10,"")</f>
        <v/>
      </c>
      <c r="AX157" s="134" t="str">
        <f>_xlfn.IFNA(MATCH(X157,Achievements[[#All],[Column120]],0)+10,"")</f>
        <v/>
      </c>
      <c r="AY157" s="134" t="str">
        <f>_xlfn.IFNA(MATCH(Y157,Achievements[[#All],[Column120]],0)+10,"")</f>
        <v/>
      </c>
      <c r="AZ157" s="116" t="e">
        <f t="shared" ca="1" si="4"/>
        <v>#NAME?</v>
      </c>
      <c r="BA157" s="134" t="e" cm="1">
        <f t="array" aca="1" ref="BA157" ca="1">SplitValues("; ",Persons[[#This Row],[Column1]])</f>
        <v>#NAME?</v>
      </c>
      <c r="CA157" s="134" t="e">
        <f ca="1">_xlfn.IFNA(MATCH(BA157,Achievements[[#All],[Column1]],0)+10,"")</f>
        <v>#NAME?</v>
      </c>
      <c r="CB157" s="134" t="str">
        <f>_xlfn.IFNA(MATCH(BB157,Achievements[[#All],[Column1]],0)+10,"")</f>
        <v/>
      </c>
      <c r="CC157" s="134" t="str">
        <f>_xlfn.IFNA(MATCH(BC157,Achievements[[#All],[Column110]],0)+10,"")</f>
        <v/>
      </c>
      <c r="CD157" s="134" t="str">
        <f>_xlfn.IFNA(MATCH(BD157,Achievements[[#All],[Column110]],0)+10,"")</f>
        <v/>
      </c>
      <c r="CE157" s="134" t="str">
        <f>_xlfn.IFNA(MATCH(BE157,Achievements[[#All],[Column111]],0)+10,"")</f>
        <v/>
      </c>
      <c r="CF157" s="134" t="str">
        <f>_xlfn.IFNA(MATCH(BF157,Achievements[[#All],[Column111]],0)+10,"")</f>
        <v/>
      </c>
      <c r="CG157" s="134" t="str">
        <f>_xlfn.IFNA(MATCH(BG157,Achievements[[#All],[Column112]],0)+10,"")</f>
        <v/>
      </c>
      <c r="CH157" s="134" t="str">
        <f>_xlfn.IFNA(MATCH(BH157,Achievements[[#All],[Column112]],0)+10,"")</f>
        <v/>
      </c>
      <c r="CI157" s="134" t="str">
        <f>_xlfn.IFNA(MATCH(BI157,Achievements[[#All],[Column113]],0)+10,"")</f>
        <v/>
      </c>
      <c r="CJ157" s="134" t="str">
        <f>_xlfn.IFNA(MATCH(BJ157,Achievements[[#All],[Column113]],0)+10,"")</f>
        <v/>
      </c>
      <c r="CK157" s="134" t="str">
        <f>_xlfn.IFNA(MATCH(BK157,Achievements[[#All],[Column114]],0)+10,"")</f>
        <v/>
      </c>
      <c r="CL157" s="134" t="str">
        <f>_xlfn.IFNA(MATCH(BL157,Achievements[[#All],[Column114]],0)+10,"")</f>
        <v/>
      </c>
      <c r="CM157" s="134" t="str">
        <f>_xlfn.IFNA(MATCH(BM157,Achievements[[#All],[Column115]],0)+10,"")</f>
        <v/>
      </c>
      <c r="CN157" s="134" t="str">
        <f>_xlfn.IFNA(MATCH(BN157,Achievements[[#All],[Column115]],0)+10,"")</f>
        <v/>
      </c>
      <c r="CO157" s="134" t="str">
        <f>_xlfn.IFNA(MATCH(BO157,Achievements[[#All],[Column116]],0)+10,"")</f>
        <v/>
      </c>
      <c r="CP157" s="134" t="str">
        <f>_xlfn.IFNA(MATCH(BP157,Achievements[[#All],[Column116]],0)+10,"")</f>
        <v/>
      </c>
      <c r="CQ157" s="134" t="str">
        <f>_xlfn.IFNA(MATCH(BQ157,Achievements[[#All],[Column117]],0)+10,"")</f>
        <v/>
      </c>
      <c r="CR157" s="134" t="str">
        <f>_xlfn.IFNA(MATCH(BR157,Achievements[[#All],[Column117]],0)+10,"")</f>
        <v/>
      </c>
      <c r="CS157" s="134" t="str">
        <f>_xlfn.IFNA(MATCH(BS157,Achievements[[#All],[Column118]],0)+10,"")</f>
        <v/>
      </c>
      <c r="CT157" s="134" t="str">
        <f>_xlfn.IFNA(MATCH(BT157,Achievements[[#All],[Column118]],0)+10,"")</f>
        <v/>
      </c>
      <c r="CU157" s="134" t="str">
        <f>_xlfn.IFNA(MATCH(BU157,Achievements[[#All],[Column119]],0)+10,"")</f>
        <v/>
      </c>
      <c r="CV157" s="134" t="str">
        <f>_xlfn.IFNA(MATCH(BV157,Achievements[[#All],[Column119]],0)+10,"")</f>
        <v/>
      </c>
      <c r="CW157" s="134" t="str">
        <f>_xlfn.IFNA(MATCH(BW157,Achievements[[#All],[Column120]],0)+10,"")</f>
        <v/>
      </c>
      <c r="CX157" s="134" t="str">
        <f>_xlfn.IFNA(MATCH(BX157,Achievements[[#All],[Column120]],0)+10,"")</f>
        <v/>
      </c>
      <c r="CY157" s="134" t="str">
        <f>_xlfn.IFNA(MATCH(BY157,Achievements[[#All],[Column121]],0)+10,"")</f>
        <v/>
      </c>
      <c r="CZ157" s="118" t="e">
        <f t="shared" ca="1" si="5"/>
        <v>#NAME?</v>
      </c>
    </row>
    <row r="158" spans="1:104" x14ac:dyDescent="0.25">
      <c r="A158" t="e" cm="1">
        <f t="array" aca="1" ref="A158" ca="1">SplitValues("; ",#REF!)</f>
        <v>#NAME?</v>
      </c>
      <c r="AA158" t="e">
        <f ca="1">_xlfn.IFNA(MATCH(A158,Achievements[[#All],[Column1]],0)+11,"")</f>
        <v>#NAME?</v>
      </c>
      <c r="AB158" s="134" t="str">
        <f>_xlfn.IFNA(MATCH(B158,Achievements[[#All],[Column1]],0)+10,"")</f>
        <v/>
      </c>
      <c r="AC158" s="134" t="str">
        <f>_xlfn.IFNA(MATCH(C158,Achievements[[#All],[Column1]],0)+10,"")</f>
        <v/>
      </c>
      <c r="AD158" s="134" t="str">
        <f>_xlfn.IFNA(MATCH(D158,Achievements[[#All],[Column110]],0)+10,"")</f>
        <v/>
      </c>
      <c r="AE158" s="134" t="str">
        <f>_xlfn.IFNA(MATCH(E158,Achievements[[#All],[Column110]],0)+10,"")</f>
        <v/>
      </c>
      <c r="AF158" s="134" t="str">
        <f>_xlfn.IFNA(MATCH(F158,Achievements[[#All],[Column111]],0)+10,"")</f>
        <v/>
      </c>
      <c r="AG158" s="134" t="str">
        <f>_xlfn.IFNA(MATCH(G158,Achievements[[#All],[Column111]],0)+10,"")</f>
        <v/>
      </c>
      <c r="AH158" s="134" t="str">
        <f>_xlfn.IFNA(MATCH(H158,Achievements[[#All],[Column112]],0)+10,"")</f>
        <v/>
      </c>
      <c r="AI158" s="134" t="str">
        <f>_xlfn.IFNA(MATCH(I158,Achievements[[#All],[Column112]],0)+10,"")</f>
        <v/>
      </c>
      <c r="AJ158" s="134" t="str">
        <f>_xlfn.IFNA(MATCH(J158,Achievements[[#All],[Column113]],0)+10,"")</f>
        <v/>
      </c>
      <c r="AK158" s="134" t="str">
        <f>_xlfn.IFNA(MATCH(K158,Achievements[[#All],[Column113]],0)+10,"")</f>
        <v/>
      </c>
      <c r="AL158" s="134" t="str">
        <f>_xlfn.IFNA(MATCH(L158,Achievements[[#All],[Column114]],0)+10,"")</f>
        <v/>
      </c>
      <c r="AM158" s="134" t="str">
        <f>_xlfn.IFNA(MATCH(M158,Achievements[[#All],[Column114]],0)+10,"")</f>
        <v/>
      </c>
      <c r="AN158" s="134" t="str">
        <f>_xlfn.IFNA(MATCH(N158,Achievements[[#All],[Column115]],0)+10,"")</f>
        <v/>
      </c>
      <c r="AO158" s="134" t="str">
        <f>_xlfn.IFNA(MATCH(O158,Achievements[[#All],[Column115]],0)+10,"")</f>
        <v/>
      </c>
      <c r="AP158" s="134" t="str">
        <f>_xlfn.IFNA(MATCH(P158,Achievements[[#All],[Column116]],0)+10,"")</f>
        <v/>
      </c>
      <c r="AQ158" s="134" t="str">
        <f>_xlfn.IFNA(MATCH(Q158,Achievements[[#All],[Column116]],0)+10,"")</f>
        <v/>
      </c>
      <c r="AR158" s="134" t="str">
        <f>_xlfn.IFNA(MATCH(R158,Achievements[[#All],[Column117]],0)+10,"")</f>
        <v/>
      </c>
      <c r="AS158" s="134" t="str">
        <f>_xlfn.IFNA(MATCH(S158,Achievements[[#All],[Column117]],0)+10,"")</f>
        <v/>
      </c>
      <c r="AT158" s="134" t="str">
        <f>_xlfn.IFNA(MATCH(T158,Achievements[[#All],[Column118]],0)+10,"")</f>
        <v/>
      </c>
      <c r="AU158" s="134" t="str">
        <f>_xlfn.IFNA(MATCH(U158,Achievements[[#All],[Column118]],0)+10,"")</f>
        <v/>
      </c>
      <c r="AV158" s="134" t="str">
        <f>_xlfn.IFNA(MATCH(V158,Achievements[[#All],[Column119]],0)+10,"")</f>
        <v/>
      </c>
      <c r="AW158" s="134" t="str">
        <f>_xlfn.IFNA(MATCH(W158,Achievements[[#All],[Column119]],0)+10,"")</f>
        <v/>
      </c>
      <c r="AX158" s="134" t="str">
        <f>_xlfn.IFNA(MATCH(X158,Achievements[[#All],[Column120]],0)+10,"")</f>
        <v/>
      </c>
      <c r="AY158" s="134" t="str">
        <f>_xlfn.IFNA(MATCH(Y158,Achievements[[#All],[Column120]],0)+10,"")</f>
        <v/>
      </c>
      <c r="AZ158" s="116" t="e">
        <f t="shared" ca="1" si="4"/>
        <v>#NAME?</v>
      </c>
      <c r="BA158" s="134" t="e" cm="1">
        <f t="array" aca="1" ref="BA158" ca="1">SplitValues("; ",Persons[[#This Row],[Column1]])</f>
        <v>#NAME?</v>
      </c>
      <c r="CA158" s="134" t="e">
        <f ca="1">_xlfn.IFNA(MATCH(BA158,Achievements[[#All],[Column1]],0)+10,"")</f>
        <v>#NAME?</v>
      </c>
      <c r="CB158" s="134" t="str">
        <f>_xlfn.IFNA(MATCH(BB158,Achievements[[#All],[Column1]],0)+10,"")</f>
        <v/>
      </c>
      <c r="CC158" s="134" t="str">
        <f>_xlfn.IFNA(MATCH(BC158,Achievements[[#All],[Column110]],0)+10,"")</f>
        <v/>
      </c>
      <c r="CD158" s="134" t="str">
        <f>_xlfn.IFNA(MATCH(BD158,Achievements[[#All],[Column110]],0)+10,"")</f>
        <v/>
      </c>
      <c r="CE158" s="134" t="str">
        <f>_xlfn.IFNA(MATCH(BE158,Achievements[[#All],[Column111]],0)+10,"")</f>
        <v/>
      </c>
      <c r="CF158" s="134" t="str">
        <f>_xlfn.IFNA(MATCH(BF158,Achievements[[#All],[Column111]],0)+10,"")</f>
        <v/>
      </c>
      <c r="CG158" s="134" t="str">
        <f>_xlfn.IFNA(MATCH(BG158,Achievements[[#All],[Column112]],0)+10,"")</f>
        <v/>
      </c>
      <c r="CH158" s="134" t="str">
        <f>_xlfn.IFNA(MATCH(BH158,Achievements[[#All],[Column112]],0)+10,"")</f>
        <v/>
      </c>
      <c r="CI158" s="134" t="str">
        <f>_xlfn.IFNA(MATCH(BI158,Achievements[[#All],[Column113]],0)+10,"")</f>
        <v/>
      </c>
      <c r="CJ158" s="134" t="str">
        <f>_xlfn.IFNA(MATCH(BJ158,Achievements[[#All],[Column113]],0)+10,"")</f>
        <v/>
      </c>
      <c r="CK158" s="134" t="str">
        <f>_xlfn.IFNA(MATCH(BK158,Achievements[[#All],[Column114]],0)+10,"")</f>
        <v/>
      </c>
      <c r="CL158" s="134" t="str">
        <f>_xlfn.IFNA(MATCH(BL158,Achievements[[#All],[Column114]],0)+10,"")</f>
        <v/>
      </c>
      <c r="CM158" s="134" t="str">
        <f>_xlfn.IFNA(MATCH(BM158,Achievements[[#All],[Column115]],0)+10,"")</f>
        <v/>
      </c>
      <c r="CN158" s="134" t="str">
        <f>_xlfn.IFNA(MATCH(BN158,Achievements[[#All],[Column115]],0)+10,"")</f>
        <v/>
      </c>
      <c r="CO158" s="134" t="str">
        <f>_xlfn.IFNA(MATCH(BO158,Achievements[[#All],[Column116]],0)+10,"")</f>
        <v/>
      </c>
      <c r="CP158" s="134" t="str">
        <f>_xlfn.IFNA(MATCH(BP158,Achievements[[#All],[Column116]],0)+10,"")</f>
        <v/>
      </c>
      <c r="CQ158" s="134" t="str">
        <f>_xlfn.IFNA(MATCH(BQ158,Achievements[[#All],[Column117]],0)+10,"")</f>
        <v/>
      </c>
      <c r="CR158" s="134" t="str">
        <f>_xlfn.IFNA(MATCH(BR158,Achievements[[#All],[Column117]],0)+10,"")</f>
        <v/>
      </c>
      <c r="CS158" s="134" t="str">
        <f>_xlfn.IFNA(MATCH(BS158,Achievements[[#All],[Column118]],0)+10,"")</f>
        <v/>
      </c>
      <c r="CT158" s="134" t="str">
        <f>_xlfn.IFNA(MATCH(BT158,Achievements[[#All],[Column118]],0)+10,"")</f>
        <v/>
      </c>
      <c r="CU158" s="134" t="str">
        <f>_xlfn.IFNA(MATCH(BU158,Achievements[[#All],[Column119]],0)+10,"")</f>
        <v/>
      </c>
      <c r="CV158" s="134" t="str">
        <f>_xlfn.IFNA(MATCH(BV158,Achievements[[#All],[Column119]],0)+10,"")</f>
        <v/>
      </c>
      <c r="CW158" s="134" t="str">
        <f>_xlfn.IFNA(MATCH(BW158,Achievements[[#All],[Column120]],0)+10,"")</f>
        <v/>
      </c>
      <c r="CX158" s="134" t="str">
        <f>_xlfn.IFNA(MATCH(BX158,Achievements[[#All],[Column120]],0)+10,"")</f>
        <v/>
      </c>
      <c r="CY158" s="134" t="str">
        <f>_xlfn.IFNA(MATCH(BY158,Achievements[[#All],[Column121]],0)+10,"")</f>
        <v/>
      </c>
      <c r="CZ158" s="118" t="e">
        <f t="shared" ca="1" si="5"/>
        <v>#NAME?</v>
      </c>
    </row>
    <row r="159" spans="1:104" x14ac:dyDescent="0.25">
      <c r="A159" t="e" cm="1">
        <f t="array" aca="1" ref="A159" ca="1">SplitValues("; ",#REF!)</f>
        <v>#NAME?</v>
      </c>
      <c r="AA159" t="e">
        <f ca="1">_xlfn.IFNA(MATCH(A159,Achievements[[#All],[Column1]],0)+11,"")</f>
        <v>#NAME?</v>
      </c>
      <c r="AB159" s="134" t="str">
        <f>_xlfn.IFNA(MATCH(B159,Achievements[[#All],[Column1]],0)+10,"")</f>
        <v/>
      </c>
      <c r="AC159" s="134" t="str">
        <f>_xlfn.IFNA(MATCH(C159,Achievements[[#All],[Column1]],0)+10,"")</f>
        <v/>
      </c>
      <c r="AD159" s="134" t="str">
        <f>_xlfn.IFNA(MATCH(D159,Achievements[[#All],[Column110]],0)+10,"")</f>
        <v/>
      </c>
      <c r="AE159" s="134" t="str">
        <f>_xlfn.IFNA(MATCH(E159,Achievements[[#All],[Column110]],0)+10,"")</f>
        <v/>
      </c>
      <c r="AF159" s="134" t="str">
        <f>_xlfn.IFNA(MATCH(F159,Achievements[[#All],[Column111]],0)+10,"")</f>
        <v/>
      </c>
      <c r="AG159" s="134" t="str">
        <f>_xlfn.IFNA(MATCH(G159,Achievements[[#All],[Column111]],0)+10,"")</f>
        <v/>
      </c>
      <c r="AH159" s="134" t="str">
        <f>_xlfn.IFNA(MATCH(H159,Achievements[[#All],[Column112]],0)+10,"")</f>
        <v/>
      </c>
      <c r="AI159" s="134" t="str">
        <f>_xlfn.IFNA(MATCH(I159,Achievements[[#All],[Column112]],0)+10,"")</f>
        <v/>
      </c>
      <c r="AJ159" s="134" t="str">
        <f>_xlfn.IFNA(MATCH(J159,Achievements[[#All],[Column113]],0)+10,"")</f>
        <v/>
      </c>
      <c r="AK159" s="134" t="str">
        <f>_xlfn.IFNA(MATCH(K159,Achievements[[#All],[Column113]],0)+10,"")</f>
        <v/>
      </c>
      <c r="AL159" s="134" t="str">
        <f>_xlfn.IFNA(MATCH(L159,Achievements[[#All],[Column114]],0)+10,"")</f>
        <v/>
      </c>
      <c r="AM159" s="134" t="str">
        <f>_xlfn.IFNA(MATCH(M159,Achievements[[#All],[Column114]],0)+10,"")</f>
        <v/>
      </c>
      <c r="AN159" s="134" t="str">
        <f>_xlfn.IFNA(MATCH(N159,Achievements[[#All],[Column115]],0)+10,"")</f>
        <v/>
      </c>
      <c r="AO159" s="134" t="str">
        <f>_xlfn.IFNA(MATCH(O159,Achievements[[#All],[Column115]],0)+10,"")</f>
        <v/>
      </c>
      <c r="AP159" s="134" t="str">
        <f>_xlfn.IFNA(MATCH(P159,Achievements[[#All],[Column116]],0)+10,"")</f>
        <v/>
      </c>
      <c r="AQ159" s="134" t="str">
        <f>_xlfn.IFNA(MATCH(Q159,Achievements[[#All],[Column116]],0)+10,"")</f>
        <v/>
      </c>
      <c r="AR159" s="134" t="str">
        <f>_xlfn.IFNA(MATCH(R159,Achievements[[#All],[Column117]],0)+10,"")</f>
        <v/>
      </c>
      <c r="AS159" s="134" t="str">
        <f>_xlfn.IFNA(MATCH(S159,Achievements[[#All],[Column117]],0)+10,"")</f>
        <v/>
      </c>
      <c r="AT159" s="134" t="str">
        <f>_xlfn.IFNA(MATCH(T159,Achievements[[#All],[Column118]],0)+10,"")</f>
        <v/>
      </c>
      <c r="AU159" s="134" t="str">
        <f>_xlfn.IFNA(MATCH(U159,Achievements[[#All],[Column118]],0)+10,"")</f>
        <v/>
      </c>
      <c r="AV159" s="134" t="str">
        <f>_xlfn.IFNA(MATCH(V159,Achievements[[#All],[Column119]],0)+10,"")</f>
        <v/>
      </c>
      <c r="AW159" s="134" t="str">
        <f>_xlfn.IFNA(MATCH(W159,Achievements[[#All],[Column119]],0)+10,"")</f>
        <v/>
      </c>
      <c r="AX159" s="134" t="str">
        <f>_xlfn.IFNA(MATCH(X159,Achievements[[#All],[Column120]],0)+10,"")</f>
        <v/>
      </c>
      <c r="AY159" s="134" t="str">
        <f>_xlfn.IFNA(MATCH(Y159,Achievements[[#All],[Column120]],0)+10,"")</f>
        <v/>
      </c>
      <c r="AZ159" s="116" t="e">
        <f t="shared" ca="1" si="4"/>
        <v>#NAME?</v>
      </c>
      <c r="BA159" s="134" t="e" cm="1">
        <f t="array" aca="1" ref="BA159" ca="1">SplitValues("; ",Persons[[#This Row],[Column1]])</f>
        <v>#NAME?</v>
      </c>
      <c r="CA159" s="134" t="e">
        <f ca="1">_xlfn.IFNA(MATCH(BA159,Achievements[[#All],[Column1]],0)+10,"")</f>
        <v>#NAME?</v>
      </c>
      <c r="CB159" s="134" t="str">
        <f>_xlfn.IFNA(MATCH(BB159,Achievements[[#All],[Column1]],0)+10,"")</f>
        <v/>
      </c>
      <c r="CC159" s="134" t="str">
        <f>_xlfn.IFNA(MATCH(BC159,Achievements[[#All],[Column110]],0)+10,"")</f>
        <v/>
      </c>
      <c r="CD159" s="134" t="str">
        <f>_xlfn.IFNA(MATCH(BD159,Achievements[[#All],[Column110]],0)+10,"")</f>
        <v/>
      </c>
      <c r="CE159" s="134" t="str">
        <f>_xlfn.IFNA(MATCH(BE159,Achievements[[#All],[Column111]],0)+10,"")</f>
        <v/>
      </c>
      <c r="CF159" s="134" t="str">
        <f>_xlfn.IFNA(MATCH(BF159,Achievements[[#All],[Column111]],0)+10,"")</f>
        <v/>
      </c>
      <c r="CG159" s="134" t="str">
        <f>_xlfn.IFNA(MATCH(BG159,Achievements[[#All],[Column112]],0)+10,"")</f>
        <v/>
      </c>
      <c r="CH159" s="134" t="str">
        <f>_xlfn.IFNA(MATCH(BH159,Achievements[[#All],[Column112]],0)+10,"")</f>
        <v/>
      </c>
      <c r="CI159" s="134" t="str">
        <f>_xlfn.IFNA(MATCH(BI159,Achievements[[#All],[Column113]],0)+10,"")</f>
        <v/>
      </c>
      <c r="CJ159" s="134" t="str">
        <f>_xlfn.IFNA(MATCH(BJ159,Achievements[[#All],[Column113]],0)+10,"")</f>
        <v/>
      </c>
      <c r="CK159" s="134" t="str">
        <f>_xlfn.IFNA(MATCH(BK159,Achievements[[#All],[Column114]],0)+10,"")</f>
        <v/>
      </c>
      <c r="CL159" s="134" t="str">
        <f>_xlfn.IFNA(MATCH(BL159,Achievements[[#All],[Column114]],0)+10,"")</f>
        <v/>
      </c>
      <c r="CM159" s="134" t="str">
        <f>_xlfn.IFNA(MATCH(BM159,Achievements[[#All],[Column115]],0)+10,"")</f>
        <v/>
      </c>
      <c r="CN159" s="134" t="str">
        <f>_xlfn.IFNA(MATCH(BN159,Achievements[[#All],[Column115]],0)+10,"")</f>
        <v/>
      </c>
      <c r="CO159" s="134" t="str">
        <f>_xlfn.IFNA(MATCH(BO159,Achievements[[#All],[Column116]],0)+10,"")</f>
        <v/>
      </c>
      <c r="CP159" s="134" t="str">
        <f>_xlfn.IFNA(MATCH(BP159,Achievements[[#All],[Column116]],0)+10,"")</f>
        <v/>
      </c>
      <c r="CQ159" s="134" t="str">
        <f>_xlfn.IFNA(MATCH(BQ159,Achievements[[#All],[Column117]],0)+10,"")</f>
        <v/>
      </c>
      <c r="CR159" s="134" t="str">
        <f>_xlfn.IFNA(MATCH(BR159,Achievements[[#All],[Column117]],0)+10,"")</f>
        <v/>
      </c>
      <c r="CS159" s="134" t="str">
        <f>_xlfn.IFNA(MATCH(BS159,Achievements[[#All],[Column118]],0)+10,"")</f>
        <v/>
      </c>
      <c r="CT159" s="134" t="str">
        <f>_xlfn.IFNA(MATCH(BT159,Achievements[[#All],[Column118]],0)+10,"")</f>
        <v/>
      </c>
      <c r="CU159" s="134" t="str">
        <f>_xlfn.IFNA(MATCH(BU159,Achievements[[#All],[Column119]],0)+10,"")</f>
        <v/>
      </c>
      <c r="CV159" s="134" t="str">
        <f>_xlfn.IFNA(MATCH(BV159,Achievements[[#All],[Column119]],0)+10,"")</f>
        <v/>
      </c>
      <c r="CW159" s="134" t="str">
        <f>_xlfn.IFNA(MATCH(BW159,Achievements[[#All],[Column120]],0)+10,"")</f>
        <v/>
      </c>
      <c r="CX159" s="134" t="str">
        <f>_xlfn.IFNA(MATCH(BX159,Achievements[[#All],[Column120]],0)+10,"")</f>
        <v/>
      </c>
      <c r="CY159" s="134" t="str">
        <f>_xlfn.IFNA(MATCH(BY159,Achievements[[#All],[Column121]],0)+10,"")</f>
        <v/>
      </c>
      <c r="CZ159" s="118" t="e">
        <f t="shared" ca="1" si="5"/>
        <v>#NAME?</v>
      </c>
    </row>
    <row r="160" spans="1:104" x14ac:dyDescent="0.25">
      <c r="A160" t="e" cm="1">
        <f t="array" aca="1" ref="A160" ca="1">SplitValues("; ",#REF!)</f>
        <v>#NAME?</v>
      </c>
      <c r="AA160" t="e">
        <f ca="1">_xlfn.IFNA(MATCH(A160,Achievements[[#All],[Column1]],0)+11,"")</f>
        <v>#NAME?</v>
      </c>
      <c r="AB160" s="134" t="str">
        <f>_xlfn.IFNA(MATCH(B160,Achievements[[#All],[Column1]],0)+10,"")</f>
        <v/>
      </c>
      <c r="AC160" s="134" t="str">
        <f>_xlfn.IFNA(MATCH(C160,Achievements[[#All],[Column1]],0)+10,"")</f>
        <v/>
      </c>
      <c r="AD160" s="134" t="str">
        <f>_xlfn.IFNA(MATCH(D160,Achievements[[#All],[Column110]],0)+10,"")</f>
        <v/>
      </c>
      <c r="AE160" s="134" t="str">
        <f>_xlfn.IFNA(MATCH(E160,Achievements[[#All],[Column110]],0)+10,"")</f>
        <v/>
      </c>
      <c r="AF160" s="134" t="str">
        <f>_xlfn.IFNA(MATCH(F160,Achievements[[#All],[Column111]],0)+10,"")</f>
        <v/>
      </c>
      <c r="AG160" s="134" t="str">
        <f>_xlfn.IFNA(MATCH(G160,Achievements[[#All],[Column111]],0)+10,"")</f>
        <v/>
      </c>
      <c r="AH160" s="134" t="str">
        <f>_xlfn.IFNA(MATCH(H160,Achievements[[#All],[Column112]],0)+10,"")</f>
        <v/>
      </c>
      <c r="AI160" s="134" t="str">
        <f>_xlfn.IFNA(MATCH(I160,Achievements[[#All],[Column112]],0)+10,"")</f>
        <v/>
      </c>
      <c r="AJ160" s="134" t="str">
        <f>_xlfn.IFNA(MATCH(J160,Achievements[[#All],[Column113]],0)+10,"")</f>
        <v/>
      </c>
      <c r="AK160" s="134" t="str">
        <f>_xlfn.IFNA(MATCH(K160,Achievements[[#All],[Column113]],0)+10,"")</f>
        <v/>
      </c>
      <c r="AL160" s="134" t="str">
        <f>_xlfn.IFNA(MATCH(L160,Achievements[[#All],[Column114]],0)+10,"")</f>
        <v/>
      </c>
      <c r="AM160" s="134" t="str">
        <f>_xlfn.IFNA(MATCH(M160,Achievements[[#All],[Column114]],0)+10,"")</f>
        <v/>
      </c>
      <c r="AN160" s="134" t="str">
        <f>_xlfn.IFNA(MATCH(N160,Achievements[[#All],[Column115]],0)+10,"")</f>
        <v/>
      </c>
      <c r="AO160" s="134" t="str">
        <f>_xlfn.IFNA(MATCH(O160,Achievements[[#All],[Column115]],0)+10,"")</f>
        <v/>
      </c>
      <c r="AP160" s="134" t="str">
        <f>_xlfn.IFNA(MATCH(P160,Achievements[[#All],[Column116]],0)+10,"")</f>
        <v/>
      </c>
      <c r="AQ160" s="134" t="str">
        <f>_xlfn.IFNA(MATCH(Q160,Achievements[[#All],[Column116]],0)+10,"")</f>
        <v/>
      </c>
      <c r="AR160" s="134" t="str">
        <f>_xlfn.IFNA(MATCH(R160,Achievements[[#All],[Column117]],0)+10,"")</f>
        <v/>
      </c>
      <c r="AS160" s="134" t="str">
        <f>_xlfn.IFNA(MATCH(S160,Achievements[[#All],[Column117]],0)+10,"")</f>
        <v/>
      </c>
      <c r="AT160" s="134" t="str">
        <f>_xlfn.IFNA(MATCH(T160,Achievements[[#All],[Column118]],0)+10,"")</f>
        <v/>
      </c>
      <c r="AU160" s="134" t="str">
        <f>_xlfn.IFNA(MATCH(U160,Achievements[[#All],[Column118]],0)+10,"")</f>
        <v/>
      </c>
      <c r="AV160" s="134" t="str">
        <f>_xlfn.IFNA(MATCH(V160,Achievements[[#All],[Column119]],0)+10,"")</f>
        <v/>
      </c>
      <c r="AW160" s="134" t="str">
        <f>_xlfn.IFNA(MATCH(W160,Achievements[[#All],[Column119]],0)+10,"")</f>
        <v/>
      </c>
      <c r="AX160" s="134" t="str">
        <f>_xlfn.IFNA(MATCH(X160,Achievements[[#All],[Column120]],0)+10,"")</f>
        <v/>
      </c>
      <c r="AY160" s="134" t="str">
        <f>_xlfn.IFNA(MATCH(Y160,Achievements[[#All],[Column120]],0)+10,"")</f>
        <v/>
      </c>
      <c r="AZ160" s="116" t="e">
        <f t="shared" ca="1" si="4"/>
        <v>#NAME?</v>
      </c>
      <c r="BA160" s="134" t="e" cm="1">
        <f t="array" aca="1" ref="BA160" ca="1">SplitValues("; ",Persons[[#This Row],[Column1]])</f>
        <v>#NAME?</v>
      </c>
      <c r="CA160" s="134" t="e">
        <f ca="1">_xlfn.IFNA(MATCH(BA160,Achievements[[#All],[Column1]],0)+10,"")</f>
        <v>#NAME?</v>
      </c>
      <c r="CB160" s="134" t="str">
        <f>_xlfn.IFNA(MATCH(BB160,Achievements[[#All],[Column1]],0)+10,"")</f>
        <v/>
      </c>
      <c r="CC160" s="134" t="str">
        <f>_xlfn.IFNA(MATCH(BC160,Achievements[[#All],[Column110]],0)+10,"")</f>
        <v/>
      </c>
      <c r="CD160" s="134" t="str">
        <f>_xlfn.IFNA(MATCH(BD160,Achievements[[#All],[Column110]],0)+10,"")</f>
        <v/>
      </c>
      <c r="CE160" s="134" t="str">
        <f>_xlfn.IFNA(MATCH(BE160,Achievements[[#All],[Column111]],0)+10,"")</f>
        <v/>
      </c>
      <c r="CF160" s="134" t="str">
        <f>_xlfn.IFNA(MATCH(BF160,Achievements[[#All],[Column111]],0)+10,"")</f>
        <v/>
      </c>
      <c r="CG160" s="134" t="str">
        <f>_xlfn.IFNA(MATCH(BG160,Achievements[[#All],[Column112]],0)+10,"")</f>
        <v/>
      </c>
      <c r="CH160" s="134" t="str">
        <f>_xlfn.IFNA(MATCH(BH160,Achievements[[#All],[Column112]],0)+10,"")</f>
        <v/>
      </c>
      <c r="CI160" s="134" t="str">
        <f>_xlfn.IFNA(MATCH(BI160,Achievements[[#All],[Column113]],0)+10,"")</f>
        <v/>
      </c>
      <c r="CJ160" s="134" t="str">
        <f>_xlfn.IFNA(MATCH(BJ160,Achievements[[#All],[Column113]],0)+10,"")</f>
        <v/>
      </c>
      <c r="CK160" s="134" t="str">
        <f>_xlfn.IFNA(MATCH(BK160,Achievements[[#All],[Column114]],0)+10,"")</f>
        <v/>
      </c>
      <c r="CL160" s="134" t="str">
        <f>_xlfn.IFNA(MATCH(BL160,Achievements[[#All],[Column114]],0)+10,"")</f>
        <v/>
      </c>
      <c r="CM160" s="134" t="str">
        <f>_xlfn.IFNA(MATCH(BM160,Achievements[[#All],[Column115]],0)+10,"")</f>
        <v/>
      </c>
      <c r="CN160" s="134" t="str">
        <f>_xlfn.IFNA(MATCH(BN160,Achievements[[#All],[Column115]],0)+10,"")</f>
        <v/>
      </c>
      <c r="CO160" s="134" t="str">
        <f>_xlfn.IFNA(MATCH(BO160,Achievements[[#All],[Column116]],0)+10,"")</f>
        <v/>
      </c>
      <c r="CP160" s="134" t="str">
        <f>_xlfn.IFNA(MATCH(BP160,Achievements[[#All],[Column116]],0)+10,"")</f>
        <v/>
      </c>
      <c r="CQ160" s="134" t="str">
        <f>_xlfn.IFNA(MATCH(BQ160,Achievements[[#All],[Column117]],0)+10,"")</f>
        <v/>
      </c>
      <c r="CR160" s="134" t="str">
        <f>_xlfn.IFNA(MATCH(BR160,Achievements[[#All],[Column117]],0)+10,"")</f>
        <v/>
      </c>
      <c r="CS160" s="134" t="str">
        <f>_xlfn.IFNA(MATCH(BS160,Achievements[[#All],[Column118]],0)+10,"")</f>
        <v/>
      </c>
      <c r="CT160" s="134" t="str">
        <f>_xlfn.IFNA(MATCH(BT160,Achievements[[#All],[Column118]],0)+10,"")</f>
        <v/>
      </c>
      <c r="CU160" s="134" t="str">
        <f>_xlfn.IFNA(MATCH(BU160,Achievements[[#All],[Column119]],0)+10,"")</f>
        <v/>
      </c>
      <c r="CV160" s="134" t="str">
        <f>_xlfn.IFNA(MATCH(BV160,Achievements[[#All],[Column119]],0)+10,"")</f>
        <v/>
      </c>
      <c r="CW160" s="134" t="str">
        <f>_xlfn.IFNA(MATCH(BW160,Achievements[[#All],[Column120]],0)+10,"")</f>
        <v/>
      </c>
      <c r="CX160" s="134" t="str">
        <f>_xlfn.IFNA(MATCH(BX160,Achievements[[#All],[Column120]],0)+10,"")</f>
        <v/>
      </c>
      <c r="CY160" s="134" t="str">
        <f>_xlfn.IFNA(MATCH(BY160,Achievements[[#All],[Column121]],0)+10,"")</f>
        <v/>
      </c>
      <c r="CZ160" s="118" t="e">
        <f t="shared" ca="1" si="5"/>
        <v>#NAME?</v>
      </c>
    </row>
    <row r="161" spans="1:104" x14ac:dyDescent="0.25">
      <c r="A161" t="e" cm="1">
        <f t="array" aca="1" ref="A161" ca="1">SplitValues("; ",#REF!)</f>
        <v>#NAME?</v>
      </c>
      <c r="AA161" t="e">
        <f ca="1">_xlfn.IFNA(MATCH(A161,Achievements[[#All],[Column1]],0)+11,"")</f>
        <v>#NAME?</v>
      </c>
      <c r="AB161" s="134" t="str">
        <f>_xlfn.IFNA(MATCH(B161,Achievements[[#All],[Column1]],0)+10,"")</f>
        <v/>
      </c>
      <c r="AC161" s="134" t="str">
        <f>_xlfn.IFNA(MATCH(C161,Achievements[[#All],[Column1]],0)+10,"")</f>
        <v/>
      </c>
      <c r="AD161" s="134" t="str">
        <f>_xlfn.IFNA(MATCH(D161,Achievements[[#All],[Column110]],0)+10,"")</f>
        <v/>
      </c>
      <c r="AE161" s="134" t="str">
        <f>_xlfn.IFNA(MATCH(E161,Achievements[[#All],[Column110]],0)+10,"")</f>
        <v/>
      </c>
      <c r="AF161" s="134" t="str">
        <f>_xlfn.IFNA(MATCH(F161,Achievements[[#All],[Column111]],0)+10,"")</f>
        <v/>
      </c>
      <c r="AG161" s="134" t="str">
        <f>_xlfn.IFNA(MATCH(G161,Achievements[[#All],[Column111]],0)+10,"")</f>
        <v/>
      </c>
      <c r="AH161" s="134" t="str">
        <f>_xlfn.IFNA(MATCH(H161,Achievements[[#All],[Column112]],0)+10,"")</f>
        <v/>
      </c>
      <c r="AI161" s="134" t="str">
        <f>_xlfn.IFNA(MATCH(I161,Achievements[[#All],[Column112]],0)+10,"")</f>
        <v/>
      </c>
      <c r="AJ161" s="134" t="str">
        <f>_xlfn.IFNA(MATCH(J161,Achievements[[#All],[Column113]],0)+10,"")</f>
        <v/>
      </c>
      <c r="AK161" s="134" t="str">
        <f>_xlfn.IFNA(MATCH(K161,Achievements[[#All],[Column113]],0)+10,"")</f>
        <v/>
      </c>
      <c r="AL161" s="134" t="str">
        <f>_xlfn.IFNA(MATCH(L161,Achievements[[#All],[Column114]],0)+10,"")</f>
        <v/>
      </c>
      <c r="AM161" s="134" t="str">
        <f>_xlfn.IFNA(MATCH(M161,Achievements[[#All],[Column114]],0)+10,"")</f>
        <v/>
      </c>
      <c r="AN161" s="134" t="str">
        <f>_xlfn.IFNA(MATCH(N161,Achievements[[#All],[Column115]],0)+10,"")</f>
        <v/>
      </c>
      <c r="AO161" s="134" t="str">
        <f>_xlfn.IFNA(MATCH(O161,Achievements[[#All],[Column115]],0)+10,"")</f>
        <v/>
      </c>
      <c r="AP161" s="134" t="str">
        <f>_xlfn.IFNA(MATCH(P161,Achievements[[#All],[Column116]],0)+10,"")</f>
        <v/>
      </c>
      <c r="AQ161" s="134" t="str">
        <f>_xlfn.IFNA(MATCH(Q161,Achievements[[#All],[Column116]],0)+10,"")</f>
        <v/>
      </c>
      <c r="AR161" s="134" t="str">
        <f>_xlfn.IFNA(MATCH(R161,Achievements[[#All],[Column117]],0)+10,"")</f>
        <v/>
      </c>
      <c r="AS161" s="134" t="str">
        <f>_xlfn.IFNA(MATCH(S161,Achievements[[#All],[Column117]],0)+10,"")</f>
        <v/>
      </c>
      <c r="AT161" s="134" t="str">
        <f>_xlfn.IFNA(MATCH(T161,Achievements[[#All],[Column118]],0)+10,"")</f>
        <v/>
      </c>
      <c r="AU161" s="134" t="str">
        <f>_xlfn.IFNA(MATCH(U161,Achievements[[#All],[Column118]],0)+10,"")</f>
        <v/>
      </c>
      <c r="AV161" s="134" t="str">
        <f>_xlfn.IFNA(MATCH(V161,Achievements[[#All],[Column119]],0)+10,"")</f>
        <v/>
      </c>
      <c r="AW161" s="134" t="str">
        <f>_xlfn.IFNA(MATCH(W161,Achievements[[#All],[Column119]],0)+10,"")</f>
        <v/>
      </c>
      <c r="AX161" s="134" t="str">
        <f>_xlfn.IFNA(MATCH(X161,Achievements[[#All],[Column120]],0)+10,"")</f>
        <v/>
      </c>
      <c r="AY161" s="134" t="str">
        <f>_xlfn.IFNA(MATCH(Y161,Achievements[[#All],[Column120]],0)+10,"")</f>
        <v/>
      </c>
      <c r="AZ161" s="116" t="e">
        <f t="shared" ca="1" si="4"/>
        <v>#NAME?</v>
      </c>
      <c r="BA161" s="134" t="e" cm="1">
        <f t="array" aca="1" ref="BA161" ca="1">SplitValues("; ",Persons[[#This Row],[Column1]])</f>
        <v>#NAME?</v>
      </c>
      <c r="CA161" s="134" t="e">
        <f ca="1">_xlfn.IFNA(MATCH(BA161,Achievements[[#All],[Column1]],0)+10,"")</f>
        <v>#NAME?</v>
      </c>
      <c r="CB161" s="134" t="str">
        <f>_xlfn.IFNA(MATCH(BB161,Achievements[[#All],[Column1]],0)+10,"")</f>
        <v/>
      </c>
      <c r="CC161" s="134" t="str">
        <f>_xlfn.IFNA(MATCH(BC161,Achievements[[#All],[Column110]],0)+10,"")</f>
        <v/>
      </c>
      <c r="CD161" s="134" t="str">
        <f>_xlfn.IFNA(MATCH(BD161,Achievements[[#All],[Column110]],0)+10,"")</f>
        <v/>
      </c>
      <c r="CE161" s="134" t="str">
        <f>_xlfn.IFNA(MATCH(BE161,Achievements[[#All],[Column111]],0)+10,"")</f>
        <v/>
      </c>
      <c r="CF161" s="134" t="str">
        <f>_xlfn.IFNA(MATCH(BF161,Achievements[[#All],[Column111]],0)+10,"")</f>
        <v/>
      </c>
      <c r="CG161" s="134" t="str">
        <f>_xlfn.IFNA(MATCH(BG161,Achievements[[#All],[Column112]],0)+10,"")</f>
        <v/>
      </c>
      <c r="CH161" s="134" t="str">
        <f>_xlfn.IFNA(MATCH(BH161,Achievements[[#All],[Column112]],0)+10,"")</f>
        <v/>
      </c>
      <c r="CI161" s="134" t="str">
        <f>_xlfn.IFNA(MATCH(BI161,Achievements[[#All],[Column113]],0)+10,"")</f>
        <v/>
      </c>
      <c r="CJ161" s="134" t="str">
        <f>_xlfn.IFNA(MATCH(BJ161,Achievements[[#All],[Column113]],0)+10,"")</f>
        <v/>
      </c>
      <c r="CK161" s="134" t="str">
        <f>_xlfn.IFNA(MATCH(BK161,Achievements[[#All],[Column114]],0)+10,"")</f>
        <v/>
      </c>
      <c r="CL161" s="134" t="str">
        <f>_xlfn.IFNA(MATCH(BL161,Achievements[[#All],[Column114]],0)+10,"")</f>
        <v/>
      </c>
      <c r="CM161" s="134" t="str">
        <f>_xlfn.IFNA(MATCH(BM161,Achievements[[#All],[Column115]],0)+10,"")</f>
        <v/>
      </c>
      <c r="CN161" s="134" t="str">
        <f>_xlfn.IFNA(MATCH(BN161,Achievements[[#All],[Column115]],0)+10,"")</f>
        <v/>
      </c>
      <c r="CO161" s="134" t="str">
        <f>_xlfn.IFNA(MATCH(BO161,Achievements[[#All],[Column116]],0)+10,"")</f>
        <v/>
      </c>
      <c r="CP161" s="134" t="str">
        <f>_xlfn.IFNA(MATCH(BP161,Achievements[[#All],[Column116]],0)+10,"")</f>
        <v/>
      </c>
      <c r="CQ161" s="134" t="str">
        <f>_xlfn.IFNA(MATCH(BQ161,Achievements[[#All],[Column117]],0)+10,"")</f>
        <v/>
      </c>
      <c r="CR161" s="134" t="str">
        <f>_xlfn.IFNA(MATCH(BR161,Achievements[[#All],[Column117]],0)+10,"")</f>
        <v/>
      </c>
      <c r="CS161" s="134" t="str">
        <f>_xlfn.IFNA(MATCH(BS161,Achievements[[#All],[Column118]],0)+10,"")</f>
        <v/>
      </c>
      <c r="CT161" s="134" t="str">
        <f>_xlfn.IFNA(MATCH(BT161,Achievements[[#All],[Column118]],0)+10,"")</f>
        <v/>
      </c>
      <c r="CU161" s="134" t="str">
        <f>_xlfn.IFNA(MATCH(BU161,Achievements[[#All],[Column119]],0)+10,"")</f>
        <v/>
      </c>
      <c r="CV161" s="134" t="str">
        <f>_xlfn.IFNA(MATCH(BV161,Achievements[[#All],[Column119]],0)+10,"")</f>
        <v/>
      </c>
      <c r="CW161" s="134" t="str">
        <f>_xlfn.IFNA(MATCH(BW161,Achievements[[#All],[Column120]],0)+10,"")</f>
        <v/>
      </c>
      <c r="CX161" s="134" t="str">
        <f>_xlfn.IFNA(MATCH(BX161,Achievements[[#All],[Column120]],0)+10,"")</f>
        <v/>
      </c>
      <c r="CY161" s="134" t="str">
        <f>_xlfn.IFNA(MATCH(BY161,Achievements[[#All],[Column121]],0)+10,"")</f>
        <v/>
      </c>
      <c r="CZ161" s="118" t="e">
        <f t="shared" ca="1" si="5"/>
        <v>#NAME?</v>
      </c>
    </row>
    <row r="162" spans="1:104" x14ac:dyDescent="0.25">
      <c r="A162" t="e" cm="1">
        <f t="array" aca="1" ref="A162" ca="1">SplitValues("; ",#REF!)</f>
        <v>#NAME?</v>
      </c>
      <c r="AA162" t="e">
        <f ca="1">_xlfn.IFNA(MATCH(A162,Achievements[[#All],[Column1]],0)+11,"")</f>
        <v>#NAME?</v>
      </c>
      <c r="AB162" s="134" t="str">
        <f>_xlfn.IFNA(MATCH(B162,Achievements[[#All],[Column1]],0)+10,"")</f>
        <v/>
      </c>
      <c r="AC162" s="134" t="str">
        <f>_xlfn.IFNA(MATCH(C162,Achievements[[#All],[Column1]],0)+10,"")</f>
        <v/>
      </c>
      <c r="AD162" s="134" t="str">
        <f>_xlfn.IFNA(MATCH(D162,Achievements[[#All],[Column110]],0)+10,"")</f>
        <v/>
      </c>
      <c r="AE162" s="134" t="str">
        <f>_xlfn.IFNA(MATCH(E162,Achievements[[#All],[Column110]],0)+10,"")</f>
        <v/>
      </c>
      <c r="AF162" s="134" t="str">
        <f>_xlfn.IFNA(MATCH(F162,Achievements[[#All],[Column111]],0)+10,"")</f>
        <v/>
      </c>
      <c r="AG162" s="134" t="str">
        <f>_xlfn.IFNA(MATCH(G162,Achievements[[#All],[Column111]],0)+10,"")</f>
        <v/>
      </c>
      <c r="AH162" s="134" t="str">
        <f>_xlfn.IFNA(MATCH(H162,Achievements[[#All],[Column112]],0)+10,"")</f>
        <v/>
      </c>
      <c r="AI162" s="134" t="str">
        <f>_xlfn.IFNA(MATCH(I162,Achievements[[#All],[Column112]],0)+10,"")</f>
        <v/>
      </c>
      <c r="AJ162" s="134" t="str">
        <f>_xlfn.IFNA(MATCH(J162,Achievements[[#All],[Column113]],0)+10,"")</f>
        <v/>
      </c>
      <c r="AK162" s="134" t="str">
        <f>_xlfn.IFNA(MATCH(K162,Achievements[[#All],[Column113]],0)+10,"")</f>
        <v/>
      </c>
      <c r="AL162" s="134" t="str">
        <f>_xlfn.IFNA(MATCH(L162,Achievements[[#All],[Column114]],0)+10,"")</f>
        <v/>
      </c>
      <c r="AM162" s="134" t="str">
        <f>_xlfn.IFNA(MATCH(M162,Achievements[[#All],[Column114]],0)+10,"")</f>
        <v/>
      </c>
      <c r="AN162" s="134" t="str">
        <f>_xlfn.IFNA(MATCH(N162,Achievements[[#All],[Column115]],0)+10,"")</f>
        <v/>
      </c>
      <c r="AO162" s="134" t="str">
        <f>_xlfn.IFNA(MATCH(O162,Achievements[[#All],[Column115]],0)+10,"")</f>
        <v/>
      </c>
      <c r="AP162" s="134" t="str">
        <f>_xlfn.IFNA(MATCH(P162,Achievements[[#All],[Column116]],0)+10,"")</f>
        <v/>
      </c>
      <c r="AQ162" s="134" t="str">
        <f>_xlfn.IFNA(MATCH(Q162,Achievements[[#All],[Column116]],0)+10,"")</f>
        <v/>
      </c>
      <c r="AR162" s="134" t="str">
        <f>_xlfn.IFNA(MATCH(R162,Achievements[[#All],[Column117]],0)+10,"")</f>
        <v/>
      </c>
      <c r="AS162" s="134" t="str">
        <f>_xlfn.IFNA(MATCH(S162,Achievements[[#All],[Column117]],0)+10,"")</f>
        <v/>
      </c>
      <c r="AT162" s="134" t="str">
        <f>_xlfn.IFNA(MATCH(T162,Achievements[[#All],[Column118]],0)+10,"")</f>
        <v/>
      </c>
      <c r="AU162" s="134" t="str">
        <f>_xlfn.IFNA(MATCH(U162,Achievements[[#All],[Column118]],0)+10,"")</f>
        <v/>
      </c>
      <c r="AV162" s="134" t="str">
        <f>_xlfn.IFNA(MATCH(V162,Achievements[[#All],[Column119]],0)+10,"")</f>
        <v/>
      </c>
      <c r="AW162" s="134" t="str">
        <f>_xlfn.IFNA(MATCH(W162,Achievements[[#All],[Column119]],0)+10,"")</f>
        <v/>
      </c>
      <c r="AX162" s="134" t="str">
        <f>_xlfn.IFNA(MATCH(X162,Achievements[[#All],[Column120]],0)+10,"")</f>
        <v/>
      </c>
      <c r="AY162" s="134" t="str">
        <f>_xlfn.IFNA(MATCH(Y162,Achievements[[#All],[Column120]],0)+10,"")</f>
        <v/>
      </c>
      <c r="AZ162" s="116" t="e">
        <f t="shared" ca="1" si="4"/>
        <v>#NAME?</v>
      </c>
      <c r="BA162" s="134" t="e" cm="1">
        <f t="array" aca="1" ref="BA162" ca="1">SplitValues("; ",Persons[[#This Row],[Column1]])</f>
        <v>#NAME?</v>
      </c>
      <c r="CA162" s="134" t="e">
        <f ca="1">_xlfn.IFNA(MATCH(BA162,Achievements[[#All],[Column1]],0)+10,"")</f>
        <v>#NAME?</v>
      </c>
      <c r="CB162" s="134" t="str">
        <f>_xlfn.IFNA(MATCH(BB162,Achievements[[#All],[Column1]],0)+10,"")</f>
        <v/>
      </c>
      <c r="CC162" s="134" t="str">
        <f>_xlfn.IFNA(MATCH(BC162,Achievements[[#All],[Column110]],0)+10,"")</f>
        <v/>
      </c>
      <c r="CD162" s="134" t="str">
        <f>_xlfn.IFNA(MATCH(BD162,Achievements[[#All],[Column110]],0)+10,"")</f>
        <v/>
      </c>
      <c r="CE162" s="134" t="str">
        <f>_xlfn.IFNA(MATCH(BE162,Achievements[[#All],[Column111]],0)+10,"")</f>
        <v/>
      </c>
      <c r="CF162" s="134" t="str">
        <f>_xlfn.IFNA(MATCH(BF162,Achievements[[#All],[Column111]],0)+10,"")</f>
        <v/>
      </c>
      <c r="CG162" s="134" t="str">
        <f>_xlfn.IFNA(MATCH(BG162,Achievements[[#All],[Column112]],0)+10,"")</f>
        <v/>
      </c>
      <c r="CH162" s="134" t="str">
        <f>_xlfn.IFNA(MATCH(BH162,Achievements[[#All],[Column112]],0)+10,"")</f>
        <v/>
      </c>
      <c r="CI162" s="134" t="str">
        <f>_xlfn.IFNA(MATCH(BI162,Achievements[[#All],[Column113]],0)+10,"")</f>
        <v/>
      </c>
      <c r="CJ162" s="134" t="str">
        <f>_xlfn.IFNA(MATCH(BJ162,Achievements[[#All],[Column113]],0)+10,"")</f>
        <v/>
      </c>
      <c r="CK162" s="134" t="str">
        <f>_xlfn.IFNA(MATCH(BK162,Achievements[[#All],[Column114]],0)+10,"")</f>
        <v/>
      </c>
      <c r="CL162" s="134" t="str">
        <f>_xlfn.IFNA(MATCH(BL162,Achievements[[#All],[Column114]],0)+10,"")</f>
        <v/>
      </c>
      <c r="CM162" s="134" t="str">
        <f>_xlfn.IFNA(MATCH(BM162,Achievements[[#All],[Column115]],0)+10,"")</f>
        <v/>
      </c>
      <c r="CN162" s="134" t="str">
        <f>_xlfn.IFNA(MATCH(BN162,Achievements[[#All],[Column115]],0)+10,"")</f>
        <v/>
      </c>
      <c r="CO162" s="134" t="str">
        <f>_xlfn.IFNA(MATCH(BO162,Achievements[[#All],[Column116]],0)+10,"")</f>
        <v/>
      </c>
      <c r="CP162" s="134" t="str">
        <f>_xlfn.IFNA(MATCH(BP162,Achievements[[#All],[Column116]],0)+10,"")</f>
        <v/>
      </c>
      <c r="CQ162" s="134" t="str">
        <f>_xlfn.IFNA(MATCH(BQ162,Achievements[[#All],[Column117]],0)+10,"")</f>
        <v/>
      </c>
      <c r="CR162" s="134" t="str">
        <f>_xlfn.IFNA(MATCH(BR162,Achievements[[#All],[Column117]],0)+10,"")</f>
        <v/>
      </c>
      <c r="CS162" s="134" t="str">
        <f>_xlfn.IFNA(MATCH(BS162,Achievements[[#All],[Column118]],0)+10,"")</f>
        <v/>
      </c>
      <c r="CT162" s="134" t="str">
        <f>_xlfn.IFNA(MATCH(BT162,Achievements[[#All],[Column118]],0)+10,"")</f>
        <v/>
      </c>
      <c r="CU162" s="134" t="str">
        <f>_xlfn.IFNA(MATCH(BU162,Achievements[[#All],[Column119]],0)+10,"")</f>
        <v/>
      </c>
      <c r="CV162" s="134" t="str">
        <f>_xlfn.IFNA(MATCH(BV162,Achievements[[#All],[Column119]],0)+10,"")</f>
        <v/>
      </c>
      <c r="CW162" s="134" t="str">
        <f>_xlfn.IFNA(MATCH(BW162,Achievements[[#All],[Column120]],0)+10,"")</f>
        <v/>
      </c>
      <c r="CX162" s="134" t="str">
        <f>_xlfn.IFNA(MATCH(BX162,Achievements[[#All],[Column120]],0)+10,"")</f>
        <v/>
      </c>
      <c r="CY162" s="134" t="str">
        <f>_xlfn.IFNA(MATCH(BY162,Achievements[[#All],[Column121]],0)+10,"")</f>
        <v/>
      </c>
      <c r="CZ162" s="118" t="e">
        <f t="shared" ca="1" si="5"/>
        <v>#NAME?</v>
      </c>
    </row>
    <row r="163" spans="1:104" x14ac:dyDescent="0.25">
      <c r="A163" t="e" cm="1">
        <f t="array" aca="1" ref="A163" ca="1">SplitValues("; ",#REF!)</f>
        <v>#NAME?</v>
      </c>
      <c r="AA163" t="e">
        <f ca="1">_xlfn.IFNA(MATCH(A163,Achievements[[#All],[Column1]],0)+11,"")</f>
        <v>#NAME?</v>
      </c>
      <c r="AB163" s="134" t="str">
        <f>_xlfn.IFNA(MATCH(B163,Achievements[[#All],[Column1]],0)+10,"")</f>
        <v/>
      </c>
      <c r="AC163" s="134" t="str">
        <f>_xlfn.IFNA(MATCH(C163,Achievements[[#All],[Column1]],0)+10,"")</f>
        <v/>
      </c>
      <c r="AD163" s="134" t="str">
        <f>_xlfn.IFNA(MATCH(D163,Achievements[[#All],[Column110]],0)+10,"")</f>
        <v/>
      </c>
      <c r="AE163" s="134" t="str">
        <f>_xlfn.IFNA(MATCH(E163,Achievements[[#All],[Column110]],0)+10,"")</f>
        <v/>
      </c>
      <c r="AF163" s="134" t="str">
        <f>_xlfn.IFNA(MATCH(F163,Achievements[[#All],[Column111]],0)+10,"")</f>
        <v/>
      </c>
      <c r="AG163" s="134" t="str">
        <f>_xlfn.IFNA(MATCH(G163,Achievements[[#All],[Column111]],0)+10,"")</f>
        <v/>
      </c>
      <c r="AH163" s="134" t="str">
        <f>_xlfn.IFNA(MATCH(H163,Achievements[[#All],[Column112]],0)+10,"")</f>
        <v/>
      </c>
      <c r="AI163" s="134" t="str">
        <f>_xlfn.IFNA(MATCH(I163,Achievements[[#All],[Column112]],0)+10,"")</f>
        <v/>
      </c>
      <c r="AJ163" s="134" t="str">
        <f>_xlfn.IFNA(MATCH(J163,Achievements[[#All],[Column113]],0)+10,"")</f>
        <v/>
      </c>
      <c r="AK163" s="134" t="str">
        <f>_xlfn.IFNA(MATCH(K163,Achievements[[#All],[Column113]],0)+10,"")</f>
        <v/>
      </c>
      <c r="AL163" s="134" t="str">
        <f>_xlfn.IFNA(MATCH(L163,Achievements[[#All],[Column114]],0)+10,"")</f>
        <v/>
      </c>
      <c r="AM163" s="134" t="str">
        <f>_xlfn.IFNA(MATCH(M163,Achievements[[#All],[Column114]],0)+10,"")</f>
        <v/>
      </c>
      <c r="AN163" s="134" t="str">
        <f>_xlfn.IFNA(MATCH(N163,Achievements[[#All],[Column115]],0)+10,"")</f>
        <v/>
      </c>
      <c r="AO163" s="134" t="str">
        <f>_xlfn.IFNA(MATCH(O163,Achievements[[#All],[Column115]],0)+10,"")</f>
        <v/>
      </c>
      <c r="AP163" s="134" t="str">
        <f>_xlfn.IFNA(MATCH(P163,Achievements[[#All],[Column116]],0)+10,"")</f>
        <v/>
      </c>
      <c r="AQ163" s="134" t="str">
        <f>_xlfn.IFNA(MATCH(Q163,Achievements[[#All],[Column116]],0)+10,"")</f>
        <v/>
      </c>
      <c r="AR163" s="134" t="str">
        <f>_xlfn.IFNA(MATCH(R163,Achievements[[#All],[Column117]],0)+10,"")</f>
        <v/>
      </c>
      <c r="AS163" s="134" t="str">
        <f>_xlfn.IFNA(MATCH(S163,Achievements[[#All],[Column117]],0)+10,"")</f>
        <v/>
      </c>
      <c r="AT163" s="134" t="str">
        <f>_xlfn.IFNA(MATCH(T163,Achievements[[#All],[Column118]],0)+10,"")</f>
        <v/>
      </c>
      <c r="AU163" s="134" t="str">
        <f>_xlfn.IFNA(MATCH(U163,Achievements[[#All],[Column118]],0)+10,"")</f>
        <v/>
      </c>
      <c r="AV163" s="134" t="str">
        <f>_xlfn.IFNA(MATCH(V163,Achievements[[#All],[Column119]],0)+10,"")</f>
        <v/>
      </c>
      <c r="AW163" s="134" t="str">
        <f>_xlfn.IFNA(MATCH(W163,Achievements[[#All],[Column119]],0)+10,"")</f>
        <v/>
      </c>
      <c r="AX163" s="134" t="str">
        <f>_xlfn.IFNA(MATCH(X163,Achievements[[#All],[Column120]],0)+10,"")</f>
        <v/>
      </c>
      <c r="AY163" s="134" t="str">
        <f>_xlfn.IFNA(MATCH(Y163,Achievements[[#All],[Column120]],0)+10,"")</f>
        <v/>
      </c>
      <c r="AZ163" s="116" t="e">
        <f t="shared" ca="1" si="4"/>
        <v>#NAME?</v>
      </c>
      <c r="BA163" s="134" t="e" cm="1">
        <f t="array" aca="1" ref="BA163" ca="1">SplitValues("; ",Persons[[#This Row],[Column1]])</f>
        <v>#NAME?</v>
      </c>
      <c r="CA163" s="134" t="e">
        <f ca="1">_xlfn.IFNA(MATCH(BA163,Achievements[[#All],[Column1]],0)+10,"")</f>
        <v>#NAME?</v>
      </c>
      <c r="CB163" s="134" t="str">
        <f>_xlfn.IFNA(MATCH(BB163,Achievements[[#All],[Column1]],0)+10,"")</f>
        <v/>
      </c>
      <c r="CC163" s="134" t="str">
        <f>_xlfn.IFNA(MATCH(BC163,Achievements[[#All],[Column110]],0)+10,"")</f>
        <v/>
      </c>
      <c r="CD163" s="134" t="str">
        <f>_xlfn.IFNA(MATCH(BD163,Achievements[[#All],[Column110]],0)+10,"")</f>
        <v/>
      </c>
      <c r="CE163" s="134" t="str">
        <f>_xlfn.IFNA(MATCH(BE163,Achievements[[#All],[Column111]],0)+10,"")</f>
        <v/>
      </c>
      <c r="CF163" s="134" t="str">
        <f>_xlfn.IFNA(MATCH(BF163,Achievements[[#All],[Column111]],0)+10,"")</f>
        <v/>
      </c>
      <c r="CG163" s="134" t="str">
        <f>_xlfn.IFNA(MATCH(BG163,Achievements[[#All],[Column112]],0)+10,"")</f>
        <v/>
      </c>
      <c r="CH163" s="134" t="str">
        <f>_xlfn.IFNA(MATCH(BH163,Achievements[[#All],[Column112]],0)+10,"")</f>
        <v/>
      </c>
      <c r="CI163" s="134" t="str">
        <f>_xlfn.IFNA(MATCH(BI163,Achievements[[#All],[Column113]],0)+10,"")</f>
        <v/>
      </c>
      <c r="CJ163" s="134" t="str">
        <f>_xlfn.IFNA(MATCH(BJ163,Achievements[[#All],[Column113]],0)+10,"")</f>
        <v/>
      </c>
      <c r="CK163" s="134" t="str">
        <f>_xlfn.IFNA(MATCH(BK163,Achievements[[#All],[Column114]],0)+10,"")</f>
        <v/>
      </c>
      <c r="CL163" s="134" t="str">
        <f>_xlfn.IFNA(MATCH(BL163,Achievements[[#All],[Column114]],0)+10,"")</f>
        <v/>
      </c>
      <c r="CM163" s="134" t="str">
        <f>_xlfn.IFNA(MATCH(BM163,Achievements[[#All],[Column115]],0)+10,"")</f>
        <v/>
      </c>
      <c r="CN163" s="134" t="str">
        <f>_xlfn.IFNA(MATCH(BN163,Achievements[[#All],[Column115]],0)+10,"")</f>
        <v/>
      </c>
      <c r="CO163" s="134" t="str">
        <f>_xlfn.IFNA(MATCH(BO163,Achievements[[#All],[Column116]],0)+10,"")</f>
        <v/>
      </c>
      <c r="CP163" s="134" t="str">
        <f>_xlfn.IFNA(MATCH(BP163,Achievements[[#All],[Column116]],0)+10,"")</f>
        <v/>
      </c>
      <c r="CQ163" s="134" t="str">
        <f>_xlfn.IFNA(MATCH(BQ163,Achievements[[#All],[Column117]],0)+10,"")</f>
        <v/>
      </c>
      <c r="CR163" s="134" t="str">
        <f>_xlfn.IFNA(MATCH(BR163,Achievements[[#All],[Column117]],0)+10,"")</f>
        <v/>
      </c>
      <c r="CS163" s="134" t="str">
        <f>_xlfn.IFNA(MATCH(BS163,Achievements[[#All],[Column118]],0)+10,"")</f>
        <v/>
      </c>
      <c r="CT163" s="134" t="str">
        <f>_xlfn.IFNA(MATCH(BT163,Achievements[[#All],[Column118]],0)+10,"")</f>
        <v/>
      </c>
      <c r="CU163" s="134" t="str">
        <f>_xlfn.IFNA(MATCH(BU163,Achievements[[#All],[Column119]],0)+10,"")</f>
        <v/>
      </c>
      <c r="CV163" s="134" t="str">
        <f>_xlfn.IFNA(MATCH(BV163,Achievements[[#All],[Column119]],0)+10,"")</f>
        <v/>
      </c>
      <c r="CW163" s="134" t="str">
        <f>_xlfn.IFNA(MATCH(BW163,Achievements[[#All],[Column120]],0)+10,"")</f>
        <v/>
      </c>
      <c r="CX163" s="134" t="str">
        <f>_xlfn.IFNA(MATCH(BX163,Achievements[[#All],[Column120]],0)+10,"")</f>
        <v/>
      </c>
      <c r="CY163" s="134" t="str">
        <f>_xlfn.IFNA(MATCH(BY163,Achievements[[#All],[Column121]],0)+10,"")</f>
        <v/>
      </c>
      <c r="CZ163" s="118" t="e">
        <f t="shared" ca="1" si="5"/>
        <v>#NAME?</v>
      </c>
    </row>
    <row r="164" spans="1:104" x14ac:dyDescent="0.25">
      <c r="A164" t="e" cm="1">
        <f t="array" aca="1" ref="A164" ca="1">SplitValues("; ",#REF!)</f>
        <v>#NAME?</v>
      </c>
      <c r="AA164" t="e">
        <f ca="1">_xlfn.IFNA(MATCH(A164,Achievements[[#All],[Column1]],0)+11,"")</f>
        <v>#NAME?</v>
      </c>
      <c r="AB164" s="134" t="str">
        <f>_xlfn.IFNA(MATCH(B164,Achievements[[#All],[Column1]],0)+10,"")</f>
        <v/>
      </c>
      <c r="AC164" s="134" t="str">
        <f>_xlfn.IFNA(MATCH(C164,Achievements[[#All],[Column1]],0)+10,"")</f>
        <v/>
      </c>
      <c r="AD164" s="134" t="str">
        <f>_xlfn.IFNA(MATCH(D164,Achievements[[#All],[Column110]],0)+10,"")</f>
        <v/>
      </c>
      <c r="AE164" s="134" t="str">
        <f>_xlfn.IFNA(MATCH(E164,Achievements[[#All],[Column110]],0)+10,"")</f>
        <v/>
      </c>
      <c r="AF164" s="134" t="str">
        <f>_xlfn.IFNA(MATCH(F164,Achievements[[#All],[Column111]],0)+10,"")</f>
        <v/>
      </c>
      <c r="AG164" s="134" t="str">
        <f>_xlfn.IFNA(MATCH(G164,Achievements[[#All],[Column111]],0)+10,"")</f>
        <v/>
      </c>
      <c r="AH164" s="134" t="str">
        <f>_xlfn.IFNA(MATCH(H164,Achievements[[#All],[Column112]],0)+10,"")</f>
        <v/>
      </c>
      <c r="AI164" s="134" t="str">
        <f>_xlfn.IFNA(MATCH(I164,Achievements[[#All],[Column112]],0)+10,"")</f>
        <v/>
      </c>
      <c r="AJ164" s="134" t="str">
        <f>_xlfn.IFNA(MATCH(J164,Achievements[[#All],[Column113]],0)+10,"")</f>
        <v/>
      </c>
      <c r="AK164" s="134" t="str">
        <f>_xlfn.IFNA(MATCH(K164,Achievements[[#All],[Column113]],0)+10,"")</f>
        <v/>
      </c>
      <c r="AL164" s="134" t="str">
        <f>_xlfn.IFNA(MATCH(L164,Achievements[[#All],[Column114]],0)+10,"")</f>
        <v/>
      </c>
      <c r="AM164" s="134" t="str">
        <f>_xlfn.IFNA(MATCH(M164,Achievements[[#All],[Column114]],0)+10,"")</f>
        <v/>
      </c>
      <c r="AN164" s="134" t="str">
        <f>_xlfn.IFNA(MATCH(N164,Achievements[[#All],[Column115]],0)+10,"")</f>
        <v/>
      </c>
      <c r="AO164" s="134" t="str">
        <f>_xlfn.IFNA(MATCH(O164,Achievements[[#All],[Column115]],0)+10,"")</f>
        <v/>
      </c>
      <c r="AP164" s="134" t="str">
        <f>_xlfn.IFNA(MATCH(P164,Achievements[[#All],[Column116]],0)+10,"")</f>
        <v/>
      </c>
      <c r="AQ164" s="134" t="str">
        <f>_xlfn.IFNA(MATCH(Q164,Achievements[[#All],[Column116]],0)+10,"")</f>
        <v/>
      </c>
      <c r="AR164" s="134" t="str">
        <f>_xlfn.IFNA(MATCH(R164,Achievements[[#All],[Column117]],0)+10,"")</f>
        <v/>
      </c>
      <c r="AS164" s="134" t="str">
        <f>_xlfn.IFNA(MATCH(S164,Achievements[[#All],[Column117]],0)+10,"")</f>
        <v/>
      </c>
      <c r="AT164" s="134" t="str">
        <f>_xlfn.IFNA(MATCH(T164,Achievements[[#All],[Column118]],0)+10,"")</f>
        <v/>
      </c>
      <c r="AU164" s="134" t="str">
        <f>_xlfn.IFNA(MATCH(U164,Achievements[[#All],[Column118]],0)+10,"")</f>
        <v/>
      </c>
      <c r="AV164" s="134" t="str">
        <f>_xlfn.IFNA(MATCH(V164,Achievements[[#All],[Column119]],0)+10,"")</f>
        <v/>
      </c>
      <c r="AW164" s="134" t="str">
        <f>_xlfn.IFNA(MATCH(W164,Achievements[[#All],[Column119]],0)+10,"")</f>
        <v/>
      </c>
      <c r="AX164" s="134" t="str">
        <f>_xlfn.IFNA(MATCH(X164,Achievements[[#All],[Column120]],0)+10,"")</f>
        <v/>
      </c>
      <c r="AY164" s="134" t="str">
        <f>_xlfn.IFNA(MATCH(Y164,Achievements[[#All],[Column120]],0)+10,"")</f>
        <v/>
      </c>
      <c r="AZ164" s="116" t="e">
        <f t="shared" ca="1" si="4"/>
        <v>#NAME?</v>
      </c>
      <c r="BA164" s="134" t="e" cm="1">
        <f t="array" aca="1" ref="BA164" ca="1">SplitValues("; ",Persons[[#This Row],[Column1]])</f>
        <v>#NAME?</v>
      </c>
      <c r="CA164" s="134" t="e">
        <f ca="1">_xlfn.IFNA(MATCH(BA164,Achievements[[#All],[Column1]],0)+10,"")</f>
        <v>#NAME?</v>
      </c>
      <c r="CB164" s="134" t="str">
        <f>_xlfn.IFNA(MATCH(BB164,Achievements[[#All],[Column1]],0)+10,"")</f>
        <v/>
      </c>
      <c r="CC164" s="134" t="str">
        <f>_xlfn.IFNA(MATCH(BC164,Achievements[[#All],[Column110]],0)+10,"")</f>
        <v/>
      </c>
      <c r="CD164" s="134" t="str">
        <f>_xlfn.IFNA(MATCH(BD164,Achievements[[#All],[Column110]],0)+10,"")</f>
        <v/>
      </c>
      <c r="CE164" s="134" t="str">
        <f>_xlfn.IFNA(MATCH(BE164,Achievements[[#All],[Column111]],0)+10,"")</f>
        <v/>
      </c>
      <c r="CF164" s="134" t="str">
        <f>_xlfn.IFNA(MATCH(BF164,Achievements[[#All],[Column111]],0)+10,"")</f>
        <v/>
      </c>
      <c r="CG164" s="134" t="str">
        <f>_xlfn.IFNA(MATCH(BG164,Achievements[[#All],[Column112]],0)+10,"")</f>
        <v/>
      </c>
      <c r="CH164" s="134" t="str">
        <f>_xlfn.IFNA(MATCH(BH164,Achievements[[#All],[Column112]],0)+10,"")</f>
        <v/>
      </c>
      <c r="CI164" s="134" t="str">
        <f>_xlfn.IFNA(MATCH(BI164,Achievements[[#All],[Column113]],0)+10,"")</f>
        <v/>
      </c>
      <c r="CJ164" s="134" t="str">
        <f>_xlfn.IFNA(MATCH(BJ164,Achievements[[#All],[Column113]],0)+10,"")</f>
        <v/>
      </c>
      <c r="CK164" s="134" t="str">
        <f>_xlfn.IFNA(MATCH(BK164,Achievements[[#All],[Column114]],0)+10,"")</f>
        <v/>
      </c>
      <c r="CL164" s="134" t="str">
        <f>_xlfn.IFNA(MATCH(BL164,Achievements[[#All],[Column114]],0)+10,"")</f>
        <v/>
      </c>
      <c r="CM164" s="134" t="str">
        <f>_xlfn.IFNA(MATCH(BM164,Achievements[[#All],[Column115]],0)+10,"")</f>
        <v/>
      </c>
      <c r="CN164" s="134" t="str">
        <f>_xlfn.IFNA(MATCH(BN164,Achievements[[#All],[Column115]],0)+10,"")</f>
        <v/>
      </c>
      <c r="CO164" s="134" t="str">
        <f>_xlfn.IFNA(MATCH(BO164,Achievements[[#All],[Column116]],0)+10,"")</f>
        <v/>
      </c>
      <c r="CP164" s="134" t="str">
        <f>_xlfn.IFNA(MATCH(BP164,Achievements[[#All],[Column116]],0)+10,"")</f>
        <v/>
      </c>
      <c r="CQ164" s="134" t="str">
        <f>_xlfn.IFNA(MATCH(BQ164,Achievements[[#All],[Column117]],0)+10,"")</f>
        <v/>
      </c>
      <c r="CR164" s="134" t="str">
        <f>_xlfn.IFNA(MATCH(BR164,Achievements[[#All],[Column117]],0)+10,"")</f>
        <v/>
      </c>
      <c r="CS164" s="134" t="str">
        <f>_xlfn.IFNA(MATCH(BS164,Achievements[[#All],[Column118]],0)+10,"")</f>
        <v/>
      </c>
      <c r="CT164" s="134" t="str">
        <f>_xlfn.IFNA(MATCH(BT164,Achievements[[#All],[Column118]],0)+10,"")</f>
        <v/>
      </c>
      <c r="CU164" s="134" t="str">
        <f>_xlfn.IFNA(MATCH(BU164,Achievements[[#All],[Column119]],0)+10,"")</f>
        <v/>
      </c>
      <c r="CV164" s="134" t="str">
        <f>_xlfn.IFNA(MATCH(BV164,Achievements[[#All],[Column119]],0)+10,"")</f>
        <v/>
      </c>
      <c r="CW164" s="134" t="str">
        <f>_xlfn.IFNA(MATCH(BW164,Achievements[[#All],[Column120]],0)+10,"")</f>
        <v/>
      </c>
      <c r="CX164" s="134" t="str">
        <f>_xlfn.IFNA(MATCH(BX164,Achievements[[#All],[Column120]],0)+10,"")</f>
        <v/>
      </c>
      <c r="CY164" s="134" t="str">
        <f>_xlfn.IFNA(MATCH(BY164,Achievements[[#All],[Column121]],0)+10,"")</f>
        <v/>
      </c>
      <c r="CZ164" s="118" t="e">
        <f t="shared" ca="1" si="5"/>
        <v>#NAME?</v>
      </c>
    </row>
    <row r="165" spans="1:104" x14ac:dyDescent="0.25">
      <c r="A165" t="e" cm="1">
        <f t="array" aca="1" ref="A165" ca="1">SplitValues("; ",#REF!)</f>
        <v>#NAME?</v>
      </c>
      <c r="AA165" t="e">
        <f ca="1">_xlfn.IFNA(MATCH(A165,Achievements[[#All],[Column1]],0)+11,"")</f>
        <v>#NAME?</v>
      </c>
      <c r="AB165" s="134" t="str">
        <f>_xlfn.IFNA(MATCH(B165,Achievements[[#All],[Column1]],0)+10,"")</f>
        <v/>
      </c>
      <c r="AC165" s="134" t="str">
        <f>_xlfn.IFNA(MATCH(C165,Achievements[[#All],[Column1]],0)+10,"")</f>
        <v/>
      </c>
      <c r="AD165" s="134" t="str">
        <f>_xlfn.IFNA(MATCH(D165,Achievements[[#All],[Column110]],0)+10,"")</f>
        <v/>
      </c>
      <c r="AE165" s="134" t="str">
        <f>_xlfn.IFNA(MATCH(E165,Achievements[[#All],[Column110]],0)+10,"")</f>
        <v/>
      </c>
      <c r="AF165" s="134" t="str">
        <f>_xlfn.IFNA(MATCH(F165,Achievements[[#All],[Column111]],0)+10,"")</f>
        <v/>
      </c>
      <c r="AG165" s="134" t="str">
        <f>_xlfn.IFNA(MATCH(G165,Achievements[[#All],[Column111]],0)+10,"")</f>
        <v/>
      </c>
      <c r="AH165" s="134" t="str">
        <f>_xlfn.IFNA(MATCH(H165,Achievements[[#All],[Column112]],0)+10,"")</f>
        <v/>
      </c>
      <c r="AI165" s="134" t="str">
        <f>_xlfn.IFNA(MATCH(I165,Achievements[[#All],[Column112]],0)+10,"")</f>
        <v/>
      </c>
      <c r="AJ165" s="134" t="str">
        <f>_xlfn.IFNA(MATCH(J165,Achievements[[#All],[Column113]],0)+10,"")</f>
        <v/>
      </c>
      <c r="AK165" s="134" t="str">
        <f>_xlfn.IFNA(MATCH(K165,Achievements[[#All],[Column113]],0)+10,"")</f>
        <v/>
      </c>
      <c r="AL165" s="134" t="str">
        <f>_xlfn.IFNA(MATCH(L165,Achievements[[#All],[Column114]],0)+10,"")</f>
        <v/>
      </c>
      <c r="AM165" s="134" t="str">
        <f>_xlfn.IFNA(MATCH(M165,Achievements[[#All],[Column114]],0)+10,"")</f>
        <v/>
      </c>
      <c r="AN165" s="134" t="str">
        <f>_xlfn.IFNA(MATCH(N165,Achievements[[#All],[Column115]],0)+10,"")</f>
        <v/>
      </c>
      <c r="AO165" s="134" t="str">
        <f>_xlfn.IFNA(MATCH(O165,Achievements[[#All],[Column115]],0)+10,"")</f>
        <v/>
      </c>
      <c r="AP165" s="134" t="str">
        <f>_xlfn.IFNA(MATCH(P165,Achievements[[#All],[Column116]],0)+10,"")</f>
        <v/>
      </c>
      <c r="AQ165" s="134" t="str">
        <f>_xlfn.IFNA(MATCH(Q165,Achievements[[#All],[Column116]],0)+10,"")</f>
        <v/>
      </c>
      <c r="AR165" s="134" t="str">
        <f>_xlfn.IFNA(MATCH(R165,Achievements[[#All],[Column117]],0)+10,"")</f>
        <v/>
      </c>
      <c r="AS165" s="134" t="str">
        <f>_xlfn.IFNA(MATCH(S165,Achievements[[#All],[Column117]],0)+10,"")</f>
        <v/>
      </c>
      <c r="AT165" s="134" t="str">
        <f>_xlfn.IFNA(MATCH(T165,Achievements[[#All],[Column118]],0)+10,"")</f>
        <v/>
      </c>
      <c r="AU165" s="134" t="str">
        <f>_xlfn.IFNA(MATCH(U165,Achievements[[#All],[Column118]],0)+10,"")</f>
        <v/>
      </c>
      <c r="AV165" s="134" t="str">
        <f>_xlfn.IFNA(MATCH(V165,Achievements[[#All],[Column119]],0)+10,"")</f>
        <v/>
      </c>
      <c r="AW165" s="134" t="str">
        <f>_xlfn.IFNA(MATCH(W165,Achievements[[#All],[Column119]],0)+10,"")</f>
        <v/>
      </c>
      <c r="AX165" s="134" t="str">
        <f>_xlfn.IFNA(MATCH(X165,Achievements[[#All],[Column120]],0)+10,"")</f>
        <v/>
      </c>
      <c r="AY165" s="134" t="str">
        <f>_xlfn.IFNA(MATCH(Y165,Achievements[[#All],[Column120]],0)+10,"")</f>
        <v/>
      </c>
      <c r="AZ165" s="116" t="e">
        <f t="shared" ca="1" si="4"/>
        <v>#NAME?</v>
      </c>
      <c r="BA165" s="134" t="e" cm="1">
        <f t="array" aca="1" ref="BA165" ca="1">SplitValues("; ",Persons[[#This Row],[Column1]])</f>
        <v>#NAME?</v>
      </c>
      <c r="CA165" s="134" t="e">
        <f ca="1">_xlfn.IFNA(MATCH(BA165,Achievements[[#All],[Column1]],0)+10,"")</f>
        <v>#NAME?</v>
      </c>
      <c r="CB165" s="134" t="str">
        <f>_xlfn.IFNA(MATCH(BB165,Achievements[[#All],[Column1]],0)+10,"")</f>
        <v/>
      </c>
      <c r="CC165" s="134" t="str">
        <f>_xlfn.IFNA(MATCH(BC165,Achievements[[#All],[Column110]],0)+10,"")</f>
        <v/>
      </c>
      <c r="CD165" s="134" t="str">
        <f>_xlfn.IFNA(MATCH(BD165,Achievements[[#All],[Column110]],0)+10,"")</f>
        <v/>
      </c>
      <c r="CE165" s="134" t="str">
        <f>_xlfn.IFNA(MATCH(BE165,Achievements[[#All],[Column111]],0)+10,"")</f>
        <v/>
      </c>
      <c r="CF165" s="134" t="str">
        <f>_xlfn.IFNA(MATCH(BF165,Achievements[[#All],[Column111]],0)+10,"")</f>
        <v/>
      </c>
      <c r="CG165" s="134" t="str">
        <f>_xlfn.IFNA(MATCH(BG165,Achievements[[#All],[Column112]],0)+10,"")</f>
        <v/>
      </c>
      <c r="CH165" s="134" t="str">
        <f>_xlfn.IFNA(MATCH(BH165,Achievements[[#All],[Column112]],0)+10,"")</f>
        <v/>
      </c>
      <c r="CI165" s="134" t="str">
        <f>_xlfn.IFNA(MATCH(BI165,Achievements[[#All],[Column113]],0)+10,"")</f>
        <v/>
      </c>
      <c r="CJ165" s="134" t="str">
        <f>_xlfn.IFNA(MATCH(BJ165,Achievements[[#All],[Column113]],0)+10,"")</f>
        <v/>
      </c>
      <c r="CK165" s="134" t="str">
        <f>_xlfn.IFNA(MATCH(BK165,Achievements[[#All],[Column114]],0)+10,"")</f>
        <v/>
      </c>
      <c r="CL165" s="134" t="str">
        <f>_xlfn.IFNA(MATCH(BL165,Achievements[[#All],[Column114]],0)+10,"")</f>
        <v/>
      </c>
      <c r="CM165" s="134" t="str">
        <f>_xlfn.IFNA(MATCH(BM165,Achievements[[#All],[Column115]],0)+10,"")</f>
        <v/>
      </c>
      <c r="CN165" s="134" t="str">
        <f>_xlfn.IFNA(MATCH(BN165,Achievements[[#All],[Column115]],0)+10,"")</f>
        <v/>
      </c>
      <c r="CO165" s="134" t="str">
        <f>_xlfn.IFNA(MATCH(BO165,Achievements[[#All],[Column116]],0)+10,"")</f>
        <v/>
      </c>
      <c r="CP165" s="134" t="str">
        <f>_xlfn.IFNA(MATCH(BP165,Achievements[[#All],[Column116]],0)+10,"")</f>
        <v/>
      </c>
      <c r="CQ165" s="134" t="str">
        <f>_xlfn.IFNA(MATCH(BQ165,Achievements[[#All],[Column117]],0)+10,"")</f>
        <v/>
      </c>
      <c r="CR165" s="134" t="str">
        <f>_xlfn.IFNA(MATCH(BR165,Achievements[[#All],[Column117]],0)+10,"")</f>
        <v/>
      </c>
      <c r="CS165" s="134" t="str">
        <f>_xlfn.IFNA(MATCH(BS165,Achievements[[#All],[Column118]],0)+10,"")</f>
        <v/>
      </c>
      <c r="CT165" s="134" t="str">
        <f>_xlfn.IFNA(MATCH(BT165,Achievements[[#All],[Column118]],0)+10,"")</f>
        <v/>
      </c>
      <c r="CU165" s="134" t="str">
        <f>_xlfn.IFNA(MATCH(BU165,Achievements[[#All],[Column119]],0)+10,"")</f>
        <v/>
      </c>
      <c r="CV165" s="134" t="str">
        <f>_xlfn.IFNA(MATCH(BV165,Achievements[[#All],[Column119]],0)+10,"")</f>
        <v/>
      </c>
      <c r="CW165" s="134" t="str">
        <f>_xlfn.IFNA(MATCH(BW165,Achievements[[#All],[Column120]],0)+10,"")</f>
        <v/>
      </c>
      <c r="CX165" s="134" t="str">
        <f>_xlfn.IFNA(MATCH(BX165,Achievements[[#All],[Column120]],0)+10,"")</f>
        <v/>
      </c>
      <c r="CY165" s="134" t="str">
        <f>_xlfn.IFNA(MATCH(BY165,Achievements[[#All],[Column121]],0)+10,"")</f>
        <v/>
      </c>
      <c r="CZ165" s="118" t="e">
        <f t="shared" ca="1" si="5"/>
        <v>#NAME?</v>
      </c>
    </row>
    <row r="166" spans="1:104" x14ac:dyDescent="0.25">
      <c r="A166" t="e" cm="1">
        <f t="array" aca="1" ref="A166" ca="1">SplitValues("; ",#REF!)</f>
        <v>#NAME?</v>
      </c>
      <c r="AA166" t="e">
        <f ca="1">_xlfn.IFNA(MATCH(A166,Achievements[[#All],[Column1]],0)+11,"")</f>
        <v>#NAME?</v>
      </c>
      <c r="AB166" s="134" t="str">
        <f>_xlfn.IFNA(MATCH(B166,Achievements[[#All],[Column1]],0)+10,"")</f>
        <v/>
      </c>
      <c r="AC166" s="134" t="str">
        <f>_xlfn.IFNA(MATCH(C166,Achievements[[#All],[Column1]],0)+10,"")</f>
        <v/>
      </c>
      <c r="AD166" s="134" t="str">
        <f>_xlfn.IFNA(MATCH(D166,Achievements[[#All],[Column110]],0)+10,"")</f>
        <v/>
      </c>
      <c r="AE166" s="134" t="str">
        <f>_xlfn.IFNA(MATCH(E166,Achievements[[#All],[Column110]],0)+10,"")</f>
        <v/>
      </c>
      <c r="AF166" s="134" t="str">
        <f>_xlfn.IFNA(MATCH(F166,Achievements[[#All],[Column111]],0)+10,"")</f>
        <v/>
      </c>
      <c r="AG166" s="134" t="str">
        <f>_xlfn.IFNA(MATCH(G166,Achievements[[#All],[Column111]],0)+10,"")</f>
        <v/>
      </c>
      <c r="AH166" s="134" t="str">
        <f>_xlfn.IFNA(MATCH(H166,Achievements[[#All],[Column112]],0)+10,"")</f>
        <v/>
      </c>
      <c r="AI166" s="134" t="str">
        <f>_xlfn.IFNA(MATCH(I166,Achievements[[#All],[Column112]],0)+10,"")</f>
        <v/>
      </c>
      <c r="AJ166" s="134" t="str">
        <f>_xlfn.IFNA(MATCH(J166,Achievements[[#All],[Column113]],0)+10,"")</f>
        <v/>
      </c>
      <c r="AK166" s="134" t="str">
        <f>_xlfn.IFNA(MATCH(K166,Achievements[[#All],[Column113]],0)+10,"")</f>
        <v/>
      </c>
      <c r="AL166" s="134" t="str">
        <f>_xlfn.IFNA(MATCH(L166,Achievements[[#All],[Column114]],0)+10,"")</f>
        <v/>
      </c>
      <c r="AM166" s="134" t="str">
        <f>_xlfn.IFNA(MATCH(M166,Achievements[[#All],[Column114]],0)+10,"")</f>
        <v/>
      </c>
      <c r="AN166" s="134" t="str">
        <f>_xlfn.IFNA(MATCH(N166,Achievements[[#All],[Column115]],0)+10,"")</f>
        <v/>
      </c>
      <c r="AO166" s="134" t="str">
        <f>_xlfn.IFNA(MATCH(O166,Achievements[[#All],[Column115]],0)+10,"")</f>
        <v/>
      </c>
      <c r="AP166" s="134" t="str">
        <f>_xlfn.IFNA(MATCH(P166,Achievements[[#All],[Column116]],0)+10,"")</f>
        <v/>
      </c>
      <c r="AQ166" s="134" t="str">
        <f>_xlfn.IFNA(MATCH(Q166,Achievements[[#All],[Column116]],0)+10,"")</f>
        <v/>
      </c>
      <c r="AR166" s="134" t="str">
        <f>_xlfn.IFNA(MATCH(R166,Achievements[[#All],[Column117]],0)+10,"")</f>
        <v/>
      </c>
      <c r="AS166" s="134" t="str">
        <f>_xlfn.IFNA(MATCH(S166,Achievements[[#All],[Column117]],0)+10,"")</f>
        <v/>
      </c>
      <c r="AT166" s="134" t="str">
        <f>_xlfn.IFNA(MATCH(T166,Achievements[[#All],[Column118]],0)+10,"")</f>
        <v/>
      </c>
      <c r="AU166" s="134" t="str">
        <f>_xlfn.IFNA(MATCH(U166,Achievements[[#All],[Column118]],0)+10,"")</f>
        <v/>
      </c>
      <c r="AV166" s="134" t="str">
        <f>_xlfn.IFNA(MATCH(V166,Achievements[[#All],[Column119]],0)+10,"")</f>
        <v/>
      </c>
      <c r="AW166" s="134" t="str">
        <f>_xlfn.IFNA(MATCH(W166,Achievements[[#All],[Column119]],0)+10,"")</f>
        <v/>
      </c>
      <c r="AX166" s="134" t="str">
        <f>_xlfn.IFNA(MATCH(X166,Achievements[[#All],[Column120]],0)+10,"")</f>
        <v/>
      </c>
      <c r="AY166" s="134" t="str">
        <f>_xlfn.IFNA(MATCH(Y166,Achievements[[#All],[Column120]],0)+10,"")</f>
        <v/>
      </c>
      <c r="AZ166" s="116" t="e">
        <f t="shared" ca="1" si="4"/>
        <v>#NAME?</v>
      </c>
      <c r="BA166" s="134" t="e" cm="1">
        <f t="array" aca="1" ref="BA166" ca="1">SplitValues("; ",Persons[[#This Row],[Column1]])</f>
        <v>#NAME?</v>
      </c>
      <c r="CA166" s="134" t="e">
        <f ca="1">_xlfn.IFNA(MATCH(BA166,Achievements[[#All],[Column1]],0)+10,"")</f>
        <v>#NAME?</v>
      </c>
      <c r="CB166" s="134" t="str">
        <f>_xlfn.IFNA(MATCH(BB166,Achievements[[#All],[Column1]],0)+10,"")</f>
        <v/>
      </c>
      <c r="CC166" s="134" t="str">
        <f>_xlfn.IFNA(MATCH(BC166,Achievements[[#All],[Column110]],0)+10,"")</f>
        <v/>
      </c>
      <c r="CD166" s="134" t="str">
        <f>_xlfn.IFNA(MATCH(BD166,Achievements[[#All],[Column110]],0)+10,"")</f>
        <v/>
      </c>
      <c r="CE166" s="134" t="str">
        <f>_xlfn.IFNA(MATCH(BE166,Achievements[[#All],[Column111]],0)+10,"")</f>
        <v/>
      </c>
      <c r="CF166" s="134" t="str">
        <f>_xlfn.IFNA(MATCH(BF166,Achievements[[#All],[Column111]],0)+10,"")</f>
        <v/>
      </c>
      <c r="CG166" s="134" t="str">
        <f>_xlfn.IFNA(MATCH(BG166,Achievements[[#All],[Column112]],0)+10,"")</f>
        <v/>
      </c>
      <c r="CH166" s="134" t="str">
        <f>_xlfn.IFNA(MATCH(BH166,Achievements[[#All],[Column112]],0)+10,"")</f>
        <v/>
      </c>
      <c r="CI166" s="134" t="str">
        <f>_xlfn.IFNA(MATCH(BI166,Achievements[[#All],[Column113]],0)+10,"")</f>
        <v/>
      </c>
      <c r="CJ166" s="134" t="str">
        <f>_xlfn.IFNA(MATCH(BJ166,Achievements[[#All],[Column113]],0)+10,"")</f>
        <v/>
      </c>
      <c r="CK166" s="134" t="str">
        <f>_xlfn.IFNA(MATCH(BK166,Achievements[[#All],[Column114]],0)+10,"")</f>
        <v/>
      </c>
      <c r="CL166" s="134" t="str">
        <f>_xlfn.IFNA(MATCH(BL166,Achievements[[#All],[Column114]],0)+10,"")</f>
        <v/>
      </c>
      <c r="CM166" s="134" t="str">
        <f>_xlfn.IFNA(MATCH(BM166,Achievements[[#All],[Column115]],0)+10,"")</f>
        <v/>
      </c>
      <c r="CN166" s="134" t="str">
        <f>_xlfn.IFNA(MATCH(BN166,Achievements[[#All],[Column115]],0)+10,"")</f>
        <v/>
      </c>
      <c r="CO166" s="134" t="str">
        <f>_xlfn.IFNA(MATCH(BO166,Achievements[[#All],[Column116]],0)+10,"")</f>
        <v/>
      </c>
      <c r="CP166" s="134" t="str">
        <f>_xlfn.IFNA(MATCH(BP166,Achievements[[#All],[Column116]],0)+10,"")</f>
        <v/>
      </c>
      <c r="CQ166" s="134" t="str">
        <f>_xlfn.IFNA(MATCH(BQ166,Achievements[[#All],[Column117]],0)+10,"")</f>
        <v/>
      </c>
      <c r="CR166" s="134" t="str">
        <f>_xlfn.IFNA(MATCH(BR166,Achievements[[#All],[Column117]],0)+10,"")</f>
        <v/>
      </c>
      <c r="CS166" s="134" t="str">
        <f>_xlfn.IFNA(MATCH(BS166,Achievements[[#All],[Column118]],0)+10,"")</f>
        <v/>
      </c>
      <c r="CT166" s="134" t="str">
        <f>_xlfn.IFNA(MATCH(BT166,Achievements[[#All],[Column118]],0)+10,"")</f>
        <v/>
      </c>
      <c r="CU166" s="134" t="str">
        <f>_xlfn.IFNA(MATCH(BU166,Achievements[[#All],[Column119]],0)+10,"")</f>
        <v/>
      </c>
      <c r="CV166" s="134" t="str">
        <f>_xlfn.IFNA(MATCH(BV166,Achievements[[#All],[Column119]],0)+10,"")</f>
        <v/>
      </c>
      <c r="CW166" s="134" t="str">
        <f>_xlfn.IFNA(MATCH(BW166,Achievements[[#All],[Column120]],0)+10,"")</f>
        <v/>
      </c>
      <c r="CX166" s="134" t="str">
        <f>_xlfn.IFNA(MATCH(BX166,Achievements[[#All],[Column120]],0)+10,"")</f>
        <v/>
      </c>
      <c r="CY166" s="134" t="str">
        <f>_xlfn.IFNA(MATCH(BY166,Achievements[[#All],[Column121]],0)+10,"")</f>
        <v/>
      </c>
      <c r="CZ166" s="118" t="e">
        <f t="shared" ca="1" si="5"/>
        <v>#NAME?</v>
      </c>
    </row>
    <row r="167" spans="1:104" x14ac:dyDescent="0.25">
      <c r="A167" t="e" cm="1">
        <f t="array" aca="1" ref="A167" ca="1">SplitValues("; ",#REF!)</f>
        <v>#NAME?</v>
      </c>
      <c r="AA167" t="e">
        <f ca="1">_xlfn.IFNA(MATCH(A167,Achievements[[#All],[Column1]],0)+11,"")</f>
        <v>#NAME?</v>
      </c>
      <c r="AB167" s="134" t="str">
        <f>_xlfn.IFNA(MATCH(B167,Achievements[[#All],[Column1]],0)+10,"")</f>
        <v/>
      </c>
      <c r="AC167" s="134" t="str">
        <f>_xlfn.IFNA(MATCH(C167,Achievements[[#All],[Column1]],0)+10,"")</f>
        <v/>
      </c>
      <c r="AD167" s="134" t="str">
        <f>_xlfn.IFNA(MATCH(D167,Achievements[[#All],[Column110]],0)+10,"")</f>
        <v/>
      </c>
      <c r="AE167" s="134" t="str">
        <f>_xlfn.IFNA(MATCH(E167,Achievements[[#All],[Column110]],0)+10,"")</f>
        <v/>
      </c>
      <c r="AF167" s="134" t="str">
        <f>_xlfn.IFNA(MATCH(F167,Achievements[[#All],[Column111]],0)+10,"")</f>
        <v/>
      </c>
      <c r="AG167" s="134" t="str">
        <f>_xlfn.IFNA(MATCH(G167,Achievements[[#All],[Column111]],0)+10,"")</f>
        <v/>
      </c>
      <c r="AH167" s="134" t="str">
        <f>_xlfn.IFNA(MATCH(H167,Achievements[[#All],[Column112]],0)+10,"")</f>
        <v/>
      </c>
      <c r="AI167" s="134" t="str">
        <f>_xlfn.IFNA(MATCH(I167,Achievements[[#All],[Column112]],0)+10,"")</f>
        <v/>
      </c>
      <c r="AJ167" s="134" t="str">
        <f>_xlfn.IFNA(MATCH(J167,Achievements[[#All],[Column113]],0)+10,"")</f>
        <v/>
      </c>
      <c r="AK167" s="134" t="str">
        <f>_xlfn.IFNA(MATCH(K167,Achievements[[#All],[Column113]],0)+10,"")</f>
        <v/>
      </c>
      <c r="AL167" s="134" t="str">
        <f>_xlfn.IFNA(MATCH(L167,Achievements[[#All],[Column114]],0)+10,"")</f>
        <v/>
      </c>
      <c r="AM167" s="134" t="str">
        <f>_xlfn.IFNA(MATCH(M167,Achievements[[#All],[Column114]],0)+10,"")</f>
        <v/>
      </c>
      <c r="AN167" s="134" t="str">
        <f>_xlfn.IFNA(MATCH(N167,Achievements[[#All],[Column115]],0)+10,"")</f>
        <v/>
      </c>
      <c r="AO167" s="134" t="str">
        <f>_xlfn.IFNA(MATCH(O167,Achievements[[#All],[Column115]],0)+10,"")</f>
        <v/>
      </c>
      <c r="AP167" s="134" t="str">
        <f>_xlfn.IFNA(MATCH(P167,Achievements[[#All],[Column116]],0)+10,"")</f>
        <v/>
      </c>
      <c r="AQ167" s="134" t="str">
        <f>_xlfn.IFNA(MATCH(Q167,Achievements[[#All],[Column116]],0)+10,"")</f>
        <v/>
      </c>
      <c r="AR167" s="134" t="str">
        <f>_xlfn.IFNA(MATCH(R167,Achievements[[#All],[Column117]],0)+10,"")</f>
        <v/>
      </c>
      <c r="AS167" s="134" t="str">
        <f>_xlfn.IFNA(MATCH(S167,Achievements[[#All],[Column117]],0)+10,"")</f>
        <v/>
      </c>
      <c r="AT167" s="134" t="str">
        <f>_xlfn.IFNA(MATCH(T167,Achievements[[#All],[Column118]],0)+10,"")</f>
        <v/>
      </c>
      <c r="AU167" s="134" t="str">
        <f>_xlfn.IFNA(MATCH(U167,Achievements[[#All],[Column118]],0)+10,"")</f>
        <v/>
      </c>
      <c r="AV167" s="134" t="str">
        <f>_xlfn.IFNA(MATCH(V167,Achievements[[#All],[Column119]],0)+10,"")</f>
        <v/>
      </c>
      <c r="AW167" s="134" t="str">
        <f>_xlfn.IFNA(MATCH(W167,Achievements[[#All],[Column119]],0)+10,"")</f>
        <v/>
      </c>
      <c r="AX167" s="134" t="str">
        <f>_xlfn.IFNA(MATCH(X167,Achievements[[#All],[Column120]],0)+10,"")</f>
        <v/>
      </c>
      <c r="AY167" s="134" t="str">
        <f>_xlfn.IFNA(MATCH(Y167,Achievements[[#All],[Column120]],0)+10,"")</f>
        <v/>
      </c>
      <c r="AZ167" s="116" t="e">
        <f t="shared" ca="1" si="4"/>
        <v>#NAME?</v>
      </c>
      <c r="BA167" s="134" t="e" cm="1">
        <f t="array" aca="1" ref="BA167" ca="1">SplitValues("; ",Persons[[#This Row],[Column1]])</f>
        <v>#NAME?</v>
      </c>
      <c r="CA167" s="134" t="e">
        <f ca="1">_xlfn.IFNA(MATCH(BA167,Achievements[[#All],[Column1]],0)+10,"")</f>
        <v>#NAME?</v>
      </c>
      <c r="CB167" s="134" t="str">
        <f>_xlfn.IFNA(MATCH(BB167,Achievements[[#All],[Column1]],0)+10,"")</f>
        <v/>
      </c>
      <c r="CC167" s="134" t="str">
        <f>_xlfn.IFNA(MATCH(BC167,Achievements[[#All],[Column110]],0)+10,"")</f>
        <v/>
      </c>
      <c r="CD167" s="134" t="str">
        <f>_xlfn.IFNA(MATCH(BD167,Achievements[[#All],[Column110]],0)+10,"")</f>
        <v/>
      </c>
      <c r="CE167" s="134" t="str">
        <f>_xlfn.IFNA(MATCH(BE167,Achievements[[#All],[Column111]],0)+10,"")</f>
        <v/>
      </c>
      <c r="CF167" s="134" t="str">
        <f>_xlfn.IFNA(MATCH(BF167,Achievements[[#All],[Column111]],0)+10,"")</f>
        <v/>
      </c>
      <c r="CG167" s="134" t="str">
        <f>_xlfn.IFNA(MATCH(BG167,Achievements[[#All],[Column112]],0)+10,"")</f>
        <v/>
      </c>
      <c r="CH167" s="134" t="str">
        <f>_xlfn.IFNA(MATCH(BH167,Achievements[[#All],[Column112]],0)+10,"")</f>
        <v/>
      </c>
      <c r="CI167" s="134" t="str">
        <f>_xlfn.IFNA(MATCH(BI167,Achievements[[#All],[Column113]],0)+10,"")</f>
        <v/>
      </c>
      <c r="CJ167" s="134" t="str">
        <f>_xlfn.IFNA(MATCH(BJ167,Achievements[[#All],[Column113]],0)+10,"")</f>
        <v/>
      </c>
      <c r="CK167" s="134" t="str">
        <f>_xlfn.IFNA(MATCH(BK167,Achievements[[#All],[Column114]],0)+10,"")</f>
        <v/>
      </c>
      <c r="CL167" s="134" t="str">
        <f>_xlfn.IFNA(MATCH(BL167,Achievements[[#All],[Column114]],0)+10,"")</f>
        <v/>
      </c>
      <c r="CM167" s="134" t="str">
        <f>_xlfn.IFNA(MATCH(BM167,Achievements[[#All],[Column115]],0)+10,"")</f>
        <v/>
      </c>
      <c r="CN167" s="134" t="str">
        <f>_xlfn.IFNA(MATCH(BN167,Achievements[[#All],[Column115]],0)+10,"")</f>
        <v/>
      </c>
      <c r="CO167" s="134" t="str">
        <f>_xlfn.IFNA(MATCH(BO167,Achievements[[#All],[Column116]],0)+10,"")</f>
        <v/>
      </c>
      <c r="CP167" s="134" t="str">
        <f>_xlfn.IFNA(MATCH(BP167,Achievements[[#All],[Column116]],0)+10,"")</f>
        <v/>
      </c>
      <c r="CQ167" s="134" t="str">
        <f>_xlfn.IFNA(MATCH(BQ167,Achievements[[#All],[Column117]],0)+10,"")</f>
        <v/>
      </c>
      <c r="CR167" s="134" t="str">
        <f>_xlfn.IFNA(MATCH(BR167,Achievements[[#All],[Column117]],0)+10,"")</f>
        <v/>
      </c>
      <c r="CS167" s="134" t="str">
        <f>_xlfn.IFNA(MATCH(BS167,Achievements[[#All],[Column118]],0)+10,"")</f>
        <v/>
      </c>
      <c r="CT167" s="134" t="str">
        <f>_xlfn.IFNA(MATCH(BT167,Achievements[[#All],[Column118]],0)+10,"")</f>
        <v/>
      </c>
      <c r="CU167" s="134" t="str">
        <f>_xlfn.IFNA(MATCH(BU167,Achievements[[#All],[Column119]],0)+10,"")</f>
        <v/>
      </c>
      <c r="CV167" s="134" t="str">
        <f>_xlfn.IFNA(MATCH(BV167,Achievements[[#All],[Column119]],0)+10,"")</f>
        <v/>
      </c>
      <c r="CW167" s="134" t="str">
        <f>_xlfn.IFNA(MATCH(BW167,Achievements[[#All],[Column120]],0)+10,"")</f>
        <v/>
      </c>
      <c r="CX167" s="134" t="str">
        <f>_xlfn.IFNA(MATCH(BX167,Achievements[[#All],[Column120]],0)+10,"")</f>
        <v/>
      </c>
      <c r="CY167" s="134" t="str">
        <f>_xlfn.IFNA(MATCH(BY167,Achievements[[#All],[Column121]],0)+10,"")</f>
        <v/>
      </c>
      <c r="CZ167" s="118" t="e">
        <f t="shared" ca="1" si="5"/>
        <v>#NAME?</v>
      </c>
    </row>
    <row r="168" spans="1:104" x14ac:dyDescent="0.25">
      <c r="A168" t="e" cm="1">
        <f t="array" aca="1" ref="A168" ca="1">SplitValues("; ",#REF!)</f>
        <v>#NAME?</v>
      </c>
      <c r="AA168" t="e">
        <f ca="1">_xlfn.IFNA(MATCH(A168,Achievements[[#All],[Column1]],0)+11,"")</f>
        <v>#NAME?</v>
      </c>
      <c r="AB168" s="134" t="str">
        <f>_xlfn.IFNA(MATCH(B168,Achievements[[#All],[Column1]],0)+10,"")</f>
        <v/>
      </c>
      <c r="AC168" s="134" t="str">
        <f>_xlfn.IFNA(MATCH(C168,Achievements[[#All],[Column1]],0)+10,"")</f>
        <v/>
      </c>
      <c r="AD168" s="134" t="str">
        <f>_xlfn.IFNA(MATCH(D168,Achievements[[#All],[Column110]],0)+10,"")</f>
        <v/>
      </c>
      <c r="AE168" s="134" t="str">
        <f>_xlfn.IFNA(MATCH(E168,Achievements[[#All],[Column110]],0)+10,"")</f>
        <v/>
      </c>
      <c r="AF168" s="134" t="str">
        <f>_xlfn.IFNA(MATCH(F168,Achievements[[#All],[Column111]],0)+10,"")</f>
        <v/>
      </c>
      <c r="AG168" s="134" t="str">
        <f>_xlfn.IFNA(MATCH(G168,Achievements[[#All],[Column111]],0)+10,"")</f>
        <v/>
      </c>
      <c r="AH168" s="134" t="str">
        <f>_xlfn.IFNA(MATCH(H168,Achievements[[#All],[Column112]],0)+10,"")</f>
        <v/>
      </c>
      <c r="AI168" s="134" t="str">
        <f>_xlfn.IFNA(MATCH(I168,Achievements[[#All],[Column112]],0)+10,"")</f>
        <v/>
      </c>
      <c r="AJ168" s="134" t="str">
        <f>_xlfn.IFNA(MATCH(J168,Achievements[[#All],[Column113]],0)+10,"")</f>
        <v/>
      </c>
      <c r="AK168" s="134" t="str">
        <f>_xlfn.IFNA(MATCH(K168,Achievements[[#All],[Column113]],0)+10,"")</f>
        <v/>
      </c>
      <c r="AL168" s="134" t="str">
        <f>_xlfn.IFNA(MATCH(L168,Achievements[[#All],[Column114]],0)+10,"")</f>
        <v/>
      </c>
      <c r="AM168" s="134" t="str">
        <f>_xlfn.IFNA(MATCH(M168,Achievements[[#All],[Column114]],0)+10,"")</f>
        <v/>
      </c>
      <c r="AN168" s="134" t="str">
        <f>_xlfn.IFNA(MATCH(N168,Achievements[[#All],[Column115]],0)+10,"")</f>
        <v/>
      </c>
      <c r="AO168" s="134" t="str">
        <f>_xlfn.IFNA(MATCH(O168,Achievements[[#All],[Column115]],0)+10,"")</f>
        <v/>
      </c>
      <c r="AP168" s="134" t="str">
        <f>_xlfn.IFNA(MATCH(P168,Achievements[[#All],[Column116]],0)+10,"")</f>
        <v/>
      </c>
      <c r="AQ168" s="134" t="str">
        <f>_xlfn.IFNA(MATCH(Q168,Achievements[[#All],[Column116]],0)+10,"")</f>
        <v/>
      </c>
      <c r="AR168" s="134" t="str">
        <f>_xlfn.IFNA(MATCH(R168,Achievements[[#All],[Column117]],0)+10,"")</f>
        <v/>
      </c>
      <c r="AS168" s="134" t="str">
        <f>_xlfn.IFNA(MATCH(S168,Achievements[[#All],[Column117]],0)+10,"")</f>
        <v/>
      </c>
      <c r="AT168" s="134" t="str">
        <f>_xlfn.IFNA(MATCH(T168,Achievements[[#All],[Column118]],0)+10,"")</f>
        <v/>
      </c>
      <c r="AU168" s="134" t="str">
        <f>_xlfn.IFNA(MATCH(U168,Achievements[[#All],[Column118]],0)+10,"")</f>
        <v/>
      </c>
      <c r="AV168" s="134" t="str">
        <f>_xlfn.IFNA(MATCH(V168,Achievements[[#All],[Column119]],0)+10,"")</f>
        <v/>
      </c>
      <c r="AW168" s="134" t="str">
        <f>_xlfn.IFNA(MATCH(W168,Achievements[[#All],[Column119]],0)+10,"")</f>
        <v/>
      </c>
      <c r="AX168" s="134" t="str">
        <f>_xlfn.IFNA(MATCH(X168,Achievements[[#All],[Column120]],0)+10,"")</f>
        <v/>
      </c>
      <c r="AY168" s="134" t="str">
        <f>_xlfn.IFNA(MATCH(Y168,Achievements[[#All],[Column120]],0)+10,"")</f>
        <v/>
      </c>
      <c r="AZ168" s="116" t="e">
        <f t="shared" ca="1" si="4"/>
        <v>#NAME?</v>
      </c>
      <c r="BA168" s="134" t="e" cm="1">
        <f t="array" aca="1" ref="BA168" ca="1">SplitValues("; ",Persons[[#This Row],[Column1]])</f>
        <v>#NAME?</v>
      </c>
      <c r="CA168" s="134" t="e">
        <f ca="1">_xlfn.IFNA(MATCH(BA168,Achievements[[#All],[Column1]],0)+10,"")</f>
        <v>#NAME?</v>
      </c>
      <c r="CB168" s="134" t="str">
        <f>_xlfn.IFNA(MATCH(BB168,Achievements[[#All],[Column1]],0)+10,"")</f>
        <v/>
      </c>
      <c r="CC168" s="134" t="str">
        <f>_xlfn.IFNA(MATCH(BC168,Achievements[[#All],[Column110]],0)+10,"")</f>
        <v/>
      </c>
      <c r="CD168" s="134" t="str">
        <f>_xlfn.IFNA(MATCH(BD168,Achievements[[#All],[Column110]],0)+10,"")</f>
        <v/>
      </c>
      <c r="CE168" s="134" t="str">
        <f>_xlfn.IFNA(MATCH(BE168,Achievements[[#All],[Column111]],0)+10,"")</f>
        <v/>
      </c>
      <c r="CF168" s="134" t="str">
        <f>_xlfn.IFNA(MATCH(BF168,Achievements[[#All],[Column111]],0)+10,"")</f>
        <v/>
      </c>
      <c r="CG168" s="134" t="str">
        <f>_xlfn.IFNA(MATCH(BG168,Achievements[[#All],[Column112]],0)+10,"")</f>
        <v/>
      </c>
      <c r="CH168" s="134" t="str">
        <f>_xlfn.IFNA(MATCH(BH168,Achievements[[#All],[Column112]],0)+10,"")</f>
        <v/>
      </c>
      <c r="CI168" s="134" t="str">
        <f>_xlfn.IFNA(MATCH(BI168,Achievements[[#All],[Column113]],0)+10,"")</f>
        <v/>
      </c>
      <c r="CJ168" s="134" t="str">
        <f>_xlfn.IFNA(MATCH(BJ168,Achievements[[#All],[Column113]],0)+10,"")</f>
        <v/>
      </c>
      <c r="CK168" s="134" t="str">
        <f>_xlfn.IFNA(MATCH(BK168,Achievements[[#All],[Column114]],0)+10,"")</f>
        <v/>
      </c>
      <c r="CL168" s="134" t="str">
        <f>_xlfn.IFNA(MATCH(BL168,Achievements[[#All],[Column114]],0)+10,"")</f>
        <v/>
      </c>
      <c r="CM168" s="134" t="str">
        <f>_xlfn.IFNA(MATCH(BM168,Achievements[[#All],[Column115]],0)+10,"")</f>
        <v/>
      </c>
      <c r="CN168" s="134" t="str">
        <f>_xlfn.IFNA(MATCH(BN168,Achievements[[#All],[Column115]],0)+10,"")</f>
        <v/>
      </c>
      <c r="CO168" s="134" t="str">
        <f>_xlfn.IFNA(MATCH(BO168,Achievements[[#All],[Column116]],0)+10,"")</f>
        <v/>
      </c>
      <c r="CP168" s="134" t="str">
        <f>_xlfn.IFNA(MATCH(BP168,Achievements[[#All],[Column116]],0)+10,"")</f>
        <v/>
      </c>
      <c r="CQ168" s="134" t="str">
        <f>_xlfn.IFNA(MATCH(BQ168,Achievements[[#All],[Column117]],0)+10,"")</f>
        <v/>
      </c>
      <c r="CR168" s="134" t="str">
        <f>_xlfn.IFNA(MATCH(BR168,Achievements[[#All],[Column117]],0)+10,"")</f>
        <v/>
      </c>
      <c r="CS168" s="134" t="str">
        <f>_xlfn.IFNA(MATCH(BS168,Achievements[[#All],[Column118]],0)+10,"")</f>
        <v/>
      </c>
      <c r="CT168" s="134" t="str">
        <f>_xlfn.IFNA(MATCH(BT168,Achievements[[#All],[Column118]],0)+10,"")</f>
        <v/>
      </c>
      <c r="CU168" s="134" t="str">
        <f>_xlfn.IFNA(MATCH(BU168,Achievements[[#All],[Column119]],0)+10,"")</f>
        <v/>
      </c>
      <c r="CV168" s="134" t="str">
        <f>_xlfn.IFNA(MATCH(BV168,Achievements[[#All],[Column119]],0)+10,"")</f>
        <v/>
      </c>
      <c r="CW168" s="134" t="str">
        <f>_xlfn.IFNA(MATCH(BW168,Achievements[[#All],[Column120]],0)+10,"")</f>
        <v/>
      </c>
      <c r="CX168" s="134" t="str">
        <f>_xlfn.IFNA(MATCH(BX168,Achievements[[#All],[Column120]],0)+10,"")</f>
        <v/>
      </c>
      <c r="CY168" s="134" t="str">
        <f>_xlfn.IFNA(MATCH(BY168,Achievements[[#All],[Column121]],0)+10,"")</f>
        <v/>
      </c>
      <c r="CZ168" s="118" t="e">
        <f t="shared" ca="1" si="5"/>
        <v>#NAME?</v>
      </c>
    </row>
    <row r="169" spans="1:104" x14ac:dyDescent="0.25">
      <c r="A169" t="e" cm="1">
        <f t="array" aca="1" ref="A169" ca="1">SplitValues("; ",#REF!)</f>
        <v>#NAME?</v>
      </c>
      <c r="AA169" t="e">
        <f ca="1">_xlfn.IFNA(MATCH(A169,Achievements[[#All],[Column1]],0)+11,"")</f>
        <v>#NAME?</v>
      </c>
      <c r="AB169" s="134" t="str">
        <f>_xlfn.IFNA(MATCH(B169,Achievements[[#All],[Column1]],0)+10,"")</f>
        <v/>
      </c>
      <c r="AC169" s="134" t="str">
        <f>_xlfn.IFNA(MATCH(C169,Achievements[[#All],[Column1]],0)+10,"")</f>
        <v/>
      </c>
      <c r="AD169" s="134" t="str">
        <f>_xlfn.IFNA(MATCH(D169,Achievements[[#All],[Column110]],0)+10,"")</f>
        <v/>
      </c>
      <c r="AE169" s="134" t="str">
        <f>_xlfn.IFNA(MATCH(E169,Achievements[[#All],[Column110]],0)+10,"")</f>
        <v/>
      </c>
      <c r="AF169" s="134" t="str">
        <f>_xlfn.IFNA(MATCH(F169,Achievements[[#All],[Column111]],0)+10,"")</f>
        <v/>
      </c>
      <c r="AG169" s="134" t="str">
        <f>_xlfn.IFNA(MATCH(G169,Achievements[[#All],[Column111]],0)+10,"")</f>
        <v/>
      </c>
      <c r="AH169" s="134" t="str">
        <f>_xlfn.IFNA(MATCH(H169,Achievements[[#All],[Column112]],0)+10,"")</f>
        <v/>
      </c>
      <c r="AI169" s="134" t="str">
        <f>_xlfn.IFNA(MATCH(I169,Achievements[[#All],[Column112]],0)+10,"")</f>
        <v/>
      </c>
      <c r="AJ169" s="134" t="str">
        <f>_xlfn.IFNA(MATCH(J169,Achievements[[#All],[Column113]],0)+10,"")</f>
        <v/>
      </c>
      <c r="AK169" s="134" t="str">
        <f>_xlfn.IFNA(MATCH(K169,Achievements[[#All],[Column113]],0)+10,"")</f>
        <v/>
      </c>
      <c r="AL169" s="134" t="str">
        <f>_xlfn.IFNA(MATCH(L169,Achievements[[#All],[Column114]],0)+10,"")</f>
        <v/>
      </c>
      <c r="AM169" s="134" t="str">
        <f>_xlfn.IFNA(MATCH(M169,Achievements[[#All],[Column114]],0)+10,"")</f>
        <v/>
      </c>
      <c r="AN169" s="134" t="str">
        <f>_xlfn.IFNA(MATCH(N169,Achievements[[#All],[Column115]],0)+10,"")</f>
        <v/>
      </c>
      <c r="AO169" s="134" t="str">
        <f>_xlfn.IFNA(MATCH(O169,Achievements[[#All],[Column115]],0)+10,"")</f>
        <v/>
      </c>
      <c r="AP169" s="134" t="str">
        <f>_xlfn.IFNA(MATCH(P169,Achievements[[#All],[Column116]],0)+10,"")</f>
        <v/>
      </c>
      <c r="AQ169" s="134" t="str">
        <f>_xlfn.IFNA(MATCH(Q169,Achievements[[#All],[Column116]],0)+10,"")</f>
        <v/>
      </c>
      <c r="AR169" s="134" t="str">
        <f>_xlfn.IFNA(MATCH(R169,Achievements[[#All],[Column117]],0)+10,"")</f>
        <v/>
      </c>
      <c r="AS169" s="134" t="str">
        <f>_xlfn.IFNA(MATCH(S169,Achievements[[#All],[Column117]],0)+10,"")</f>
        <v/>
      </c>
      <c r="AT169" s="134" t="str">
        <f>_xlfn.IFNA(MATCH(T169,Achievements[[#All],[Column118]],0)+10,"")</f>
        <v/>
      </c>
      <c r="AU169" s="134" t="str">
        <f>_xlfn.IFNA(MATCH(U169,Achievements[[#All],[Column118]],0)+10,"")</f>
        <v/>
      </c>
      <c r="AV169" s="134" t="str">
        <f>_xlfn.IFNA(MATCH(V169,Achievements[[#All],[Column119]],0)+10,"")</f>
        <v/>
      </c>
      <c r="AW169" s="134" t="str">
        <f>_xlfn.IFNA(MATCH(W169,Achievements[[#All],[Column119]],0)+10,"")</f>
        <v/>
      </c>
      <c r="AX169" s="134" t="str">
        <f>_xlfn.IFNA(MATCH(X169,Achievements[[#All],[Column120]],0)+10,"")</f>
        <v/>
      </c>
      <c r="AY169" s="134" t="str">
        <f>_xlfn.IFNA(MATCH(Y169,Achievements[[#All],[Column120]],0)+10,"")</f>
        <v/>
      </c>
      <c r="AZ169" s="116" t="e">
        <f t="shared" ca="1" si="4"/>
        <v>#NAME?</v>
      </c>
      <c r="BA169" s="134" t="e" cm="1">
        <f t="array" aca="1" ref="BA169" ca="1">SplitValues("; ",Persons[[#This Row],[Column1]])</f>
        <v>#NAME?</v>
      </c>
      <c r="CA169" s="134" t="e">
        <f ca="1">_xlfn.IFNA(MATCH(BA169,Achievements[[#All],[Column1]],0)+10,"")</f>
        <v>#NAME?</v>
      </c>
      <c r="CB169" s="134" t="str">
        <f>_xlfn.IFNA(MATCH(BB169,Achievements[[#All],[Column1]],0)+10,"")</f>
        <v/>
      </c>
      <c r="CC169" s="134" t="str">
        <f>_xlfn.IFNA(MATCH(BC169,Achievements[[#All],[Column110]],0)+10,"")</f>
        <v/>
      </c>
      <c r="CD169" s="134" t="str">
        <f>_xlfn.IFNA(MATCH(BD169,Achievements[[#All],[Column110]],0)+10,"")</f>
        <v/>
      </c>
      <c r="CE169" s="134" t="str">
        <f>_xlfn.IFNA(MATCH(BE169,Achievements[[#All],[Column111]],0)+10,"")</f>
        <v/>
      </c>
      <c r="CF169" s="134" t="str">
        <f>_xlfn.IFNA(MATCH(BF169,Achievements[[#All],[Column111]],0)+10,"")</f>
        <v/>
      </c>
      <c r="CG169" s="134" t="str">
        <f>_xlfn.IFNA(MATCH(BG169,Achievements[[#All],[Column112]],0)+10,"")</f>
        <v/>
      </c>
      <c r="CH169" s="134" t="str">
        <f>_xlfn.IFNA(MATCH(BH169,Achievements[[#All],[Column112]],0)+10,"")</f>
        <v/>
      </c>
      <c r="CI169" s="134" t="str">
        <f>_xlfn.IFNA(MATCH(BI169,Achievements[[#All],[Column113]],0)+10,"")</f>
        <v/>
      </c>
      <c r="CJ169" s="134" t="str">
        <f>_xlfn.IFNA(MATCH(BJ169,Achievements[[#All],[Column113]],0)+10,"")</f>
        <v/>
      </c>
      <c r="CK169" s="134" t="str">
        <f>_xlfn.IFNA(MATCH(BK169,Achievements[[#All],[Column114]],0)+10,"")</f>
        <v/>
      </c>
      <c r="CL169" s="134" t="str">
        <f>_xlfn.IFNA(MATCH(BL169,Achievements[[#All],[Column114]],0)+10,"")</f>
        <v/>
      </c>
      <c r="CM169" s="134" t="str">
        <f>_xlfn.IFNA(MATCH(BM169,Achievements[[#All],[Column115]],0)+10,"")</f>
        <v/>
      </c>
      <c r="CN169" s="134" t="str">
        <f>_xlfn.IFNA(MATCH(BN169,Achievements[[#All],[Column115]],0)+10,"")</f>
        <v/>
      </c>
      <c r="CO169" s="134" t="str">
        <f>_xlfn.IFNA(MATCH(BO169,Achievements[[#All],[Column116]],0)+10,"")</f>
        <v/>
      </c>
      <c r="CP169" s="134" t="str">
        <f>_xlfn.IFNA(MATCH(BP169,Achievements[[#All],[Column116]],0)+10,"")</f>
        <v/>
      </c>
      <c r="CQ169" s="134" t="str">
        <f>_xlfn.IFNA(MATCH(BQ169,Achievements[[#All],[Column117]],0)+10,"")</f>
        <v/>
      </c>
      <c r="CR169" s="134" t="str">
        <f>_xlfn.IFNA(MATCH(BR169,Achievements[[#All],[Column117]],0)+10,"")</f>
        <v/>
      </c>
      <c r="CS169" s="134" t="str">
        <f>_xlfn.IFNA(MATCH(BS169,Achievements[[#All],[Column118]],0)+10,"")</f>
        <v/>
      </c>
      <c r="CT169" s="134" t="str">
        <f>_xlfn.IFNA(MATCH(BT169,Achievements[[#All],[Column118]],0)+10,"")</f>
        <v/>
      </c>
      <c r="CU169" s="134" t="str">
        <f>_xlfn.IFNA(MATCH(BU169,Achievements[[#All],[Column119]],0)+10,"")</f>
        <v/>
      </c>
      <c r="CV169" s="134" t="str">
        <f>_xlfn.IFNA(MATCH(BV169,Achievements[[#All],[Column119]],0)+10,"")</f>
        <v/>
      </c>
      <c r="CW169" s="134" t="str">
        <f>_xlfn.IFNA(MATCH(BW169,Achievements[[#All],[Column120]],0)+10,"")</f>
        <v/>
      </c>
      <c r="CX169" s="134" t="str">
        <f>_xlfn.IFNA(MATCH(BX169,Achievements[[#All],[Column120]],0)+10,"")</f>
        <v/>
      </c>
      <c r="CY169" s="134" t="str">
        <f>_xlfn.IFNA(MATCH(BY169,Achievements[[#All],[Column121]],0)+10,"")</f>
        <v/>
      </c>
      <c r="CZ169" s="118" t="e">
        <f t="shared" ca="1" si="5"/>
        <v>#NAME?</v>
      </c>
    </row>
    <row r="170" spans="1:104" x14ac:dyDescent="0.25">
      <c r="A170" t="e" cm="1">
        <f t="array" aca="1" ref="A170" ca="1">SplitValues("; ",#REF!)</f>
        <v>#NAME?</v>
      </c>
      <c r="AA170" t="e">
        <f ca="1">_xlfn.IFNA(MATCH(A170,Achievements[[#All],[Column1]],0)+11,"")</f>
        <v>#NAME?</v>
      </c>
      <c r="AB170" s="134" t="str">
        <f>_xlfn.IFNA(MATCH(B170,Achievements[[#All],[Column1]],0)+10,"")</f>
        <v/>
      </c>
      <c r="AC170" s="134" t="str">
        <f>_xlfn.IFNA(MATCH(C170,Achievements[[#All],[Column1]],0)+10,"")</f>
        <v/>
      </c>
      <c r="AD170" s="134" t="str">
        <f>_xlfn.IFNA(MATCH(D170,Achievements[[#All],[Column110]],0)+10,"")</f>
        <v/>
      </c>
      <c r="AE170" s="134" t="str">
        <f>_xlfn.IFNA(MATCH(E170,Achievements[[#All],[Column110]],0)+10,"")</f>
        <v/>
      </c>
      <c r="AF170" s="134" t="str">
        <f>_xlfn.IFNA(MATCH(F170,Achievements[[#All],[Column111]],0)+10,"")</f>
        <v/>
      </c>
      <c r="AG170" s="134" t="str">
        <f>_xlfn.IFNA(MATCH(G170,Achievements[[#All],[Column111]],0)+10,"")</f>
        <v/>
      </c>
      <c r="AH170" s="134" t="str">
        <f>_xlfn.IFNA(MATCH(H170,Achievements[[#All],[Column112]],0)+10,"")</f>
        <v/>
      </c>
      <c r="AI170" s="134" t="str">
        <f>_xlfn.IFNA(MATCH(I170,Achievements[[#All],[Column112]],0)+10,"")</f>
        <v/>
      </c>
      <c r="AJ170" s="134" t="str">
        <f>_xlfn.IFNA(MATCH(J170,Achievements[[#All],[Column113]],0)+10,"")</f>
        <v/>
      </c>
      <c r="AK170" s="134" t="str">
        <f>_xlfn.IFNA(MATCH(K170,Achievements[[#All],[Column113]],0)+10,"")</f>
        <v/>
      </c>
      <c r="AL170" s="134" t="str">
        <f>_xlfn.IFNA(MATCH(L170,Achievements[[#All],[Column114]],0)+10,"")</f>
        <v/>
      </c>
      <c r="AM170" s="134" t="str">
        <f>_xlfn.IFNA(MATCH(M170,Achievements[[#All],[Column114]],0)+10,"")</f>
        <v/>
      </c>
      <c r="AN170" s="134" t="str">
        <f>_xlfn.IFNA(MATCH(N170,Achievements[[#All],[Column115]],0)+10,"")</f>
        <v/>
      </c>
      <c r="AO170" s="134" t="str">
        <f>_xlfn.IFNA(MATCH(O170,Achievements[[#All],[Column115]],0)+10,"")</f>
        <v/>
      </c>
      <c r="AP170" s="134" t="str">
        <f>_xlfn.IFNA(MATCH(P170,Achievements[[#All],[Column116]],0)+10,"")</f>
        <v/>
      </c>
      <c r="AQ170" s="134" t="str">
        <f>_xlfn.IFNA(MATCH(Q170,Achievements[[#All],[Column116]],0)+10,"")</f>
        <v/>
      </c>
      <c r="AR170" s="134" t="str">
        <f>_xlfn.IFNA(MATCH(R170,Achievements[[#All],[Column117]],0)+10,"")</f>
        <v/>
      </c>
      <c r="AS170" s="134" t="str">
        <f>_xlfn.IFNA(MATCH(S170,Achievements[[#All],[Column117]],0)+10,"")</f>
        <v/>
      </c>
      <c r="AT170" s="134" t="str">
        <f>_xlfn.IFNA(MATCH(T170,Achievements[[#All],[Column118]],0)+10,"")</f>
        <v/>
      </c>
      <c r="AU170" s="134" t="str">
        <f>_xlfn.IFNA(MATCH(U170,Achievements[[#All],[Column118]],0)+10,"")</f>
        <v/>
      </c>
      <c r="AV170" s="134" t="str">
        <f>_xlfn.IFNA(MATCH(V170,Achievements[[#All],[Column119]],0)+10,"")</f>
        <v/>
      </c>
      <c r="AW170" s="134" t="str">
        <f>_xlfn.IFNA(MATCH(W170,Achievements[[#All],[Column119]],0)+10,"")</f>
        <v/>
      </c>
      <c r="AX170" s="134" t="str">
        <f>_xlfn.IFNA(MATCH(X170,Achievements[[#All],[Column120]],0)+10,"")</f>
        <v/>
      </c>
      <c r="AY170" s="134" t="str">
        <f>_xlfn.IFNA(MATCH(Y170,Achievements[[#All],[Column120]],0)+10,"")</f>
        <v/>
      </c>
      <c r="AZ170" s="116" t="e">
        <f t="shared" ca="1" si="4"/>
        <v>#NAME?</v>
      </c>
      <c r="BA170" s="134" t="e" cm="1">
        <f t="array" aca="1" ref="BA170" ca="1">SplitValues("; ",Persons[[#This Row],[Column1]])</f>
        <v>#NAME?</v>
      </c>
      <c r="CA170" s="134" t="e">
        <f ca="1">_xlfn.IFNA(MATCH(BA170,Achievements[[#All],[Column1]],0)+10,"")</f>
        <v>#NAME?</v>
      </c>
      <c r="CB170" s="134" t="str">
        <f>_xlfn.IFNA(MATCH(BB170,Achievements[[#All],[Column1]],0)+10,"")</f>
        <v/>
      </c>
      <c r="CC170" s="134" t="str">
        <f>_xlfn.IFNA(MATCH(BC170,Achievements[[#All],[Column110]],0)+10,"")</f>
        <v/>
      </c>
      <c r="CD170" s="134" t="str">
        <f>_xlfn.IFNA(MATCH(BD170,Achievements[[#All],[Column110]],0)+10,"")</f>
        <v/>
      </c>
      <c r="CE170" s="134" t="str">
        <f>_xlfn.IFNA(MATCH(BE170,Achievements[[#All],[Column111]],0)+10,"")</f>
        <v/>
      </c>
      <c r="CF170" s="134" t="str">
        <f>_xlfn.IFNA(MATCH(BF170,Achievements[[#All],[Column111]],0)+10,"")</f>
        <v/>
      </c>
      <c r="CG170" s="134" t="str">
        <f>_xlfn.IFNA(MATCH(BG170,Achievements[[#All],[Column112]],0)+10,"")</f>
        <v/>
      </c>
      <c r="CH170" s="134" t="str">
        <f>_xlfn.IFNA(MATCH(BH170,Achievements[[#All],[Column112]],0)+10,"")</f>
        <v/>
      </c>
      <c r="CI170" s="134" t="str">
        <f>_xlfn.IFNA(MATCH(BI170,Achievements[[#All],[Column113]],0)+10,"")</f>
        <v/>
      </c>
      <c r="CJ170" s="134" t="str">
        <f>_xlfn.IFNA(MATCH(BJ170,Achievements[[#All],[Column113]],0)+10,"")</f>
        <v/>
      </c>
      <c r="CK170" s="134" t="str">
        <f>_xlfn.IFNA(MATCH(BK170,Achievements[[#All],[Column114]],0)+10,"")</f>
        <v/>
      </c>
      <c r="CL170" s="134" t="str">
        <f>_xlfn.IFNA(MATCH(BL170,Achievements[[#All],[Column114]],0)+10,"")</f>
        <v/>
      </c>
      <c r="CM170" s="134" t="str">
        <f>_xlfn.IFNA(MATCH(BM170,Achievements[[#All],[Column115]],0)+10,"")</f>
        <v/>
      </c>
      <c r="CN170" s="134" t="str">
        <f>_xlfn.IFNA(MATCH(BN170,Achievements[[#All],[Column115]],0)+10,"")</f>
        <v/>
      </c>
      <c r="CO170" s="134" t="str">
        <f>_xlfn.IFNA(MATCH(BO170,Achievements[[#All],[Column116]],0)+10,"")</f>
        <v/>
      </c>
      <c r="CP170" s="134" t="str">
        <f>_xlfn.IFNA(MATCH(BP170,Achievements[[#All],[Column116]],0)+10,"")</f>
        <v/>
      </c>
      <c r="CQ170" s="134" t="str">
        <f>_xlfn.IFNA(MATCH(BQ170,Achievements[[#All],[Column117]],0)+10,"")</f>
        <v/>
      </c>
      <c r="CR170" s="134" t="str">
        <f>_xlfn.IFNA(MATCH(BR170,Achievements[[#All],[Column117]],0)+10,"")</f>
        <v/>
      </c>
      <c r="CS170" s="134" t="str">
        <f>_xlfn.IFNA(MATCH(BS170,Achievements[[#All],[Column118]],0)+10,"")</f>
        <v/>
      </c>
      <c r="CT170" s="134" t="str">
        <f>_xlfn.IFNA(MATCH(BT170,Achievements[[#All],[Column118]],0)+10,"")</f>
        <v/>
      </c>
      <c r="CU170" s="134" t="str">
        <f>_xlfn.IFNA(MATCH(BU170,Achievements[[#All],[Column119]],0)+10,"")</f>
        <v/>
      </c>
      <c r="CV170" s="134" t="str">
        <f>_xlfn.IFNA(MATCH(BV170,Achievements[[#All],[Column119]],0)+10,"")</f>
        <v/>
      </c>
      <c r="CW170" s="134" t="str">
        <f>_xlfn.IFNA(MATCH(BW170,Achievements[[#All],[Column120]],0)+10,"")</f>
        <v/>
      </c>
      <c r="CX170" s="134" t="str">
        <f>_xlfn.IFNA(MATCH(BX170,Achievements[[#All],[Column120]],0)+10,"")</f>
        <v/>
      </c>
      <c r="CY170" s="134" t="str">
        <f>_xlfn.IFNA(MATCH(BY170,Achievements[[#All],[Column121]],0)+10,"")</f>
        <v/>
      </c>
      <c r="CZ170" s="118" t="e">
        <f t="shared" ca="1" si="5"/>
        <v>#NAME?</v>
      </c>
    </row>
    <row r="171" spans="1:104" x14ac:dyDescent="0.25">
      <c r="A171" t="e" cm="1">
        <f t="array" aca="1" ref="A171" ca="1">SplitValues("; ",#REF!)</f>
        <v>#NAME?</v>
      </c>
      <c r="AA171" t="e">
        <f ca="1">_xlfn.IFNA(MATCH(A171,Achievements[[#All],[Column1]],0)+11,"")</f>
        <v>#NAME?</v>
      </c>
      <c r="AB171" s="134" t="str">
        <f>_xlfn.IFNA(MATCH(B171,Achievements[[#All],[Column1]],0)+10,"")</f>
        <v/>
      </c>
      <c r="AC171" s="134" t="str">
        <f>_xlfn.IFNA(MATCH(C171,Achievements[[#All],[Column1]],0)+10,"")</f>
        <v/>
      </c>
      <c r="AD171" s="134" t="str">
        <f>_xlfn.IFNA(MATCH(D171,Achievements[[#All],[Column110]],0)+10,"")</f>
        <v/>
      </c>
      <c r="AE171" s="134" t="str">
        <f>_xlfn.IFNA(MATCH(E171,Achievements[[#All],[Column110]],0)+10,"")</f>
        <v/>
      </c>
      <c r="AF171" s="134" t="str">
        <f>_xlfn.IFNA(MATCH(F171,Achievements[[#All],[Column111]],0)+10,"")</f>
        <v/>
      </c>
      <c r="AG171" s="134" t="str">
        <f>_xlfn.IFNA(MATCH(G171,Achievements[[#All],[Column111]],0)+10,"")</f>
        <v/>
      </c>
      <c r="AH171" s="134" t="str">
        <f>_xlfn.IFNA(MATCH(H171,Achievements[[#All],[Column112]],0)+10,"")</f>
        <v/>
      </c>
      <c r="AI171" s="134" t="str">
        <f>_xlfn.IFNA(MATCH(I171,Achievements[[#All],[Column112]],0)+10,"")</f>
        <v/>
      </c>
      <c r="AJ171" s="134" t="str">
        <f>_xlfn.IFNA(MATCH(J171,Achievements[[#All],[Column113]],0)+10,"")</f>
        <v/>
      </c>
      <c r="AK171" s="134" t="str">
        <f>_xlfn.IFNA(MATCH(K171,Achievements[[#All],[Column113]],0)+10,"")</f>
        <v/>
      </c>
      <c r="AL171" s="134" t="str">
        <f>_xlfn.IFNA(MATCH(L171,Achievements[[#All],[Column114]],0)+10,"")</f>
        <v/>
      </c>
      <c r="AM171" s="134" t="str">
        <f>_xlfn.IFNA(MATCH(M171,Achievements[[#All],[Column114]],0)+10,"")</f>
        <v/>
      </c>
      <c r="AN171" s="134" t="str">
        <f>_xlfn.IFNA(MATCH(N171,Achievements[[#All],[Column115]],0)+10,"")</f>
        <v/>
      </c>
      <c r="AO171" s="134" t="str">
        <f>_xlfn.IFNA(MATCH(O171,Achievements[[#All],[Column115]],0)+10,"")</f>
        <v/>
      </c>
      <c r="AP171" s="134" t="str">
        <f>_xlfn.IFNA(MATCH(P171,Achievements[[#All],[Column116]],0)+10,"")</f>
        <v/>
      </c>
      <c r="AQ171" s="134" t="str">
        <f>_xlfn.IFNA(MATCH(Q171,Achievements[[#All],[Column116]],0)+10,"")</f>
        <v/>
      </c>
      <c r="AR171" s="134" t="str">
        <f>_xlfn.IFNA(MATCH(R171,Achievements[[#All],[Column117]],0)+10,"")</f>
        <v/>
      </c>
      <c r="AS171" s="134" t="str">
        <f>_xlfn.IFNA(MATCH(S171,Achievements[[#All],[Column117]],0)+10,"")</f>
        <v/>
      </c>
      <c r="AT171" s="134" t="str">
        <f>_xlfn.IFNA(MATCH(T171,Achievements[[#All],[Column118]],0)+10,"")</f>
        <v/>
      </c>
      <c r="AU171" s="134" t="str">
        <f>_xlfn.IFNA(MATCH(U171,Achievements[[#All],[Column118]],0)+10,"")</f>
        <v/>
      </c>
      <c r="AV171" s="134" t="str">
        <f>_xlfn.IFNA(MATCH(V171,Achievements[[#All],[Column119]],0)+10,"")</f>
        <v/>
      </c>
      <c r="AW171" s="134" t="str">
        <f>_xlfn.IFNA(MATCH(W171,Achievements[[#All],[Column119]],0)+10,"")</f>
        <v/>
      </c>
      <c r="AX171" s="134" t="str">
        <f>_xlfn.IFNA(MATCH(X171,Achievements[[#All],[Column120]],0)+10,"")</f>
        <v/>
      </c>
      <c r="AY171" s="134" t="str">
        <f>_xlfn.IFNA(MATCH(Y171,Achievements[[#All],[Column120]],0)+10,"")</f>
        <v/>
      </c>
      <c r="AZ171" s="116" t="e">
        <f t="shared" ca="1" si="4"/>
        <v>#NAME?</v>
      </c>
      <c r="BA171" s="134" t="e" cm="1">
        <f t="array" aca="1" ref="BA171" ca="1">SplitValues("; ",Persons[[#This Row],[Column1]])</f>
        <v>#NAME?</v>
      </c>
      <c r="CA171" s="134" t="e">
        <f ca="1">_xlfn.IFNA(MATCH(BA171,Achievements[[#All],[Column1]],0)+10,"")</f>
        <v>#NAME?</v>
      </c>
      <c r="CB171" s="134" t="str">
        <f>_xlfn.IFNA(MATCH(BB171,Achievements[[#All],[Column1]],0)+10,"")</f>
        <v/>
      </c>
      <c r="CC171" s="134" t="str">
        <f>_xlfn.IFNA(MATCH(BC171,Achievements[[#All],[Column110]],0)+10,"")</f>
        <v/>
      </c>
      <c r="CD171" s="134" t="str">
        <f>_xlfn.IFNA(MATCH(BD171,Achievements[[#All],[Column110]],0)+10,"")</f>
        <v/>
      </c>
      <c r="CE171" s="134" t="str">
        <f>_xlfn.IFNA(MATCH(BE171,Achievements[[#All],[Column111]],0)+10,"")</f>
        <v/>
      </c>
      <c r="CF171" s="134" t="str">
        <f>_xlfn.IFNA(MATCH(BF171,Achievements[[#All],[Column111]],0)+10,"")</f>
        <v/>
      </c>
      <c r="CG171" s="134" t="str">
        <f>_xlfn.IFNA(MATCH(BG171,Achievements[[#All],[Column112]],0)+10,"")</f>
        <v/>
      </c>
      <c r="CH171" s="134" t="str">
        <f>_xlfn.IFNA(MATCH(BH171,Achievements[[#All],[Column112]],0)+10,"")</f>
        <v/>
      </c>
      <c r="CI171" s="134" t="str">
        <f>_xlfn.IFNA(MATCH(BI171,Achievements[[#All],[Column113]],0)+10,"")</f>
        <v/>
      </c>
      <c r="CJ171" s="134" t="str">
        <f>_xlfn.IFNA(MATCH(BJ171,Achievements[[#All],[Column113]],0)+10,"")</f>
        <v/>
      </c>
      <c r="CK171" s="134" t="str">
        <f>_xlfn.IFNA(MATCH(BK171,Achievements[[#All],[Column114]],0)+10,"")</f>
        <v/>
      </c>
      <c r="CL171" s="134" t="str">
        <f>_xlfn.IFNA(MATCH(BL171,Achievements[[#All],[Column114]],0)+10,"")</f>
        <v/>
      </c>
      <c r="CM171" s="134" t="str">
        <f>_xlfn.IFNA(MATCH(BM171,Achievements[[#All],[Column115]],0)+10,"")</f>
        <v/>
      </c>
      <c r="CN171" s="134" t="str">
        <f>_xlfn.IFNA(MATCH(BN171,Achievements[[#All],[Column115]],0)+10,"")</f>
        <v/>
      </c>
      <c r="CO171" s="134" t="str">
        <f>_xlfn.IFNA(MATCH(BO171,Achievements[[#All],[Column116]],0)+10,"")</f>
        <v/>
      </c>
      <c r="CP171" s="134" t="str">
        <f>_xlfn.IFNA(MATCH(BP171,Achievements[[#All],[Column116]],0)+10,"")</f>
        <v/>
      </c>
      <c r="CQ171" s="134" t="str">
        <f>_xlfn.IFNA(MATCH(BQ171,Achievements[[#All],[Column117]],0)+10,"")</f>
        <v/>
      </c>
      <c r="CR171" s="134" t="str">
        <f>_xlfn.IFNA(MATCH(BR171,Achievements[[#All],[Column117]],0)+10,"")</f>
        <v/>
      </c>
      <c r="CS171" s="134" t="str">
        <f>_xlfn.IFNA(MATCH(BS171,Achievements[[#All],[Column118]],0)+10,"")</f>
        <v/>
      </c>
      <c r="CT171" s="134" t="str">
        <f>_xlfn.IFNA(MATCH(BT171,Achievements[[#All],[Column118]],0)+10,"")</f>
        <v/>
      </c>
      <c r="CU171" s="134" t="str">
        <f>_xlfn.IFNA(MATCH(BU171,Achievements[[#All],[Column119]],0)+10,"")</f>
        <v/>
      </c>
      <c r="CV171" s="134" t="str">
        <f>_xlfn.IFNA(MATCH(BV171,Achievements[[#All],[Column119]],0)+10,"")</f>
        <v/>
      </c>
      <c r="CW171" s="134" t="str">
        <f>_xlfn.IFNA(MATCH(BW171,Achievements[[#All],[Column120]],0)+10,"")</f>
        <v/>
      </c>
      <c r="CX171" s="134" t="str">
        <f>_xlfn.IFNA(MATCH(BX171,Achievements[[#All],[Column120]],0)+10,"")</f>
        <v/>
      </c>
      <c r="CY171" s="134" t="str">
        <f>_xlfn.IFNA(MATCH(BY171,Achievements[[#All],[Column121]],0)+10,"")</f>
        <v/>
      </c>
      <c r="CZ171" s="118" t="e">
        <f t="shared" ca="1" si="5"/>
        <v>#NAME?</v>
      </c>
    </row>
    <row r="172" spans="1:104" x14ac:dyDescent="0.25">
      <c r="A172" t="e" cm="1">
        <f t="array" aca="1" ref="A172" ca="1">SplitValues("; ",#REF!)</f>
        <v>#NAME?</v>
      </c>
      <c r="AA172" t="e">
        <f ca="1">_xlfn.IFNA(MATCH(A172,Achievements[[#All],[Column1]],0)+11,"")</f>
        <v>#NAME?</v>
      </c>
      <c r="AB172" s="134" t="str">
        <f>_xlfn.IFNA(MATCH(B172,Achievements[[#All],[Column1]],0)+10,"")</f>
        <v/>
      </c>
      <c r="AC172" s="134" t="str">
        <f>_xlfn.IFNA(MATCH(C172,Achievements[[#All],[Column1]],0)+10,"")</f>
        <v/>
      </c>
      <c r="AD172" s="134" t="str">
        <f>_xlfn.IFNA(MATCH(D172,Achievements[[#All],[Column110]],0)+10,"")</f>
        <v/>
      </c>
      <c r="AE172" s="134" t="str">
        <f>_xlfn.IFNA(MATCH(E172,Achievements[[#All],[Column110]],0)+10,"")</f>
        <v/>
      </c>
      <c r="AF172" s="134" t="str">
        <f>_xlfn.IFNA(MATCH(F172,Achievements[[#All],[Column111]],0)+10,"")</f>
        <v/>
      </c>
      <c r="AG172" s="134" t="str">
        <f>_xlfn.IFNA(MATCH(G172,Achievements[[#All],[Column111]],0)+10,"")</f>
        <v/>
      </c>
      <c r="AH172" s="134" t="str">
        <f>_xlfn.IFNA(MATCH(H172,Achievements[[#All],[Column112]],0)+10,"")</f>
        <v/>
      </c>
      <c r="AI172" s="134" t="str">
        <f>_xlfn.IFNA(MATCH(I172,Achievements[[#All],[Column112]],0)+10,"")</f>
        <v/>
      </c>
      <c r="AJ172" s="134" t="str">
        <f>_xlfn.IFNA(MATCH(J172,Achievements[[#All],[Column113]],0)+10,"")</f>
        <v/>
      </c>
      <c r="AK172" s="134" t="str">
        <f>_xlfn.IFNA(MATCH(K172,Achievements[[#All],[Column113]],0)+10,"")</f>
        <v/>
      </c>
      <c r="AL172" s="134" t="str">
        <f>_xlfn.IFNA(MATCH(L172,Achievements[[#All],[Column114]],0)+10,"")</f>
        <v/>
      </c>
      <c r="AM172" s="134" t="str">
        <f>_xlfn.IFNA(MATCH(M172,Achievements[[#All],[Column114]],0)+10,"")</f>
        <v/>
      </c>
      <c r="AN172" s="134" t="str">
        <f>_xlfn.IFNA(MATCH(N172,Achievements[[#All],[Column115]],0)+10,"")</f>
        <v/>
      </c>
      <c r="AO172" s="134" t="str">
        <f>_xlfn.IFNA(MATCH(O172,Achievements[[#All],[Column115]],0)+10,"")</f>
        <v/>
      </c>
      <c r="AP172" s="134" t="str">
        <f>_xlfn.IFNA(MATCH(P172,Achievements[[#All],[Column116]],0)+10,"")</f>
        <v/>
      </c>
      <c r="AQ172" s="134" t="str">
        <f>_xlfn.IFNA(MATCH(Q172,Achievements[[#All],[Column116]],0)+10,"")</f>
        <v/>
      </c>
      <c r="AR172" s="134" t="str">
        <f>_xlfn.IFNA(MATCH(R172,Achievements[[#All],[Column117]],0)+10,"")</f>
        <v/>
      </c>
      <c r="AS172" s="134" t="str">
        <f>_xlfn.IFNA(MATCH(S172,Achievements[[#All],[Column117]],0)+10,"")</f>
        <v/>
      </c>
      <c r="AT172" s="134" t="str">
        <f>_xlfn.IFNA(MATCH(T172,Achievements[[#All],[Column118]],0)+10,"")</f>
        <v/>
      </c>
      <c r="AU172" s="134" t="str">
        <f>_xlfn.IFNA(MATCH(U172,Achievements[[#All],[Column118]],0)+10,"")</f>
        <v/>
      </c>
      <c r="AV172" s="134" t="str">
        <f>_xlfn.IFNA(MATCH(V172,Achievements[[#All],[Column119]],0)+10,"")</f>
        <v/>
      </c>
      <c r="AW172" s="134" t="str">
        <f>_xlfn.IFNA(MATCH(W172,Achievements[[#All],[Column119]],0)+10,"")</f>
        <v/>
      </c>
      <c r="AX172" s="134" t="str">
        <f>_xlfn.IFNA(MATCH(X172,Achievements[[#All],[Column120]],0)+10,"")</f>
        <v/>
      </c>
      <c r="AY172" s="134" t="str">
        <f>_xlfn.IFNA(MATCH(Y172,Achievements[[#All],[Column120]],0)+10,"")</f>
        <v/>
      </c>
      <c r="AZ172" s="116" t="e">
        <f t="shared" ca="1" si="4"/>
        <v>#NAME?</v>
      </c>
      <c r="BA172" s="134" t="e" cm="1">
        <f t="array" aca="1" ref="BA172" ca="1">SplitValues("; ",Persons[[#This Row],[Column1]])</f>
        <v>#NAME?</v>
      </c>
      <c r="CA172" s="134" t="e">
        <f ca="1">_xlfn.IFNA(MATCH(BA172,Achievements[[#All],[Column1]],0)+10,"")</f>
        <v>#NAME?</v>
      </c>
      <c r="CB172" s="134" t="str">
        <f>_xlfn.IFNA(MATCH(BB172,Achievements[[#All],[Column1]],0)+10,"")</f>
        <v/>
      </c>
      <c r="CC172" s="134" t="str">
        <f>_xlfn.IFNA(MATCH(BC172,Achievements[[#All],[Column110]],0)+10,"")</f>
        <v/>
      </c>
      <c r="CD172" s="134" t="str">
        <f>_xlfn.IFNA(MATCH(BD172,Achievements[[#All],[Column110]],0)+10,"")</f>
        <v/>
      </c>
      <c r="CE172" s="134" t="str">
        <f>_xlfn.IFNA(MATCH(BE172,Achievements[[#All],[Column111]],0)+10,"")</f>
        <v/>
      </c>
      <c r="CF172" s="134" t="str">
        <f>_xlfn.IFNA(MATCH(BF172,Achievements[[#All],[Column111]],0)+10,"")</f>
        <v/>
      </c>
      <c r="CG172" s="134" t="str">
        <f>_xlfn.IFNA(MATCH(BG172,Achievements[[#All],[Column112]],0)+10,"")</f>
        <v/>
      </c>
      <c r="CH172" s="134" t="str">
        <f>_xlfn.IFNA(MATCH(BH172,Achievements[[#All],[Column112]],0)+10,"")</f>
        <v/>
      </c>
      <c r="CI172" s="134" t="str">
        <f>_xlfn.IFNA(MATCH(BI172,Achievements[[#All],[Column113]],0)+10,"")</f>
        <v/>
      </c>
      <c r="CJ172" s="134" t="str">
        <f>_xlfn.IFNA(MATCH(BJ172,Achievements[[#All],[Column113]],0)+10,"")</f>
        <v/>
      </c>
      <c r="CK172" s="134" t="str">
        <f>_xlfn.IFNA(MATCH(BK172,Achievements[[#All],[Column114]],0)+10,"")</f>
        <v/>
      </c>
      <c r="CL172" s="134" t="str">
        <f>_xlfn.IFNA(MATCH(BL172,Achievements[[#All],[Column114]],0)+10,"")</f>
        <v/>
      </c>
      <c r="CM172" s="134" t="str">
        <f>_xlfn.IFNA(MATCH(BM172,Achievements[[#All],[Column115]],0)+10,"")</f>
        <v/>
      </c>
      <c r="CN172" s="134" t="str">
        <f>_xlfn.IFNA(MATCH(BN172,Achievements[[#All],[Column115]],0)+10,"")</f>
        <v/>
      </c>
      <c r="CO172" s="134" t="str">
        <f>_xlfn.IFNA(MATCH(BO172,Achievements[[#All],[Column116]],0)+10,"")</f>
        <v/>
      </c>
      <c r="CP172" s="134" t="str">
        <f>_xlfn.IFNA(MATCH(BP172,Achievements[[#All],[Column116]],0)+10,"")</f>
        <v/>
      </c>
      <c r="CQ172" s="134" t="str">
        <f>_xlfn.IFNA(MATCH(BQ172,Achievements[[#All],[Column117]],0)+10,"")</f>
        <v/>
      </c>
      <c r="CR172" s="134" t="str">
        <f>_xlfn.IFNA(MATCH(BR172,Achievements[[#All],[Column117]],0)+10,"")</f>
        <v/>
      </c>
      <c r="CS172" s="134" t="str">
        <f>_xlfn.IFNA(MATCH(BS172,Achievements[[#All],[Column118]],0)+10,"")</f>
        <v/>
      </c>
      <c r="CT172" s="134" t="str">
        <f>_xlfn.IFNA(MATCH(BT172,Achievements[[#All],[Column118]],0)+10,"")</f>
        <v/>
      </c>
      <c r="CU172" s="134" t="str">
        <f>_xlfn.IFNA(MATCH(BU172,Achievements[[#All],[Column119]],0)+10,"")</f>
        <v/>
      </c>
      <c r="CV172" s="134" t="str">
        <f>_xlfn.IFNA(MATCH(BV172,Achievements[[#All],[Column119]],0)+10,"")</f>
        <v/>
      </c>
      <c r="CW172" s="134" t="str">
        <f>_xlfn.IFNA(MATCH(BW172,Achievements[[#All],[Column120]],0)+10,"")</f>
        <v/>
      </c>
      <c r="CX172" s="134" t="str">
        <f>_xlfn.IFNA(MATCH(BX172,Achievements[[#All],[Column120]],0)+10,"")</f>
        <v/>
      </c>
      <c r="CY172" s="134" t="str">
        <f>_xlfn.IFNA(MATCH(BY172,Achievements[[#All],[Column121]],0)+10,"")</f>
        <v/>
      </c>
      <c r="CZ172" s="118" t="e">
        <f t="shared" ca="1" si="5"/>
        <v>#NAME?</v>
      </c>
    </row>
    <row r="173" spans="1:104" x14ac:dyDescent="0.25">
      <c r="A173" t="e" cm="1">
        <f t="array" aca="1" ref="A173" ca="1">SplitValues("; ",#REF!)</f>
        <v>#NAME?</v>
      </c>
      <c r="AA173" t="e">
        <f ca="1">_xlfn.IFNA(MATCH(A173,Achievements[[#All],[Column1]],0)+11,"")</f>
        <v>#NAME?</v>
      </c>
      <c r="AB173" s="134" t="str">
        <f>_xlfn.IFNA(MATCH(B173,Achievements[[#All],[Column1]],0)+10,"")</f>
        <v/>
      </c>
      <c r="AC173" s="134" t="str">
        <f>_xlfn.IFNA(MATCH(C173,Achievements[[#All],[Column1]],0)+10,"")</f>
        <v/>
      </c>
      <c r="AD173" s="134" t="str">
        <f>_xlfn.IFNA(MATCH(D173,Achievements[[#All],[Column110]],0)+10,"")</f>
        <v/>
      </c>
      <c r="AE173" s="134" t="str">
        <f>_xlfn.IFNA(MATCH(E173,Achievements[[#All],[Column110]],0)+10,"")</f>
        <v/>
      </c>
      <c r="AF173" s="134" t="str">
        <f>_xlfn.IFNA(MATCH(F173,Achievements[[#All],[Column111]],0)+10,"")</f>
        <v/>
      </c>
      <c r="AG173" s="134" t="str">
        <f>_xlfn.IFNA(MATCH(G173,Achievements[[#All],[Column111]],0)+10,"")</f>
        <v/>
      </c>
      <c r="AH173" s="134" t="str">
        <f>_xlfn.IFNA(MATCH(H173,Achievements[[#All],[Column112]],0)+10,"")</f>
        <v/>
      </c>
      <c r="AI173" s="134" t="str">
        <f>_xlfn.IFNA(MATCH(I173,Achievements[[#All],[Column112]],0)+10,"")</f>
        <v/>
      </c>
      <c r="AJ173" s="134" t="str">
        <f>_xlfn.IFNA(MATCH(J173,Achievements[[#All],[Column113]],0)+10,"")</f>
        <v/>
      </c>
      <c r="AK173" s="134" t="str">
        <f>_xlfn.IFNA(MATCH(K173,Achievements[[#All],[Column113]],0)+10,"")</f>
        <v/>
      </c>
      <c r="AL173" s="134" t="str">
        <f>_xlfn.IFNA(MATCH(L173,Achievements[[#All],[Column114]],0)+10,"")</f>
        <v/>
      </c>
      <c r="AM173" s="134" t="str">
        <f>_xlfn.IFNA(MATCH(M173,Achievements[[#All],[Column114]],0)+10,"")</f>
        <v/>
      </c>
      <c r="AN173" s="134" t="str">
        <f>_xlfn.IFNA(MATCH(N173,Achievements[[#All],[Column115]],0)+10,"")</f>
        <v/>
      </c>
      <c r="AO173" s="134" t="str">
        <f>_xlfn.IFNA(MATCH(O173,Achievements[[#All],[Column115]],0)+10,"")</f>
        <v/>
      </c>
      <c r="AP173" s="134" t="str">
        <f>_xlfn.IFNA(MATCH(P173,Achievements[[#All],[Column116]],0)+10,"")</f>
        <v/>
      </c>
      <c r="AQ173" s="134" t="str">
        <f>_xlfn.IFNA(MATCH(Q173,Achievements[[#All],[Column116]],0)+10,"")</f>
        <v/>
      </c>
      <c r="AR173" s="134" t="str">
        <f>_xlfn.IFNA(MATCH(R173,Achievements[[#All],[Column117]],0)+10,"")</f>
        <v/>
      </c>
      <c r="AS173" s="134" t="str">
        <f>_xlfn.IFNA(MATCH(S173,Achievements[[#All],[Column117]],0)+10,"")</f>
        <v/>
      </c>
      <c r="AT173" s="134" t="str">
        <f>_xlfn.IFNA(MATCH(T173,Achievements[[#All],[Column118]],0)+10,"")</f>
        <v/>
      </c>
      <c r="AU173" s="134" t="str">
        <f>_xlfn.IFNA(MATCH(U173,Achievements[[#All],[Column118]],0)+10,"")</f>
        <v/>
      </c>
      <c r="AV173" s="134" t="str">
        <f>_xlfn.IFNA(MATCH(V173,Achievements[[#All],[Column119]],0)+10,"")</f>
        <v/>
      </c>
      <c r="AW173" s="134" t="str">
        <f>_xlfn.IFNA(MATCH(W173,Achievements[[#All],[Column119]],0)+10,"")</f>
        <v/>
      </c>
      <c r="AX173" s="134" t="str">
        <f>_xlfn.IFNA(MATCH(X173,Achievements[[#All],[Column120]],0)+10,"")</f>
        <v/>
      </c>
      <c r="AY173" s="134" t="str">
        <f>_xlfn.IFNA(MATCH(Y173,Achievements[[#All],[Column120]],0)+10,"")</f>
        <v/>
      </c>
      <c r="AZ173" s="116" t="e">
        <f t="shared" ca="1" si="4"/>
        <v>#NAME?</v>
      </c>
      <c r="BA173" s="134" t="e" cm="1">
        <f t="array" aca="1" ref="BA173" ca="1">SplitValues("; ",Persons[[#This Row],[Column1]])</f>
        <v>#NAME?</v>
      </c>
      <c r="CA173" s="134" t="e">
        <f ca="1">_xlfn.IFNA(MATCH(BA173,Achievements[[#All],[Column1]],0)+10,"")</f>
        <v>#NAME?</v>
      </c>
      <c r="CB173" s="134" t="str">
        <f>_xlfn.IFNA(MATCH(BB173,Achievements[[#All],[Column1]],0)+10,"")</f>
        <v/>
      </c>
      <c r="CC173" s="134" t="str">
        <f>_xlfn.IFNA(MATCH(BC173,Achievements[[#All],[Column110]],0)+10,"")</f>
        <v/>
      </c>
      <c r="CD173" s="134" t="str">
        <f>_xlfn.IFNA(MATCH(BD173,Achievements[[#All],[Column110]],0)+10,"")</f>
        <v/>
      </c>
      <c r="CE173" s="134" t="str">
        <f>_xlfn.IFNA(MATCH(BE173,Achievements[[#All],[Column111]],0)+10,"")</f>
        <v/>
      </c>
      <c r="CF173" s="134" t="str">
        <f>_xlfn.IFNA(MATCH(BF173,Achievements[[#All],[Column111]],0)+10,"")</f>
        <v/>
      </c>
      <c r="CG173" s="134" t="str">
        <f>_xlfn.IFNA(MATCH(BG173,Achievements[[#All],[Column112]],0)+10,"")</f>
        <v/>
      </c>
      <c r="CH173" s="134" t="str">
        <f>_xlfn.IFNA(MATCH(BH173,Achievements[[#All],[Column112]],0)+10,"")</f>
        <v/>
      </c>
      <c r="CI173" s="134" t="str">
        <f>_xlfn.IFNA(MATCH(BI173,Achievements[[#All],[Column113]],0)+10,"")</f>
        <v/>
      </c>
      <c r="CJ173" s="134" t="str">
        <f>_xlfn.IFNA(MATCH(BJ173,Achievements[[#All],[Column113]],0)+10,"")</f>
        <v/>
      </c>
      <c r="CK173" s="134" t="str">
        <f>_xlfn.IFNA(MATCH(BK173,Achievements[[#All],[Column114]],0)+10,"")</f>
        <v/>
      </c>
      <c r="CL173" s="134" t="str">
        <f>_xlfn.IFNA(MATCH(BL173,Achievements[[#All],[Column114]],0)+10,"")</f>
        <v/>
      </c>
      <c r="CM173" s="134" t="str">
        <f>_xlfn.IFNA(MATCH(BM173,Achievements[[#All],[Column115]],0)+10,"")</f>
        <v/>
      </c>
      <c r="CN173" s="134" t="str">
        <f>_xlfn.IFNA(MATCH(BN173,Achievements[[#All],[Column115]],0)+10,"")</f>
        <v/>
      </c>
      <c r="CO173" s="134" t="str">
        <f>_xlfn.IFNA(MATCH(BO173,Achievements[[#All],[Column116]],0)+10,"")</f>
        <v/>
      </c>
      <c r="CP173" s="134" t="str">
        <f>_xlfn.IFNA(MATCH(BP173,Achievements[[#All],[Column116]],0)+10,"")</f>
        <v/>
      </c>
      <c r="CQ173" s="134" t="str">
        <f>_xlfn.IFNA(MATCH(BQ173,Achievements[[#All],[Column117]],0)+10,"")</f>
        <v/>
      </c>
      <c r="CR173" s="134" t="str">
        <f>_xlfn.IFNA(MATCH(BR173,Achievements[[#All],[Column117]],0)+10,"")</f>
        <v/>
      </c>
      <c r="CS173" s="134" t="str">
        <f>_xlfn.IFNA(MATCH(BS173,Achievements[[#All],[Column118]],0)+10,"")</f>
        <v/>
      </c>
      <c r="CT173" s="134" t="str">
        <f>_xlfn.IFNA(MATCH(BT173,Achievements[[#All],[Column118]],0)+10,"")</f>
        <v/>
      </c>
      <c r="CU173" s="134" t="str">
        <f>_xlfn.IFNA(MATCH(BU173,Achievements[[#All],[Column119]],0)+10,"")</f>
        <v/>
      </c>
      <c r="CV173" s="134" t="str">
        <f>_xlfn.IFNA(MATCH(BV173,Achievements[[#All],[Column119]],0)+10,"")</f>
        <v/>
      </c>
      <c r="CW173" s="134" t="str">
        <f>_xlfn.IFNA(MATCH(BW173,Achievements[[#All],[Column120]],0)+10,"")</f>
        <v/>
      </c>
      <c r="CX173" s="134" t="str">
        <f>_xlfn.IFNA(MATCH(BX173,Achievements[[#All],[Column120]],0)+10,"")</f>
        <v/>
      </c>
      <c r="CY173" s="134" t="str">
        <f>_xlfn.IFNA(MATCH(BY173,Achievements[[#All],[Column121]],0)+10,"")</f>
        <v/>
      </c>
      <c r="CZ173" s="118" t="e">
        <f t="shared" ca="1" si="5"/>
        <v>#NAME?</v>
      </c>
    </row>
    <row r="174" spans="1:104" x14ac:dyDescent="0.25">
      <c r="A174" t="e" cm="1">
        <f t="array" aca="1" ref="A174" ca="1">SplitValues("; ",#REF!)</f>
        <v>#NAME?</v>
      </c>
      <c r="AA174" t="e">
        <f ca="1">_xlfn.IFNA(MATCH(A174,Achievements[[#All],[Column1]],0)+11,"")</f>
        <v>#NAME?</v>
      </c>
      <c r="AB174" s="134" t="str">
        <f>_xlfn.IFNA(MATCH(B174,Achievements[[#All],[Column1]],0)+10,"")</f>
        <v/>
      </c>
      <c r="AC174" s="134" t="str">
        <f>_xlfn.IFNA(MATCH(C174,Achievements[[#All],[Column1]],0)+10,"")</f>
        <v/>
      </c>
      <c r="AD174" s="134" t="str">
        <f>_xlfn.IFNA(MATCH(D174,Achievements[[#All],[Column110]],0)+10,"")</f>
        <v/>
      </c>
      <c r="AE174" s="134" t="str">
        <f>_xlfn.IFNA(MATCH(E174,Achievements[[#All],[Column110]],0)+10,"")</f>
        <v/>
      </c>
      <c r="AF174" s="134" t="str">
        <f>_xlfn.IFNA(MATCH(F174,Achievements[[#All],[Column111]],0)+10,"")</f>
        <v/>
      </c>
      <c r="AG174" s="134" t="str">
        <f>_xlfn.IFNA(MATCH(G174,Achievements[[#All],[Column111]],0)+10,"")</f>
        <v/>
      </c>
      <c r="AH174" s="134" t="str">
        <f>_xlfn.IFNA(MATCH(H174,Achievements[[#All],[Column112]],0)+10,"")</f>
        <v/>
      </c>
      <c r="AI174" s="134" t="str">
        <f>_xlfn.IFNA(MATCH(I174,Achievements[[#All],[Column112]],0)+10,"")</f>
        <v/>
      </c>
      <c r="AJ174" s="134" t="str">
        <f>_xlfn.IFNA(MATCH(J174,Achievements[[#All],[Column113]],0)+10,"")</f>
        <v/>
      </c>
      <c r="AK174" s="134" t="str">
        <f>_xlfn.IFNA(MATCH(K174,Achievements[[#All],[Column113]],0)+10,"")</f>
        <v/>
      </c>
      <c r="AL174" s="134" t="str">
        <f>_xlfn.IFNA(MATCH(L174,Achievements[[#All],[Column114]],0)+10,"")</f>
        <v/>
      </c>
      <c r="AM174" s="134" t="str">
        <f>_xlfn.IFNA(MATCH(M174,Achievements[[#All],[Column114]],0)+10,"")</f>
        <v/>
      </c>
      <c r="AN174" s="134" t="str">
        <f>_xlfn.IFNA(MATCH(N174,Achievements[[#All],[Column115]],0)+10,"")</f>
        <v/>
      </c>
      <c r="AO174" s="134" t="str">
        <f>_xlfn.IFNA(MATCH(O174,Achievements[[#All],[Column115]],0)+10,"")</f>
        <v/>
      </c>
      <c r="AP174" s="134" t="str">
        <f>_xlfn.IFNA(MATCH(P174,Achievements[[#All],[Column116]],0)+10,"")</f>
        <v/>
      </c>
      <c r="AQ174" s="134" t="str">
        <f>_xlfn.IFNA(MATCH(Q174,Achievements[[#All],[Column116]],0)+10,"")</f>
        <v/>
      </c>
      <c r="AR174" s="134" t="str">
        <f>_xlfn.IFNA(MATCH(R174,Achievements[[#All],[Column117]],0)+10,"")</f>
        <v/>
      </c>
      <c r="AS174" s="134" t="str">
        <f>_xlfn.IFNA(MATCH(S174,Achievements[[#All],[Column117]],0)+10,"")</f>
        <v/>
      </c>
      <c r="AT174" s="134" t="str">
        <f>_xlfn.IFNA(MATCH(T174,Achievements[[#All],[Column118]],0)+10,"")</f>
        <v/>
      </c>
      <c r="AU174" s="134" t="str">
        <f>_xlfn.IFNA(MATCH(U174,Achievements[[#All],[Column118]],0)+10,"")</f>
        <v/>
      </c>
      <c r="AV174" s="134" t="str">
        <f>_xlfn.IFNA(MATCH(V174,Achievements[[#All],[Column119]],0)+10,"")</f>
        <v/>
      </c>
      <c r="AW174" s="134" t="str">
        <f>_xlfn.IFNA(MATCH(W174,Achievements[[#All],[Column119]],0)+10,"")</f>
        <v/>
      </c>
      <c r="AX174" s="134" t="str">
        <f>_xlfn.IFNA(MATCH(X174,Achievements[[#All],[Column120]],0)+10,"")</f>
        <v/>
      </c>
      <c r="AY174" s="134" t="str">
        <f>_xlfn.IFNA(MATCH(Y174,Achievements[[#All],[Column120]],0)+10,"")</f>
        <v/>
      </c>
      <c r="AZ174" s="116" t="e">
        <f t="shared" ca="1" si="4"/>
        <v>#NAME?</v>
      </c>
      <c r="BA174" s="134" t="e" cm="1">
        <f t="array" aca="1" ref="BA174" ca="1">SplitValues("; ",Persons[[#This Row],[Column1]])</f>
        <v>#NAME?</v>
      </c>
      <c r="CA174" s="134" t="e">
        <f ca="1">_xlfn.IFNA(MATCH(BA174,Achievements[[#All],[Column1]],0)+10,"")</f>
        <v>#NAME?</v>
      </c>
      <c r="CB174" s="134" t="str">
        <f>_xlfn.IFNA(MATCH(BB174,Achievements[[#All],[Column1]],0)+10,"")</f>
        <v/>
      </c>
      <c r="CC174" s="134" t="str">
        <f>_xlfn.IFNA(MATCH(BC174,Achievements[[#All],[Column110]],0)+10,"")</f>
        <v/>
      </c>
      <c r="CD174" s="134" t="str">
        <f>_xlfn.IFNA(MATCH(BD174,Achievements[[#All],[Column110]],0)+10,"")</f>
        <v/>
      </c>
      <c r="CE174" s="134" t="str">
        <f>_xlfn.IFNA(MATCH(BE174,Achievements[[#All],[Column111]],0)+10,"")</f>
        <v/>
      </c>
      <c r="CF174" s="134" t="str">
        <f>_xlfn.IFNA(MATCH(BF174,Achievements[[#All],[Column111]],0)+10,"")</f>
        <v/>
      </c>
      <c r="CG174" s="134" t="str">
        <f>_xlfn.IFNA(MATCH(BG174,Achievements[[#All],[Column112]],0)+10,"")</f>
        <v/>
      </c>
      <c r="CH174" s="134" t="str">
        <f>_xlfn.IFNA(MATCH(BH174,Achievements[[#All],[Column112]],0)+10,"")</f>
        <v/>
      </c>
      <c r="CI174" s="134" t="str">
        <f>_xlfn.IFNA(MATCH(BI174,Achievements[[#All],[Column113]],0)+10,"")</f>
        <v/>
      </c>
      <c r="CJ174" s="134" t="str">
        <f>_xlfn.IFNA(MATCH(BJ174,Achievements[[#All],[Column113]],0)+10,"")</f>
        <v/>
      </c>
      <c r="CK174" s="134" t="str">
        <f>_xlfn.IFNA(MATCH(BK174,Achievements[[#All],[Column114]],0)+10,"")</f>
        <v/>
      </c>
      <c r="CL174" s="134" t="str">
        <f>_xlfn.IFNA(MATCH(BL174,Achievements[[#All],[Column114]],0)+10,"")</f>
        <v/>
      </c>
      <c r="CM174" s="134" t="str">
        <f>_xlfn.IFNA(MATCH(BM174,Achievements[[#All],[Column115]],0)+10,"")</f>
        <v/>
      </c>
      <c r="CN174" s="134" t="str">
        <f>_xlfn.IFNA(MATCH(BN174,Achievements[[#All],[Column115]],0)+10,"")</f>
        <v/>
      </c>
      <c r="CO174" s="134" t="str">
        <f>_xlfn.IFNA(MATCH(BO174,Achievements[[#All],[Column116]],0)+10,"")</f>
        <v/>
      </c>
      <c r="CP174" s="134" t="str">
        <f>_xlfn.IFNA(MATCH(BP174,Achievements[[#All],[Column116]],0)+10,"")</f>
        <v/>
      </c>
      <c r="CQ174" s="134" t="str">
        <f>_xlfn.IFNA(MATCH(BQ174,Achievements[[#All],[Column117]],0)+10,"")</f>
        <v/>
      </c>
      <c r="CR174" s="134" t="str">
        <f>_xlfn.IFNA(MATCH(BR174,Achievements[[#All],[Column117]],0)+10,"")</f>
        <v/>
      </c>
      <c r="CS174" s="134" t="str">
        <f>_xlfn.IFNA(MATCH(BS174,Achievements[[#All],[Column118]],0)+10,"")</f>
        <v/>
      </c>
      <c r="CT174" s="134" t="str">
        <f>_xlfn.IFNA(MATCH(BT174,Achievements[[#All],[Column118]],0)+10,"")</f>
        <v/>
      </c>
      <c r="CU174" s="134" t="str">
        <f>_xlfn.IFNA(MATCH(BU174,Achievements[[#All],[Column119]],0)+10,"")</f>
        <v/>
      </c>
      <c r="CV174" s="134" t="str">
        <f>_xlfn.IFNA(MATCH(BV174,Achievements[[#All],[Column119]],0)+10,"")</f>
        <v/>
      </c>
      <c r="CW174" s="134" t="str">
        <f>_xlfn.IFNA(MATCH(BW174,Achievements[[#All],[Column120]],0)+10,"")</f>
        <v/>
      </c>
      <c r="CX174" s="134" t="str">
        <f>_xlfn.IFNA(MATCH(BX174,Achievements[[#All],[Column120]],0)+10,"")</f>
        <v/>
      </c>
      <c r="CY174" s="134" t="str">
        <f>_xlfn.IFNA(MATCH(BY174,Achievements[[#All],[Column121]],0)+10,"")</f>
        <v/>
      </c>
      <c r="CZ174" s="118" t="e">
        <f t="shared" ca="1" si="5"/>
        <v>#NAME?</v>
      </c>
    </row>
    <row r="175" spans="1:104" x14ac:dyDescent="0.25">
      <c r="A175" t="e" cm="1">
        <f t="array" aca="1" ref="A175" ca="1">SplitValues("; ",#REF!)</f>
        <v>#NAME?</v>
      </c>
      <c r="AA175" t="e">
        <f ca="1">_xlfn.IFNA(MATCH(A175,Achievements[[#All],[Column1]],0)+11,"")</f>
        <v>#NAME?</v>
      </c>
      <c r="AB175" s="134" t="str">
        <f>_xlfn.IFNA(MATCH(B175,Achievements[[#All],[Column1]],0)+10,"")</f>
        <v/>
      </c>
      <c r="AC175" s="134" t="str">
        <f>_xlfn.IFNA(MATCH(C175,Achievements[[#All],[Column1]],0)+10,"")</f>
        <v/>
      </c>
      <c r="AD175" s="134" t="str">
        <f>_xlfn.IFNA(MATCH(D175,Achievements[[#All],[Column110]],0)+10,"")</f>
        <v/>
      </c>
      <c r="AE175" s="134" t="str">
        <f>_xlfn.IFNA(MATCH(E175,Achievements[[#All],[Column110]],0)+10,"")</f>
        <v/>
      </c>
      <c r="AF175" s="134" t="str">
        <f>_xlfn.IFNA(MATCH(F175,Achievements[[#All],[Column111]],0)+10,"")</f>
        <v/>
      </c>
      <c r="AG175" s="134" t="str">
        <f>_xlfn.IFNA(MATCH(G175,Achievements[[#All],[Column111]],0)+10,"")</f>
        <v/>
      </c>
      <c r="AH175" s="134" t="str">
        <f>_xlfn.IFNA(MATCH(H175,Achievements[[#All],[Column112]],0)+10,"")</f>
        <v/>
      </c>
      <c r="AI175" s="134" t="str">
        <f>_xlfn.IFNA(MATCH(I175,Achievements[[#All],[Column112]],0)+10,"")</f>
        <v/>
      </c>
      <c r="AJ175" s="134" t="str">
        <f>_xlfn.IFNA(MATCH(J175,Achievements[[#All],[Column113]],0)+10,"")</f>
        <v/>
      </c>
      <c r="AK175" s="134" t="str">
        <f>_xlfn.IFNA(MATCH(K175,Achievements[[#All],[Column113]],0)+10,"")</f>
        <v/>
      </c>
      <c r="AL175" s="134" t="str">
        <f>_xlfn.IFNA(MATCH(L175,Achievements[[#All],[Column114]],0)+10,"")</f>
        <v/>
      </c>
      <c r="AM175" s="134" t="str">
        <f>_xlfn.IFNA(MATCH(M175,Achievements[[#All],[Column114]],0)+10,"")</f>
        <v/>
      </c>
      <c r="AN175" s="134" t="str">
        <f>_xlfn.IFNA(MATCH(N175,Achievements[[#All],[Column115]],0)+10,"")</f>
        <v/>
      </c>
      <c r="AO175" s="134" t="str">
        <f>_xlfn.IFNA(MATCH(O175,Achievements[[#All],[Column115]],0)+10,"")</f>
        <v/>
      </c>
      <c r="AP175" s="134" t="str">
        <f>_xlfn.IFNA(MATCH(P175,Achievements[[#All],[Column116]],0)+10,"")</f>
        <v/>
      </c>
      <c r="AQ175" s="134" t="str">
        <f>_xlfn.IFNA(MATCH(Q175,Achievements[[#All],[Column116]],0)+10,"")</f>
        <v/>
      </c>
      <c r="AR175" s="134" t="str">
        <f>_xlfn.IFNA(MATCH(R175,Achievements[[#All],[Column117]],0)+10,"")</f>
        <v/>
      </c>
      <c r="AS175" s="134" t="str">
        <f>_xlfn.IFNA(MATCH(S175,Achievements[[#All],[Column117]],0)+10,"")</f>
        <v/>
      </c>
      <c r="AT175" s="134" t="str">
        <f>_xlfn.IFNA(MATCH(T175,Achievements[[#All],[Column118]],0)+10,"")</f>
        <v/>
      </c>
      <c r="AU175" s="134" t="str">
        <f>_xlfn.IFNA(MATCH(U175,Achievements[[#All],[Column118]],0)+10,"")</f>
        <v/>
      </c>
      <c r="AV175" s="134" t="str">
        <f>_xlfn.IFNA(MATCH(V175,Achievements[[#All],[Column119]],0)+10,"")</f>
        <v/>
      </c>
      <c r="AW175" s="134" t="str">
        <f>_xlfn.IFNA(MATCH(W175,Achievements[[#All],[Column119]],0)+10,"")</f>
        <v/>
      </c>
      <c r="AX175" s="134" t="str">
        <f>_xlfn.IFNA(MATCH(X175,Achievements[[#All],[Column120]],0)+10,"")</f>
        <v/>
      </c>
      <c r="AY175" s="134" t="str">
        <f>_xlfn.IFNA(MATCH(Y175,Achievements[[#All],[Column120]],0)+10,"")</f>
        <v/>
      </c>
      <c r="AZ175" s="116" t="e">
        <f t="shared" ca="1" si="4"/>
        <v>#NAME?</v>
      </c>
      <c r="BA175" s="134" t="e" cm="1">
        <f t="array" aca="1" ref="BA175" ca="1">SplitValues("; ",Persons[[#This Row],[Column1]])</f>
        <v>#NAME?</v>
      </c>
      <c r="CA175" s="134" t="e">
        <f ca="1">_xlfn.IFNA(MATCH(BA175,Achievements[[#All],[Column1]],0)+10,"")</f>
        <v>#NAME?</v>
      </c>
      <c r="CB175" s="134" t="str">
        <f>_xlfn.IFNA(MATCH(BB175,Achievements[[#All],[Column1]],0)+10,"")</f>
        <v/>
      </c>
      <c r="CC175" s="134" t="str">
        <f>_xlfn.IFNA(MATCH(BC175,Achievements[[#All],[Column110]],0)+10,"")</f>
        <v/>
      </c>
      <c r="CD175" s="134" t="str">
        <f>_xlfn.IFNA(MATCH(BD175,Achievements[[#All],[Column110]],0)+10,"")</f>
        <v/>
      </c>
      <c r="CE175" s="134" t="str">
        <f>_xlfn.IFNA(MATCH(BE175,Achievements[[#All],[Column111]],0)+10,"")</f>
        <v/>
      </c>
      <c r="CF175" s="134" t="str">
        <f>_xlfn.IFNA(MATCH(BF175,Achievements[[#All],[Column111]],0)+10,"")</f>
        <v/>
      </c>
      <c r="CG175" s="134" t="str">
        <f>_xlfn.IFNA(MATCH(BG175,Achievements[[#All],[Column112]],0)+10,"")</f>
        <v/>
      </c>
      <c r="CH175" s="134" t="str">
        <f>_xlfn.IFNA(MATCH(BH175,Achievements[[#All],[Column112]],0)+10,"")</f>
        <v/>
      </c>
      <c r="CI175" s="134" t="str">
        <f>_xlfn.IFNA(MATCH(BI175,Achievements[[#All],[Column113]],0)+10,"")</f>
        <v/>
      </c>
      <c r="CJ175" s="134" t="str">
        <f>_xlfn.IFNA(MATCH(BJ175,Achievements[[#All],[Column113]],0)+10,"")</f>
        <v/>
      </c>
      <c r="CK175" s="134" t="str">
        <f>_xlfn.IFNA(MATCH(BK175,Achievements[[#All],[Column114]],0)+10,"")</f>
        <v/>
      </c>
      <c r="CL175" s="134" t="str">
        <f>_xlfn.IFNA(MATCH(BL175,Achievements[[#All],[Column114]],0)+10,"")</f>
        <v/>
      </c>
      <c r="CM175" s="134" t="str">
        <f>_xlfn.IFNA(MATCH(BM175,Achievements[[#All],[Column115]],0)+10,"")</f>
        <v/>
      </c>
      <c r="CN175" s="134" t="str">
        <f>_xlfn.IFNA(MATCH(BN175,Achievements[[#All],[Column115]],0)+10,"")</f>
        <v/>
      </c>
      <c r="CO175" s="134" t="str">
        <f>_xlfn.IFNA(MATCH(BO175,Achievements[[#All],[Column116]],0)+10,"")</f>
        <v/>
      </c>
      <c r="CP175" s="134" t="str">
        <f>_xlfn.IFNA(MATCH(BP175,Achievements[[#All],[Column116]],0)+10,"")</f>
        <v/>
      </c>
      <c r="CQ175" s="134" t="str">
        <f>_xlfn.IFNA(MATCH(BQ175,Achievements[[#All],[Column117]],0)+10,"")</f>
        <v/>
      </c>
      <c r="CR175" s="134" t="str">
        <f>_xlfn.IFNA(MATCH(BR175,Achievements[[#All],[Column117]],0)+10,"")</f>
        <v/>
      </c>
      <c r="CS175" s="134" t="str">
        <f>_xlfn.IFNA(MATCH(BS175,Achievements[[#All],[Column118]],0)+10,"")</f>
        <v/>
      </c>
      <c r="CT175" s="134" t="str">
        <f>_xlfn.IFNA(MATCH(BT175,Achievements[[#All],[Column118]],0)+10,"")</f>
        <v/>
      </c>
      <c r="CU175" s="134" t="str">
        <f>_xlfn.IFNA(MATCH(BU175,Achievements[[#All],[Column119]],0)+10,"")</f>
        <v/>
      </c>
      <c r="CV175" s="134" t="str">
        <f>_xlfn.IFNA(MATCH(BV175,Achievements[[#All],[Column119]],0)+10,"")</f>
        <v/>
      </c>
      <c r="CW175" s="134" t="str">
        <f>_xlfn.IFNA(MATCH(BW175,Achievements[[#All],[Column120]],0)+10,"")</f>
        <v/>
      </c>
      <c r="CX175" s="134" t="str">
        <f>_xlfn.IFNA(MATCH(BX175,Achievements[[#All],[Column120]],0)+10,"")</f>
        <v/>
      </c>
      <c r="CY175" s="134" t="str">
        <f>_xlfn.IFNA(MATCH(BY175,Achievements[[#All],[Column121]],0)+10,"")</f>
        <v/>
      </c>
      <c r="CZ175" s="118" t="e">
        <f t="shared" ca="1" si="5"/>
        <v>#NAME?</v>
      </c>
    </row>
    <row r="176" spans="1:104" x14ac:dyDescent="0.25">
      <c r="A176" t="e" cm="1">
        <f t="array" aca="1" ref="A176" ca="1">SplitValues("; ",#REF!)</f>
        <v>#NAME?</v>
      </c>
      <c r="AA176" t="e">
        <f ca="1">_xlfn.IFNA(MATCH(A176,Achievements[[#All],[Column1]],0)+11,"")</f>
        <v>#NAME?</v>
      </c>
      <c r="AB176" s="134" t="str">
        <f>_xlfn.IFNA(MATCH(B176,Achievements[[#All],[Column1]],0)+10,"")</f>
        <v/>
      </c>
      <c r="AC176" s="134" t="str">
        <f>_xlfn.IFNA(MATCH(C176,Achievements[[#All],[Column1]],0)+10,"")</f>
        <v/>
      </c>
      <c r="AD176" s="134" t="str">
        <f>_xlfn.IFNA(MATCH(D176,Achievements[[#All],[Column110]],0)+10,"")</f>
        <v/>
      </c>
      <c r="AE176" s="134" t="str">
        <f>_xlfn.IFNA(MATCH(E176,Achievements[[#All],[Column110]],0)+10,"")</f>
        <v/>
      </c>
      <c r="AF176" s="134" t="str">
        <f>_xlfn.IFNA(MATCH(F176,Achievements[[#All],[Column111]],0)+10,"")</f>
        <v/>
      </c>
      <c r="AG176" s="134" t="str">
        <f>_xlfn.IFNA(MATCH(G176,Achievements[[#All],[Column111]],0)+10,"")</f>
        <v/>
      </c>
      <c r="AH176" s="134" t="str">
        <f>_xlfn.IFNA(MATCH(H176,Achievements[[#All],[Column112]],0)+10,"")</f>
        <v/>
      </c>
      <c r="AI176" s="134" t="str">
        <f>_xlfn.IFNA(MATCH(I176,Achievements[[#All],[Column112]],0)+10,"")</f>
        <v/>
      </c>
      <c r="AJ176" s="134" t="str">
        <f>_xlfn.IFNA(MATCH(J176,Achievements[[#All],[Column113]],0)+10,"")</f>
        <v/>
      </c>
      <c r="AK176" s="134" t="str">
        <f>_xlfn.IFNA(MATCH(K176,Achievements[[#All],[Column113]],0)+10,"")</f>
        <v/>
      </c>
      <c r="AL176" s="134" t="str">
        <f>_xlfn.IFNA(MATCH(L176,Achievements[[#All],[Column114]],0)+10,"")</f>
        <v/>
      </c>
      <c r="AM176" s="134" t="str">
        <f>_xlfn.IFNA(MATCH(M176,Achievements[[#All],[Column114]],0)+10,"")</f>
        <v/>
      </c>
      <c r="AN176" s="134" t="str">
        <f>_xlfn.IFNA(MATCH(N176,Achievements[[#All],[Column115]],0)+10,"")</f>
        <v/>
      </c>
      <c r="AO176" s="134" t="str">
        <f>_xlfn.IFNA(MATCH(O176,Achievements[[#All],[Column115]],0)+10,"")</f>
        <v/>
      </c>
      <c r="AP176" s="134" t="str">
        <f>_xlfn.IFNA(MATCH(P176,Achievements[[#All],[Column116]],0)+10,"")</f>
        <v/>
      </c>
      <c r="AQ176" s="134" t="str">
        <f>_xlfn.IFNA(MATCH(Q176,Achievements[[#All],[Column116]],0)+10,"")</f>
        <v/>
      </c>
      <c r="AR176" s="134" t="str">
        <f>_xlfn.IFNA(MATCH(R176,Achievements[[#All],[Column117]],0)+10,"")</f>
        <v/>
      </c>
      <c r="AS176" s="134" t="str">
        <f>_xlfn.IFNA(MATCH(S176,Achievements[[#All],[Column117]],0)+10,"")</f>
        <v/>
      </c>
      <c r="AT176" s="134" t="str">
        <f>_xlfn.IFNA(MATCH(T176,Achievements[[#All],[Column118]],0)+10,"")</f>
        <v/>
      </c>
      <c r="AU176" s="134" t="str">
        <f>_xlfn.IFNA(MATCH(U176,Achievements[[#All],[Column118]],0)+10,"")</f>
        <v/>
      </c>
      <c r="AV176" s="134" t="str">
        <f>_xlfn.IFNA(MATCH(V176,Achievements[[#All],[Column119]],0)+10,"")</f>
        <v/>
      </c>
      <c r="AW176" s="134" t="str">
        <f>_xlfn.IFNA(MATCH(W176,Achievements[[#All],[Column119]],0)+10,"")</f>
        <v/>
      </c>
      <c r="AX176" s="134" t="str">
        <f>_xlfn.IFNA(MATCH(X176,Achievements[[#All],[Column120]],0)+10,"")</f>
        <v/>
      </c>
      <c r="AY176" s="134" t="str">
        <f>_xlfn.IFNA(MATCH(Y176,Achievements[[#All],[Column120]],0)+10,"")</f>
        <v/>
      </c>
      <c r="AZ176" s="116" t="e">
        <f t="shared" ca="1" si="4"/>
        <v>#NAME?</v>
      </c>
      <c r="BA176" s="134" t="e" cm="1">
        <f t="array" aca="1" ref="BA176" ca="1">SplitValues("; ",Persons[[#This Row],[Column1]])</f>
        <v>#NAME?</v>
      </c>
      <c r="CA176" s="134" t="e">
        <f ca="1">_xlfn.IFNA(MATCH(BA176,Achievements[[#All],[Column1]],0)+10,"")</f>
        <v>#NAME?</v>
      </c>
      <c r="CB176" s="134" t="str">
        <f>_xlfn.IFNA(MATCH(BB176,Achievements[[#All],[Column1]],0)+10,"")</f>
        <v/>
      </c>
      <c r="CC176" s="134" t="str">
        <f>_xlfn.IFNA(MATCH(BC176,Achievements[[#All],[Column110]],0)+10,"")</f>
        <v/>
      </c>
      <c r="CD176" s="134" t="str">
        <f>_xlfn.IFNA(MATCH(BD176,Achievements[[#All],[Column110]],0)+10,"")</f>
        <v/>
      </c>
      <c r="CE176" s="134" t="str">
        <f>_xlfn.IFNA(MATCH(BE176,Achievements[[#All],[Column111]],0)+10,"")</f>
        <v/>
      </c>
      <c r="CF176" s="134" t="str">
        <f>_xlfn.IFNA(MATCH(BF176,Achievements[[#All],[Column111]],0)+10,"")</f>
        <v/>
      </c>
      <c r="CG176" s="134" t="str">
        <f>_xlfn.IFNA(MATCH(BG176,Achievements[[#All],[Column112]],0)+10,"")</f>
        <v/>
      </c>
      <c r="CH176" s="134" t="str">
        <f>_xlfn.IFNA(MATCH(BH176,Achievements[[#All],[Column112]],0)+10,"")</f>
        <v/>
      </c>
      <c r="CI176" s="134" t="str">
        <f>_xlfn.IFNA(MATCH(BI176,Achievements[[#All],[Column113]],0)+10,"")</f>
        <v/>
      </c>
      <c r="CJ176" s="134" t="str">
        <f>_xlfn.IFNA(MATCH(BJ176,Achievements[[#All],[Column113]],0)+10,"")</f>
        <v/>
      </c>
      <c r="CK176" s="134" t="str">
        <f>_xlfn.IFNA(MATCH(BK176,Achievements[[#All],[Column114]],0)+10,"")</f>
        <v/>
      </c>
      <c r="CL176" s="134" t="str">
        <f>_xlfn.IFNA(MATCH(BL176,Achievements[[#All],[Column114]],0)+10,"")</f>
        <v/>
      </c>
      <c r="CM176" s="134" t="str">
        <f>_xlfn.IFNA(MATCH(BM176,Achievements[[#All],[Column115]],0)+10,"")</f>
        <v/>
      </c>
      <c r="CN176" s="134" t="str">
        <f>_xlfn.IFNA(MATCH(BN176,Achievements[[#All],[Column115]],0)+10,"")</f>
        <v/>
      </c>
      <c r="CO176" s="134" t="str">
        <f>_xlfn.IFNA(MATCH(BO176,Achievements[[#All],[Column116]],0)+10,"")</f>
        <v/>
      </c>
      <c r="CP176" s="134" t="str">
        <f>_xlfn.IFNA(MATCH(BP176,Achievements[[#All],[Column116]],0)+10,"")</f>
        <v/>
      </c>
      <c r="CQ176" s="134" t="str">
        <f>_xlfn.IFNA(MATCH(BQ176,Achievements[[#All],[Column117]],0)+10,"")</f>
        <v/>
      </c>
      <c r="CR176" s="134" t="str">
        <f>_xlfn.IFNA(MATCH(BR176,Achievements[[#All],[Column117]],0)+10,"")</f>
        <v/>
      </c>
      <c r="CS176" s="134" t="str">
        <f>_xlfn.IFNA(MATCH(BS176,Achievements[[#All],[Column118]],0)+10,"")</f>
        <v/>
      </c>
      <c r="CT176" s="134" t="str">
        <f>_xlfn.IFNA(MATCH(BT176,Achievements[[#All],[Column118]],0)+10,"")</f>
        <v/>
      </c>
      <c r="CU176" s="134" t="str">
        <f>_xlfn.IFNA(MATCH(BU176,Achievements[[#All],[Column119]],0)+10,"")</f>
        <v/>
      </c>
      <c r="CV176" s="134" t="str">
        <f>_xlfn.IFNA(MATCH(BV176,Achievements[[#All],[Column119]],0)+10,"")</f>
        <v/>
      </c>
      <c r="CW176" s="134" t="str">
        <f>_xlfn.IFNA(MATCH(BW176,Achievements[[#All],[Column120]],0)+10,"")</f>
        <v/>
      </c>
      <c r="CX176" s="134" t="str">
        <f>_xlfn.IFNA(MATCH(BX176,Achievements[[#All],[Column120]],0)+10,"")</f>
        <v/>
      </c>
      <c r="CY176" s="134" t="str">
        <f>_xlfn.IFNA(MATCH(BY176,Achievements[[#All],[Column121]],0)+10,"")</f>
        <v/>
      </c>
      <c r="CZ176" s="118" t="e">
        <f t="shared" ca="1" si="5"/>
        <v>#NAME?</v>
      </c>
    </row>
    <row r="177" spans="1:104" x14ac:dyDescent="0.25">
      <c r="A177" t="e" cm="1">
        <f t="array" aca="1" ref="A177" ca="1">SplitValues("; ",#REF!)</f>
        <v>#NAME?</v>
      </c>
      <c r="AA177" t="e">
        <f ca="1">_xlfn.IFNA(MATCH(A177,Achievements[[#All],[Column1]],0)+11,"")</f>
        <v>#NAME?</v>
      </c>
      <c r="AB177" s="134" t="str">
        <f>_xlfn.IFNA(MATCH(B177,Achievements[[#All],[Column1]],0)+10,"")</f>
        <v/>
      </c>
      <c r="AC177" s="134" t="str">
        <f>_xlfn.IFNA(MATCH(C177,Achievements[[#All],[Column1]],0)+10,"")</f>
        <v/>
      </c>
      <c r="AD177" s="134" t="str">
        <f>_xlfn.IFNA(MATCH(D177,Achievements[[#All],[Column110]],0)+10,"")</f>
        <v/>
      </c>
      <c r="AE177" s="134" t="str">
        <f>_xlfn.IFNA(MATCH(E177,Achievements[[#All],[Column110]],0)+10,"")</f>
        <v/>
      </c>
      <c r="AF177" s="134" t="str">
        <f>_xlfn.IFNA(MATCH(F177,Achievements[[#All],[Column111]],0)+10,"")</f>
        <v/>
      </c>
      <c r="AG177" s="134" t="str">
        <f>_xlfn.IFNA(MATCH(G177,Achievements[[#All],[Column111]],0)+10,"")</f>
        <v/>
      </c>
      <c r="AH177" s="134" t="str">
        <f>_xlfn.IFNA(MATCH(H177,Achievements[[#All],[Column112]],0)+10,"")</f>
        <v/>
      </c>
      <c r="AI177" s="134" t="str">
        <f>_xlfn.IFNA(MATCH(I177,Achievements[[#All],[Column112]],0)+10,"")</f>
        <v/>
      </c>
      <c r="AJ177" s="134" t="str">
        <f>_xlfn.IFNA(MATCH(J177,Achievements[[#All],[Column113]],0)+10,"")</f>
        <v/>
      </c>
      <c r="AK177" s="134" t="str">
        <f>_xlfn.IFNA(MATCH(K177,Achievements[[#All],[Column113]],0)+10,"")</f>
        <v/>
      </c>
      <c r="AL177" s="134" t="str">
        <f>_xlfn.IFNA(MATCH(L177,Achievements[[#All],[Column114]],0)+10,"")</f>
        <v/>
      </c>
      <c r="AM177" s="134" t="str">
        <f>_xlfn.IFNA(MATCH(M177,Achievements[[#All],[Column114]],0)+10,"")</f>
        <v/>
      </c>
      <c r="AN177" s="134" t="str">
        <f>_xlfn.IFNA(MATCH(N177,Achievements[[#All],[Column115]],0)+10,"")</f>
        <v/>
      </c>
      <c r="AO177" s="134" t="str">
        <f>_xlfn.IFNA(MATCH(O177,Achievements[[#All],[Column115]],0)+10,"")</f>
        <v/>
      </c>
      <c r="AP177" s="134" t="str">
        <f>_xlfn.IFNA(MATCH(P177,Achievements[[#All],[Column116]],0)+10,"")</f>
        <v/>
      </c>
      <c r="AQ177" s="134" t="str">
        <f>_xlfn.IFNA(MATCH(Q177,Achievements[[#All],[Column116]],0)+10,"")</f>
        <v/>
      </c>
      <c r="AR177" s="134" t="str">
        <f>_xlfn.IFNA(MATCH(R177,Achievements[[#All],[Column117]],0)+10,"")</f>
        <v/>
      </c>
      <c r="AS177" s="134" t="str">
        <f>_xlfn.IFNA(MATCH(S177,Achievements[[#All],[Column117]],0)+10,"")</f>
        <v/>
      </c>
      <c r="AT177" s="134" t="str">
        <f>_xlfn.IFNA(MATCH(T177,Achievements[[#All],[Column118]],0)+10,"")</f>
        <v/>
      </c>
      <c r="AU177" s="134" t="str">
        <f>_xlfn.IFNA(MATCH(U177,Achievements[[#All],[Column118]],0)+10,"")</f>
        <v/>
      </c>
      <c r="AV177" s="134" t="str">
        <f>_xlfn.IFNA(MATCH(V177,Achievements[[#All],[Column119]],0)+10,"")</f>
        <v/>
      </c>
      <c r="AW177" s="134" t="str">
        <f>_xlfn.IFNA(MATCH(W177,Achievements[[#All],[Column119]],0)+10,"")</f>
        <v/>
      </c>
      <c r="AX177" s="134" t="str">
        <f>_xlfn.IFNA(MATCH(X177,Achievements[[#All],[Column120]],0)+10,"")</f>
        <v/>
      </c>
      <c r="AY177" s="134" t="str">
        <f>_xlfn.IFNA(MATCH(Y177,Achievements[[#All],[Column120]],0)+10,"")</f>
        <v/>
      </c>
      <c r="AZ177" s="116" t="e">
        <f t="shared" ca="1" si="4"/>
        <v>#NAME?</v>
      </c>
      <c r="BA177" s="134" t="e" cm="1">
        <f t="array" aca="1" ref="BA177" ca="1">SplitValues("; ",Persons[[#This Row],[Column1]])</f>
        <v>#NAME?</v>
      </c>
      <c r="CA177" s="134" t="e">
        <f ca="1">_xlfn.IFNA(MATCH(BA177,Achievements[[#All],[Column1]],0)+10,"")</f>
        <v>#NAME?</v>
      </c>
      <c r="CB177" s="134" t="str">
        <f>_xlfn.IFNA(MATCH(BB177,Achievements[[#All],[Column1]],0)+10,"")</f>
        <v/>
      </c>
      <c r="CC177" s="134" t="str">
        <f>_xlfn.IFNA(MATCH(BC177,Achievements[[#All],[Column110]],0)+10,"")</f>
        <v/>
      </c>
      <c r="CD177" s="134" t="str">
        <f>_xlfn.IFNA(MATCH(BD177,Achievements[[#All],[Column110]],0)+10,"")</f>
        <v/>
      </c>
      <c r="CE177" s="134" t="str">
        <f>_xlfn.IFNA(MATCH(BE177,Achievements[[#All],[Column111]],0)+10,"")</f>
        <v/>
      </c>
      <c r="CF177" s="134" t="str">
        <f>_xlfn.IFNA(MATCH(BF177,Achievements[[#All],[Column111]],0)+10,"")</f>
        <v/>
      </c>
      <c r="CG177" s="134" t="str">
        <f>_xlfn.IFNA(MATCH(BG177,Achievements[[#All],[Column112]],0)+10,"")</f>
        <v/>
      </c>
      <c r="CH177" s="134" t="str">
        <f>_xlfn.IFNA(MATCH(BH177,Achievements[[#All],[Column112]],0)+10,"")</f>
        <v/>
      </c>
      <c r="CI177" s="134" t="str">
        <f>_xlfn.IFNA(MATCH(BI177,Achievements[[#All],[Column113]],0)+10,"")</f>
        <v/>
      </c>
      <c r="CJ177" s="134" t="str">
        <f>_xlfn.IFNA(MATCH(BJ177,Achievements[[#All],[Column113]],0)+10,"")</f>
        <v/>
      </c>
      <c r="CK177" s="134" t="str">
        <f>_xlfn.IFNA(MATCH(BK177,Achievements[[#All],[Column114]],0)+10,"")</f>
        <v/>
      </c>
      <c r="CL177" s="134" t="str">
        <f>_xlfn.IFNA(MATCH(BL177,Achievements[[#All],[Column114]],0)+10,"")</f>
        <v/>
      </c>
      <c r="CM177" s="134" t="str">
        <f>_xlfn.IFNA(MATCH(BM177,Achievements[[#All],[Column115]],0)+10,"")</f>
        <v/>
      </c>
      <c r="CN177" s="134" t="str">
        <f>_xlfn.IFNA(MATCH(BN177,Achievements[[#All],[Column115]],0)+10,"")</f>
        <v/>
      </c>
      <c r="CO177" s="134" t="str">
        <f>_xlfn.IFNA(MATCH(BO177,Achievements[[#All],[Column116]],0)+10,"")</f>
        <v/>
      </c>
      <c r="CP177" s="134" t="str">
        <f>_xlfn.IFNA(MATCH(BP177,Achievements[[#All],[Column116]],0)+10,"")</f>
        <v/>
      </c>
      <c r="CQ177" s="134" t="str">
        <f>_xlfn.IFNA(MATCH(BQ177,Achievements[[#All],[Column117]],0)+10,"")</f>
        <v/>
      </c>
      <c r="CR177" s="134" t="str">
        <f>_xlfn.IFNA(MATCH(BR177,Achievements[[#All],[Column117]],0)+10,"")</f>
        <v/>
      </c>
      <c r="CS177" s="134" t="str">
        <f>_xlfn.IFNA(MATCH(BS177,Achievements[[#All],[Column118]],0)+10,"")</f>
        <v/>
      </c>
      <c r="CT177" s="134" t="str">
        <f>_xlfn.IFNA(MATCH(BT177,Achievements[[#All],[Column118]],0)+10,"")</f>
        <v/>
      </c>
      <c r="CU177" s="134" t="str">
        <f>_xlfn.IFNA(MATCH(BU177,Achievements[[#All],[Column119]],0)+10,"")</f>
        <v/>
      </c>
      <c r="CV177" s="134" t="str">
        <f>_xlfn.IFNA(MATCH(BV177,Achievements[[#All],[Column119]],0)+10,"")</f>
        <v/>
      </c>
      <c r="CW177" s="134" t="str">
        <f>_xlfn.IFNA(MATCH(BW177,Achievements[[#All],[Column120]],0)+10,"")</f>
        <v/>
      </c>
      <c r="CX177" s="134" t="str">
        <f>_xlfn.IFNA(MATCH(BX177,Achievements[[#All],[Column120]],0)+10,"")</f>
        <v/>
      </c>
      <c r="CY177" s="134" t="str">
        <f>_xlfn.IFNA(MATCH(BY177,Achievements[[#All],[Column121]],0)+10,"")</f>
        <v/>
      </c>
      <c r="CZ177" s="118" t="e">
        <f t="shared" ca="1" si="5"/>
        <v>#NAME?</v>
      </c>
    </row>
    <row r="178" spans="1:104" x14ac:dyDescent="0.25">
      <c r="A178" t="e" cm="1">
        <f t="array" aca="1" ref="A178" ca="1">SplitValues("; ",#REF!)</f>
        <v>#NAME?</v>
      </c>
      <c r="AA178" t="e">
        <f ca="1">_xlfn.IFNA(MATCH(A178,Achievements[[#All],[Column1]],0)+11,"")</f>
        <v>#NAME?</v>
      </c>
      <c r="AB178" s="134" t="str">
        <f>_xlfn.IFNA(MATCH(B178,Achievements[[#All],[Column1]],0)+10,"")</f>
        <v/>
      </c>
      <c r="AC178" s="134" t="str">
        <f>_xlfn.IFNA(MATCH(C178,Achievements[[#All],[Column1]],0)+10,"")</f>
        <v/>
      </c>
      <c r="AD178" s="134" t="str">
        <f>_xlfn.IFNA(MATCH(D178,Achievements[[#All],[Column110]],0)+10,"")</f>
        <v/>
      </c>
      <c r="AE178" s="134" t="str">
        <f>_xlfn.IFNA(MATCH(E178,Achievements[[#All],[Column110]],0)+10,"")</f>
        <v/>
      </c>
      <c r="AF178" s="134" t="str">
        <f>_xlfn.IFNA(MATCH(F178,Achievements[[#All],[Column111]],0)+10,"")</f>
        <v/>
      </c>
      <c r="AG178" s="134" t="str">
        <f>_xlfn.IFNA(MATCH(G178,Achievements[[#All],[Column111]],0)+10,"")</f>
        <v/>
      </c>
      <c r="AH178" s="134" t="str">
        <f>_xlfn.IFNA(MATCH(H178,Achievements[[#All],[Column112]],0)+10,"")</f>
        <v/>
      </c>
      <c r="AI178" s="134" t="str">
        <f>_xlfn.IFNA(MATCH(I178,Achievements[[#All],[Column112]],0)+10,"")</f>
        <v/>
      </c>
      <c r="AJ178" s="134" t="str">
        <f>_xlfn.IFNA(MATCH(J178,Achievements[[#All],[Column113]],0)+10,"")</f>
        <v/>
      </c>
      <c r="AK178" s="134" t="str">
        <f>_xlfn.IFNA(MATCH(K178,Achievements[[#All],[Column113]],0)+10,"")</f>
        <v/>
      </c>
      <c r="AL178" s="134" t="str">
        <f>_xlfn.IFNA(MATCH(L178,Achievements[[#All],[Column114]],0)+10,"")</f>
        <v/>
      </c>
      <c r="AM178" s="134" t="str">
        <f>_xlfn.IFNA(MATCH(M178,Achievements[[#All],[Column114]],0)+10,"")</f>
        <v/>
      </c>
      <c r="AN178" s="134" t="str">
        <f>_xlfn.IFNA(MATCH(N178,Achievements[[#All],[Column115]],0)+10,"")</f>
        <v/>
      </c>
      <c r="AO178" s="134" t="str">
        <f>_xlfn.IFNA(MATCH(O178,Achievements[[#All],[Column115]],0)+10,"")</f>
        <v/>
      </c>
      <c r="AP178" s="134" t="str">
        <f>_xlfn.IFNA(MATCH(P178,Achievements[[#All],[Column116]],0)+10,"")</f>
        <v/>
      </c>
      <c r="AQ178" s="134" t="str">
        <f>_xlfn.IFNA(MATCH(Q178,Achievements[[#All],[Column116]],0)+10,"")</f>
        <v/>
      </c>
      <c r="AR178" s="134" t="str">
        <f>_xlfn.IFNA(MATCH(R178,Achievements[[#All],[Column117]],0)+10,"")</f>
        <v/>
      </c>
      <c r="AS178" s="134" t="str">
        <f>_xlfn.IFNA(MATCH(S178,Achievements[[#All],[Column117]],0)+10,"")</f>
        <v/>
      </c>
      <c r="AT178" s="134" t="str">
        <f>_xlfn.IFNA(MATCH(T178,Achievements[[#All],[Column118]],0)+10,"")</f>
        <v/>
      </c>
      <c r="AU178" s="134" t="str">
        <f>_xlfn.IFNA(MATCH(U178,Achievements[[#All],[Column118]],0)+10,"")</f>
        <v/>
      </c>
      <c r="AV178" s="134" t="str">
        <f>_xlfn.IFNA(MATCH(V178,Achievements[[#All],[Column119]],0)+10,"")</f>
        <v/>
      </c>
      <c r="AW178" s="134" t="str">
        <f>_xlfn.IFNA(MATCH(W178,Achievements[[#All],[Column119]],0)+10,"")</f>
        <v/>
      </c>
      <c r="AX178" s="134" t="str">
        <f>_xlfn.IFNA(MATCH(X178,Achievements[[#All],[Column120]],0)+10,"")</f>
        <v/>
      </c>
      <c r="AY178" s="134" t="str">
        <f>_xlfn.IFNA(MATCH(Y178,Achievements[[#All],[Column120]],0)+10,"")</f>
        <v/>
      </c>
      <c r="AZ178" s="116" t="e">
        <f t="shared" ca="1" si="4"/>
        <v>#NAME?</v>
      </c>
      <c r="BA178" s="134" t="e" cm="1">
        <f t="array" aca="1" ref="BA178" ca="1">SplitValues("; ",Persons[[#This Row],[Column1]])</f>
        <v>#NAME?</v>
      </c>
      <c r="CA178" s="134" t="e">
        <f ca="1">_xlfn.IFNA(MATCH(BA178,Achievements[[#All],[Column1]],0)+10,"")</f>
        <v>#NAME?</v>
      </c>
      <c r="CB178" s="134" t="str">
        <f>_xlfn.IFNA(MATCH(BB178,Achievements[[#All],[Column1]],0)+10,"")</f>
        <v/>
      </c>
      <c r="CC178" s="134" t="str">
        <f>_xlfn.IFNA(MATCH(BC178,Achievements[[#All],[Column110]],0)+10,"")</f>
        <v/>
      </c>
      <c r="CD178" s="134" t="str">
        <f>_xlfn.IFNA(MATCH(BD178,Achievements[[#All],[Column110]],0)+10,"")</f>
        <v/>
      </c>
      <c r="CE178" s="134" t="str">
        <f>_xlfn.IFNA(MATCH(BE178,Achievements[[#All],[Column111]],0)+10,"")</f>
        <v/>
      </c>
      <c r="CF178" s="134" t="str">
        <f>_xlfn.IFNA(MATCH(BF178,Achievements[[#All],[Column111]],0)+10,"")</f>
        <v/>
      </c>
      <c r="CG178" s="134" t="str">
        <f>_xlfn.IFNA(MATCH(BG178,Achievements[[#All],[Column112]],0)+10,"")</f>
        <v/>
      </c>
      <c r="CH178" s="134" t="str">
        <f>_xlfn.IFNA(MATCH(BH178,Achievements[[#All],[Column112]],0)+10,"")</f>
        <v/>
      </c>
      <c r="CI178" s="134" t="str">
        <f>_xlfn.IFNA(MATCH(BI178,Achievements[[#All],[Column113]],0)+10,"")</f>
        <v/>
      </c>
      <c r="CJ178" s="134" t="str">
        <f>_xlfn.IFNA(MATCH(BJ178,Achievements[[#All],[Column113]],0)+10,"")</f>
        <v/>
      </c>
      <c r="CK178" s="134" t="str">
        <f>_xlfn.IFNA(MATCH(BK178,Achievements[[#All],[Column114]],0)+10,"")</f>
        <v/>
      </c>
      <c r="CL178" s="134" t="str">
        <f>_xlfn.IFNA(MATCH(BL178,Achievements[[#All],[Column114]],0)+10,"")</f>
        <v/>
      </c>
      <c r="CM178" s="134" t="str">
        <f>_xlfn.IFNA(MATCH(BM178,Achievements[[#All],[Column115]],0)+10,"")</f>
        <v/>
      </c>
      <c r="CN178" s="134" t="str">
        <f>_xlfn.IFNA(MATCH(BN178,Achievements[[#All],[Column115]],0)+10,"")</f>
        <v/>
      </c>
      <c r="CO178" s="134" t="str">
        <f>_xlfn.IFNA(MATCH(BO178,Achievements[[#All],[Column116]],0)+10,"")</f>
        <v/>
      </c>
      <c r="CP178" s="134" t="str">
        <f>_xlfn.IFNA(MATCH(BP178,Achievements[[#All],[Column116]],0)+10,"")</f>
        <v/>
      </c>
      <c r="CQ178" s="134" t="str">
        <f>_xlfn.IFNA(MATCH(BQ178,Achievements[[#All],[Column117]],0)+10,"")</f>
        <v/>
      </c>
      <c r="CR178" s="134" t="str">
        <f>_xlfn.IFNA(MATCH(BR178,Achievements[[#All],[Column117]],0)+10,"")</f>
        <v/>
      </c>
      <c r="CS178" s="134" t="str">
        <f>_xlfn.IFNA(MATCH(BS178,Achievements[[#All],[Column118]],0)+10,"")</f>
        <v/>
      </c>
      <c r="CT178" s="134" t="str">
        <f>_xlfn.IFNA(MATCH(BT178,Achievements[[#All],[Column118]],0)+10,"")</f>
        <v/>
      </c>
      <c r="CU178" s="134" t="str">
        <f>_xlfn.IFNA(MATCH(BU178,Achievements[[#All],[Column119]],0)+10,"")</f>
        <v/>
      </c>
      <c r="CV178" s="134" t="str">
        <f>_xlfn.IFNA(MATCH(BV178,Achievements[[#All],[Column119]],0)+10,"")</f>
        <v/>
      </c>
      <c r="CW178" s="134" t="str">
        <f>_xlfn.IFNA(MATCH(BW178,Achievements[[#All],[Column120]],0)+10,"")</f>
        <v/>
      </c>
      <c r="CX178" s="134" t="str">
        <f>_xlfn.IFNA(MATCH(BX178,Achievements[[#All],[Column120]],0)+10,"")</f>
        <v/>
      </c>
      <c r="CY178" s="134" t="str">
        <f>_xlfn.IFNA(MATCH(BY178,Achievements[[#All],[Column121]],0)+10,"")</f>
        <v/>
      </c>
      <c r="CZ178" s="118" t="e">
        <f t="shared" ca="1" si="5"/>
        <v>#NAME?</v>
      </c>
    </row>
    <row r="179" spans="1:104" x14ac:dyDescent="0.25">
      <c r="A179" t="e" cm="1">
        <f t="array" aca="1" ref="A179" ca="1">SplitValues("; ",#REF!)</f>
        <v>#NAME?</v>
      </c>
      <c r="AA179" t="e">
        <f ca="1">_xlfn.IFNA(MATCH(A179,Achievements[[#All],[Column1]],0)+11,"")</f>
        <v>#NAME?</v>
      </c>
      <c r="AB179" s="134" t="str">
        <f>_xlfn.IFNA(MATCH(B179,Achievements[[#All],[Column1]],0)+10,"")</f>
        <v/>
      </c>
      <c r="AC179" s="134" t="str">
        <f>_xlfn.IFNA(MATCH(C179,Achievements[[#All],[Column1]],0)+10,"")</f>
        <v/>
      </c>
      <c r="AD179" s="134" t="str">
        <f>_xlfn.IFNA(MATCH(D179,Achievements[[#All],[Column110]],0)+10,"")</f>
        <v/>
      </c>
      <c r="AE179" s="134" t="str">
        <f>_xlfn.IFNA(MATCH(E179,Achievements[[#All],[Column110]],0)+10,"")</f>
        <v/>
      </c>
      <c r="AF179" s="134" t="str">
        <f>_xlfn.IFNA(MATCH(F179,Achievements[[#All],[Column111]],0)+10,"")</f>
        <v/>
      </c>
      <c r="AG179" s="134" t="str">
        <f>_xlfn.IFNA(MATCH(G179,Achievements[[#All],[Column111]],0)+10,"")</f>
        <v/>
      </c>
      <c r="AH179" s="134" t="str">
        <f>_xlfn.IFNA(MATCH(H179,Achievements[[#All],[Column112]],0)+10,"")</f>
        <v/>
      </c>
      <c r="AI179" s="134" t="str">
        <f>_xlfn.IFNA(MATCH(I179,Achievements[[#All],[Column112]],0)+10,"")</f>
        <v/>
      </c>
      <c r="AJ179" s="134" t="str">
        <f>_xlfn.IFNA(MATCH(J179,Achievements[[#All],[Column113]],0)+10,"")</f>
        <v/>
      </c>
      <c r="AK179" s="134" t="str">
        <f>_xlfn.IFNA(MATCH(K179,Achievements[[#All],[Column113]],0)+10,"")</f>
        <v/>
      </c>
      <c r="AL179" s="134" t="str">
        <f>_xlfn.IFNA(MATCH(L179,Achievements[[#All],[Column114]],0)+10,"")</f>
        <v/>
      </c>
      <c r="AM179" s="134" t="str">
        <f>_xlfn.IFNA(MATCH(M179,Achievements[[#All],[Column114]],0)+10,"")</f>
        <v/>
      </c>
      <c r="AN179" s="134" t="str">
        <f>_xlfn.IFNA(MATCH(N179,Achievements[[#All],[Column115]],0)+10,"")</f>
        <v/>
      </c>
      <c r="AO179" s="134" t="str">
        <f>_xlfn.IFNA(MATCH(O179,Achievements[[#All],[Column115]],0)+10,"")</f>
        <v/>
      </c>
      <c r="AP179" s="134" t="str">
        <f>_xlfn.IFNA(MATCH(P179,Achievements[[#All],[Column116]],0)+10,"")</f>
        <v/>
      </c>
      <c r="AQ179" s="134" t="str">
        <f>_xlfn.IFNA(MATCH(Q179,Achievements[[#All],[Column116]],0)+10,"")</f>
        <v/>
      </c>
      <c r="AR179" s="134" t="str">
        <f>_xlfn.IFNA(MATCH(R179,Achievements[[#All],[Column117]],0)+10,"")</f>
        <v/>
      </c>
      <c r="AS179" s="134" t="str">
        <f>_xlfn.IFNA(MATCH(S179,Achievements[[#All],[Column117]],0)+10,"")</f>
        <v/>
      </c>
      <c r="AT179" s="134" t="str">
        <f>_xlfn.IFNA(MATCH(T179,Achievements[[#All],[Column118]],0)+10,"")</f>
        <v/>
      </c>
      <c r="AU179" s="134" t="str">
        <f>_xlfn.IFNA(MATCH(U179,Achievements[[#All],[Column118]],0)+10,"")</f>
        <v/>
      </c>
      <c r="AV179" s="134" t="str">
        <f>_xlfn.IFNA(MATCH(V179,Achievements[[#All],[Column119]],0)+10,"")</f>
        <v/>
      </c>
      <c r="AW179" s="134" t="str">
        <f>_xlfn.IFNA(MATCH(W179,Achievements[[#All],[Column119]],0)+10,"")</f>
        <v/>
      </c>
      <c r="AX179" s="134" t="str">
        <f>_xlfn.IFNA(MATCH(X179,Achievements[[#All],[Column120]],0)+10,"")</f>
        <v/>
      </c>
      <c r="AY179" s="134" t="str">
        <f>_xlfn.IFNA(MATCH(Y179,Achievements[[#All],[Column120]],0)+10,"")</f>
        <v/>
      </c>
      <c r="AZ179" s="116" t="e">
        <f t="shared" ca="1" si="4"/>
        <v>#NAME?</v>
      </c>
      <c r="BA179" s="134" t="e" cm="1">
        <f t="array" aca="1" ref="BA179" ca="1">SplitValues("; ",Persons[[#This Row],[Column1]])</f>
        <v>#NAME?</v>
      </c>
      <c r="CA179" s="134" t="e">
        <f ca="1">_xlfn.IFNA(MATCH(BA179,Achievements[[#All],[Column1]],0)+10,"")</f>
        <v>#NAME?</v>
      </c>
      <c r="CB179" s="134" t="str">
        <f>_xlfn.IFNA(MATCH(BB179,Achievements[[#All],[Column1]],0)+10,"")</f>
        <v/>
      </c>
      <c r="CC179" s="134" t="str">
        <f>_xlfn.IFNA(MATCH(BC179,Achievements[[#All],[Column110]],0)+10,"")</f>
        <v/>
      </c>
      <c r="CD179" s="134" t="str">
        <f>_xlfn.IFNA(MATCH(BD179,Achievements[[#All],[Column110]],0)+10,"")</f>
        <v/>
      </c>
      <c r="CE179" s="134" t="str">
        <f>_xlfn.IFNA(MATCH(BE179,Achievements[[#All],[Column111]],0)+10,"")</f>
        <v/>
      </c>
      <c r="CF179" s="134" t="str">
        <f>_xlfn.IFNA(MATCH(BF179,Achievements[[#All],[Column111]],0)+10,"")</f>
        <v/>
      </c>
      <c r="CG179" s="134" t="str">
        <f>_xlfn.IFNA(MATCH(BG179,Achievements[[#All],[Column112]],0)+10,"")</f>
        <v/>
      </c>
      <c r="CH179" s="134" t="str">
        <f>_xlfn.IFNA(MATCH(BH179,Achievements[[#All],[Column112]],0)+10,"")</f>
        <v/>
      </c>
      <c r="CI179" s="134" t="str">
        <f>_xlfn.IFNA(MATCH(BI179,Achievements[[#All],[Column113]],0)+10,"")</f>
        <v/>
      </c>
      <c r="CJ179" s="134" t="str">
        <f>_xlfn.IFNA(MATCH(BJ179,Achievements[[#All],[Column113]],0)+10,"")</f>
        <v/>
      </c>
      <c r="CK179" s="134" t="str">
        <f>_xlfn.IFNA(MATCH(BK179,Achievements[[#All],[Column114]],0)+10,"")</f>
        <v/>
      </c>
      <c r="CL179" s="134" t="str">
        <f>_xlfn.IFNA(MATCH(BL179,Achievements[[#All],[Column114]],0)+10,"")</f>
        <v/>
      </c>
      <c r="CM179" s="134" t="str">
        <f>_xlfn.IFNA(MATCH(BM179,Achievements[[#All],[Column115]],0)+10,"")</f>
        <v/>
      </c>
      <c r="CN179" s="134" t="str">
        <f>_xlfn.IFNA(MATCH(BN179,Achievements[[#All],[Column115]],0)+10,"")</f>
        <v/>
      </c>
      <c r="CO179" s="134" t="str">
        <f>_xlfn.IFNA(MATCH(BO179,Achievements[[#All],[Column116]],0)+10,"")</f>
        <v/>
      </c>
      <c r="CP179" s="134" t="str">
        <f>_xlfn.IFNA(MATCH(BP179,Achievements[[#All],[Column116]],0)+10,"")</f>
        <v/>
      </c>
      <c r="CQ179" s="134" t="str">
        <f>_xlfn.IFNA(MATCH(BQ179,Achievements[[#All],[Column117]],0)+10,"")</f>
        <v/>
      </c>
      <c r="CR179" s="134" t="str">
        <f>_xlfn.IFNA(MATCH(BR179,Achievements[[#All],[Column117]],0)+10,"")</f>
        <v/>
      </c>
      <c r="CS179" s="134" t="str">
        <f>_xlfn.IFNA(MATCH(BS179,Achievements[[#All],[Column118]],0)+10,"")</f>
        <v/>
      </c>
      <c r="CT179" s="134" t="str">
        <f>_xlfn.IFNA(MATCH(BT179,Achievements[[#All],[Column118]],0)+10,"")</f>
        <v/>
      </c>
      <c r="CU179" s="134" t="str">
        <f>_xlfn.IFNA(MATCH(BU179,Achievements[[#All],[Column119]],0)+10,"")</f>
        <v/>
      </c>
      <c r="CV179" s="134" t="str">
        <f>_xlfn.IFNA(MATCH(BV179,Achievements[[#All],[Column119]],0)+10,"")</f>
        <v/>
      </c>
      <c r="CW179" s="134" t="str">
        <f>_xlfn.IFNA(MATCH(BW179,Achievements[[#All],[Column120]],0)+10,"")</f>
        <v/>
      </c>
      <c r="CX179" s="134" t="str">
        <f>_xlfn.IFNA(MATCH(BX179,Achievements[[#All],[Column120]],0)+10,"")</f>
        <v/>
      </c>
      <c r="CY179" s="134" t="str">
        <f>_xlfn.IFNA(MATCH(BY179,Achievements[[#All],[Column121]],0)+10,"")</f>
        <v/>
      </c>
      <c r="CZ179" s="118" t="e">
        <f t="shared" ca="1" si="5"/>
        <v>#NAME?</v>
      </c>
    </row>
    <row r="180" spans="1:104" x14ac:dyDescent="0.25">
      <c r="A180" t="e" cm="1">
        <f t="array" aca="1" ref="A180" ca="1">SplitValues("; ",#REF!)</f>
        <v>#NAME?</v>
      </c>
      <c r="AA180" t="e">
        <f ca="1">_xlfn.IFNA(MATCH(A180,Achievements[[#All],[Column1]],0)+11,"")</f>
        <v>#NAME?</v>
      </c>
      <c r="AB180" s="134" t="str">
        <f>_xlfn.IFNA(MATCH(B180,Achievements[[#All],[Column1]],0)+10,"")</f>
        <v/>
      </c>
      <c r="AC180" s="134" t="str">
        <f>_xlfn.IFNA(MATCH(C180,Achievements[[#All],[Column1]],0)+10,"")</f>
        <v/>
      </c>
      <c r="AD180" s="134" t="str">
        <f>_xlfn.IFNA(MATCH(D180,Achievements[[#All],[Column110]],0)+10,"")</f>
        <v/>
      </c>
      <c r="AE180" s="134" t="str">
        <f>_xlfn.IFNA(MATCH(E180,Achievements[[#All],[Column110]],0)+10,"")</f>
        <v/>
      </c>
      <c r="AF180" s="134" t="str">
        <f>_xlfn.IFNA(MATCH(F180,Achievements[[#All],[Column111]],0)+10,"")</f>
        <v/>
      </c>
      <c r="AG180" s="134" t="str">
        <f>_xlfn.IFNA(MATCH(G180,Achievements[[#All],[Column111]],0)+10,"")</f>
        <v/>
      </c>
      <c r="AH180" s="134" t="str">
        <f>_xlfn.IFNA(MATCH(H180,Achievements[[#All],[Column112]],0)+10,"")</f>
        <v/>
      </c>
      <c r="AI180" s="134" t="str">
        <f>_xlfn.IFNA(MATCH(I180,Achievements[[#All],[Column112]],0)+10,"")</f>
        <v/>
      </c>
      <c r="AJ180" s="134" t="str">
        <f>_xlfn.IFNA(MATCH(J180,Achievements[[#All],[Column113]],0)+10,"")</f>
        <v/>
      </c>
      <c r="AK180" s="134" t="str">
        <f>_xlfn.IFNA(MATCH(K180,Achievements[[#All],[Column113]],0)+10,"")</f>
        <v/>
      </c>
      <c r="AL180" s="134" t="str">
        <f>_xlfn.IFNA(MATCH(L180,Achievements[[#All],[Column114]],0)+10,"")</f>
        <v/>
      </c>
      <c r="AM180" s="134" t="str">
        <f>_xlfn.IFNA(MATCH(M180,Achievements[[#All],[Column114]],0)+10,"")</f>
        <v/>
      </c>
      <c r="AN180" s="134" t="str">
        <f>_xlfn.IFNA(MATCH(N180,Achievements[[#All],[Column115]],0)+10,"")</f>
        <v/>
      </c>
      <c r="AO180" s="134" t="str">
        <f>_xlfn.IFNA(MATCH(O180,Achievements[[#All],[Column115]],0)+10,"")</f>
        <v/>
      </c>
      <c r="AP180" s="134" t="str">
        <f>_xlfn.IFNA(MATCH(P180,Achievements[[#All],[Column116]],0)+10,"")</f>
        <v/>
      </c>
      <c r="AQ180" s="134" t="str">
        <f>_xlfn.IFNA(MATCH(Q180,Achievements[[#All],[Column116]],0)+10,"")</f>
        <v/>
      </c>
      <c r="AR180" s="134" t="str">
        <f>_xlfn.IFNA(MATCH(R180,Achievements[[#All],[Column117]],0)+10,"")</f>
        <v/>
      </c>
      <c r="AS180" s="134" t="str">
        <f>_xlfn.IFNA(MATCH(S180,Achievements[[#All],[Column117]],0)+10,"")</f>
        <v/>
      </c>
      <c r="AT180" s="134" t="str">
        <f>_xlfn.IFNA(MATCH(T180,Achievements[[#All],[Column118]],0)+10,"")</f>
        <v/>
      </c>
      <c r="AU180" s="134" t="str">
        <f>_xlfn.IFNA(MATCH(U180,Achievements[[#All],[Column118]],0)+10,"")</f>
        <v/>
      </c>
      <c r="AV180" s="134" t="str">
        <f>_xlfn.IFNA(MATCH(V180,Achievements[[#All],[Column119]],0)+10,"")</f>
        <v/>
      </c>
      <c r="AW180" s="134" t="str">
        <f>_xlfn.IFNA(MATCH(W180,Achievements[[#All],[Column119]],0)+10,"")</f>
        <v/>
      </c>
      <c r="AX180" s="134" t="str">
        <f>_xlfn.IFNA(MATCH(X180,Achievements[[#All],[Column120]],0)+10,"")</f>
        <v/>
      </c>
      <c r="AY180" s="134" t="str">
        <f>_xlfn.IFNA(MATCH(Y180,Achievements[[#All],[Column120]],0)+10,"")</f>
        <v/>
      </c>
      <c r="AZ180" s="116" t="e">
        <f t="shared" ca="1" si="4"/>
        <v>#NAME?</v>
      </c>
      <c r="BA180" s="134" t="e" cm="1">
        <f t="array" aca="1" ref="BA180" ca="1">SplitValues("; ",Persons[[#This Row],[Column1]])</f>
        <v>#NAME?</v>
      </c>
      <c r="CA180" s="134" t="e">
        <f ca="1">_xlfn.IFNA(MATCH(BA180,Achievements[[#All],[Column1]],0)+10,"")</f>
        <v>#NAME?</v>
      </c>
      <c r="CB180" s="134" t="str">
        <f>_xlfn.IFNA(MATCH(BB180,Achievements[[#All],[Column1]],0)+10,"")</f>
        <v/>
      </c>
      <c r="CC180" s="134" t="str">
        <f>_xlfn.IFNA(MATCH(BC180,Achievements[[#All],[Column110]],0)+10,"")</f>
        <v/>
      </c>
      <c r="CD180" s="134" t="str">
        <f>_xlfn.IFNA(MATCH(BD180,Achievements[[#All],[Column110]],0)+10,"")</f>
        <v/>
      </c>
      <c r="CE180" s="134" t="str">
        <f>_xlfn.IFNA(MATCH(BE180,Achievements[[#All],[Column111]],0)+10,"")</f>
        <v/>
      </c>
      <c r="CF180" s="134" t="str">
        <f>_xlfn.IFNA(MATCH(BF180,Achievements[[#All],[Column111]],0)+10,"")</f>
        <v/>
      </c>
      <c r="CG180" s="134" t="str">
        <f>_xlfn.IFNA(MATCH(BG180,Achievements[[#All],[Column112]],0)+10,"")</f>
        <v/>
      </c>
      <c r="CH180" s="134" t="str">
        <f>_xlfn.IFNA(MATCH(BH180,Achievements[[#All],[Column112]],0)+10,"")</f>
        <v/>
      </c>
      <c r="CI180" s="134" t="str">
        <f>_xlfn.IFNA(MATCH(BI180,Achievements[[#All],[Column113]],0)+10,"")</f>
        <v/>
      </c>
      <c r="CJ180" s="134" t="str">
        <f>_xlfn.IFNA(MATCH(BJ180,Achievements[[#All],[Column113]],0)+10,"")</f>
        <v/>
      </c>
      <c r="CK180" s="134" t="str">
        <f>_xlfn.IFNA(MATCH(BK180,Achievements[[#All],[Column114]],0)+10,"")</f>
        <v/>
      </c>
      <c r="CL180" s="134" t="str">
        <f>_xlfn.IFNA(MATCH(BL180,Achievements[[#All],[Column114]],0)+10,"")</f>
        <v/>
      </c>
      <c r="CM180" s="134" t="str">
        <f>_xlfn.IFNA(MATCH(BM180,Achievements[[#All],[Column115]],0)+10,"")</f>
        <v/>
      </c>
      <c r="CN180" s="134" t="str">
        <f>_xlfn.IFNA(MATCH(BN180,Achievements[[#All],[Column115]],0)+10,"")</f>
        <v/>
      </c>
      <c r="CO180" s="134" t="str">
        <f>_xlfn.IFNA(MATCH(BO180,Achievements[[#All],[Column116]],0)+10,"")</f>
        <v/>
      </c>
      <c r="CP180" s="134" t="str">
        <f>_xlfn.IFNA(MATCH(BP180,Achievements[[#All],[Column116]],0)+10,"")</f>
        <v/>
      </c>
      <c r="CQ180" s="134" t="str">
        <f>_xlfn.IFNA(MATCH(BQ180,Achievements[[#All],[Column117]],0)+10,"")</f>
        <v/>
      </c>
      <c r="CR180" s="134" t="str">
        <f>_xlfn.IFNA(MATCH(BR180,Achievements[[#All],[Column117]],0)+10,"")</f>
        <v/>
      </c>
      <c r="CS180" s="134" t="str">
        <f>_xlfn.IFNA(MATCH(BS180,Achievements[[#All],[Column118]],0)+10,"")</f>
        <v/>
      </c>
      <c r="CT180" s="134" t="str">
        <f>_xlfn.IFNA(MATCH(BT180,Achievements[[#All],[Column118]],0)+10,"")</f>
        <v/>
      </c>
      <c r="CU180" s="134" t="str">
        <f>_xlfn.IFNA(MATCH(BU180,Achievements[[#All],[Column119]],0)+10,"")</f>
        <v/>
      </c>
      <c r="CV180" s="134" t="str">
        <f>_xlfn.IFNA(MATCH(BV180,Achievements[[#All],[Column119]],0)+10,"")</f>
        <v/>
      </c>
      <c r="CW180" s="134" t="str">
        <f>_xlfn.IFNA(MATCH(BW180,Achievements[[#All],[Column120]],0)+10,"")</f>
        <v/>
      </c>
      <c r="CX180" s="134" t="str">
        <f>_xlfn.IFNA(MATCH(BX180,Achievements[[#All],[Column120]],0)+10,"")</f>
        <v/>
      </c>
      <c r="CY180" s="134" t="str">
        <f>_xlfn.IFNA(MATCH(BY180,Achievements[[#All],[Column121]],0)+10,"")</f>
        <v/>
      </c>
      <c r="CZ180" s="118" t="e">
        <f t="shared" ca="1" si="5"/>
        <v>#NAME?</v>
      </c>
    </row>
    <row r="181" spans="1:104" x14ac:dyDescent="0.25">
      <c r="A181" t="e" cm="1">
        <f t="array" aca="1" ref="A181" ca="1">SplitValues("; ",#REF!)</f>
        <v>#NAME?</v>
      </c>
      <c r="AA181" t="e">
        <f ca="1">_xlfn.IFNA(MATCH(A181,Achievements[[#All],[Column1]],0)+11,"")</f>
        <v>#NAME?</v>
      </c>
      <c r="AB181" s="134" t="str">
        <f>_xlfn.IFNA(MATCH(B181,Achievements[[#All],[Column1]],0)+10,"")</f>
        <v/>
      </c>
      <c r="AC181" s="134" t="str">
        <f>_xlfn.IFNA(MATCH(C181,Achievements[[#All],[Column1]],0)+10,"")</f>
        <v/>
      </c>
      <c r="AD181" s="134" t="str">
        <f>_xlfn.IFNA(MATCH(D181,Achievements[[#All],[Column110]],0)+10,"")</f>
        <v/>
      </c>
      <c r="AE181" s="134" t="str">
        <f>_xlfn.IFNA(MATCH(E181,Achievements[[#All],[Column110]],0)+10,"")</f>
        <v/>
      </c>
      <c r="AF181" s="134" t="str">
        <f>_xlfn.IFNA(MATCH(F181,Achievements[[#All],[Column111]],0)+10,"")</f>
        <v/>
      </c>
      <c r="AG181" s="134" t="str">
        <f>_xlfn.IFNA(MATCH(G181,Achievements[[#All],[Column111]],0)+10,"")</f>
        <v/>
      </c>
      <c r="AH181" s="134" t="str">
        <f>_xlfn.IFNA(MATCH(H181,Achievements[[#All],[Column112]],0)+10,"")</f>
        <v/>
      </c>
      <c r="AI181" s="134" t="str">
        <f>_xlfn.IFNA(MATCH(I181,Achievements[[#All],[Column112]],0)+10,"")</f>
        <v/>
      </c>
      <c r="AJ181" s="134" t="str">
        <f>_xlfn.IFNA(MATCH(J181,Achievements[[#All],[Column113]],0)+10,"")</f>
        <v/>
      </c>
      <c r="AK181" s="134" t="str">
        <f>_xlfn.IFNA(MATCH(K181,Achievements[[#All],[Column113]],0)+10,"")</f>
        <v/>
      </c>
      <c r="AL181" s="134" t="str">
        <f>_xlfn.IFNA(MATCH(L181,Achievements[[#All],[Column114]],0)+10,"")</f>
        <v/>
      </c>
      <c r="AM181" s="134" t="str">
        <f>_xlfn.IFNA(MATCH(M181,Achievements[[#All],[Column114]],0)+10,"")</f>
        <v/>
      </c>
      <c r="AN181" s="134" t="str">
        <f>_xlfn.IFNA(MATCH(N181,Achievements[[#All],[Column115]],0)+10,"")</f>
        <v/>
      </c>
      <c r="AO181" s="134" t="str">
        <f>_xlfn.IFNA(MATCH(O181,Achievements[[#All],[Column115]],0)+10,"")</f>
        <v/>
      </c>
      <c r="AP181" s="134" t="str">
        <f>_xlfn.IFNA(MATCH(P181,Achievements[[#All],[Column116]],0)+10,"")</f>
        <v/>
      </c>
      <c r="AQ181" s="134" t="str">
        <f>_xlfn.IFNA(MATCH(Q181,Achievements[[#All],[Column116]],0)+10,"")</f>
        <v/>
      </c>
      <c r="AR181" s="134" t="str">
        <f>_xlfn.IFNA(MATCH(R181,Achievements[[#All],[Column117]],0)+10,"")</f>
        <v/>
      </c>
      <c r="AS181" s="134" t="str">
        <f>_xlfn.IFNA(MATCH(S181,Achievements[[#All],[Column117]],0)+10,"")</f>
        <v/>
      </c>
      <c r="AT181" s="134" t="str">
        <f>_xlfn.IFNA(MATCH(T181,Achievements[[#All],[Column118]],0)+10,"")</f>
        <v/>
      </c>
      <c r="AU181" s="134" t="str">
        <f>_xlfn.IFNA(MATCH(U181,Achievements[[#All],[Column118]],0)+10,"")</f>
        <v/>
      </c>
      <c r="AV181" s="134" t="str">
        <f>_xlfn.IFNA(MATCH(V181,Achievements[[#All],[Column119]],0)+10,"")</f>
        <v/>
      </c>
      <c r="AW181" s="134" t="str">
        <f>_xlfn.IFNA(MATCH(W181,Achievements[[#All],[Column119]],0)+10,"")</f>
        <v/>
      </c>
      <c r="AX181" s="134" t="str">
        <f>_xlfn.IFNA(MATCH(X181,Achievements[[#All],[Column120]],0)+10,"")</f>
        <v/>
      </c>
      <c r="AY181" s="134" t="str">
        <f>_xlfn.IFNA(MATCH(Y181,Achievements[[#All],[Column120]],0)+10,"")</f>
        <v/>
      </c>
      <c r="AZ181" s="116" t="e">
        <f t="shared" ca="1" si="4"/>
        <v>#NAME?</v>
      </c>
      <c r="BA181" s="134" t="e" cm="1">
        <f t="array" aca="1" ref="BA181" ca="1">SplitValues("; ",Persons[[#This Row],[Column1]])</f>
        <v>#NAME?</v>
      </c>
      <c r="CA181" s="134" t="e">
        <f ca="1">_xlfn.IFNA(MATCH(BA181,Achievements[[#All],[Column1]],0)+10,"")</f>
        <v>#NAME?</v>
      </c>
      <c r="CB181" s="134" t="str">
        <f>_xlfn.IFNA(MATCH(BB181,Achievements[[#All],[Column1]],0)+10,"")</f>
        <v/>
      </c>
      <c r="CC181" s="134" t="str">
        <f>_xlfn.IFNA(MATCH(BC181,Achievements[[#All],[Column110]],0)+10,"")</f>
        <v/>
      </c>
      <c r="CD181" s="134" t="str">
        <f>_xlfn.IFNA(MATCH(BD181,Achievements[[#All],[Column110]],0)+10,"")</f>
        <v/>
      </c>
      <c r="CE181" s="134" t="str">
        <f>_xlfn.IFNA(MATCH(BE181,Achievements[[#All],[Column111]],0)+10,"")</f>
        <v/>
      </c>
      <c r="CF181" s="134" t="str">
        <f>_xlfn.IFNA(MATCH(BF181,Achievements[[#All],[Column111]],0)+10,"")</f>
        <v/>
      </c>
      <c r="CG181" s="134" t="str">
        <f>_xlfn.IFNA(MATCH(BG181,Achievements[[#All],[Column112]],0)+10,"")</f>
        <v/>
      </c>
      <c r="CH181" s="134" t="str">
        <f>_xlfn.IFNA(MATCH(BH181,Achievements[[#All],[Column112]],0)+10,"")</f>
        <v/>
      </c>
      <c r="CI181" s="134" t="str">
        <f>_xlfn.IFNA(MATCH(BI181,Achievements[[#All],[Column113]],0)+10,"")</f>
        <v/>
      </c>
      <c r="CJ181" s="134" t="str">
        <f>_xlfn.IFNA(MATCH(BJ181,Achievements[[#All],[Column113]],0)+10,"")</f>
        <v/>
      </c>
      <c r="CK181" s="134" t="str">
        <f>_xlfn.IFNA(MATCH(BK181,Achievements[[#All],[Column114]],0)+10,"")</f>
        <v/>
      </c>
      <c r="CL181" s="134" t="str">
        <f>_xlfn.IFNA(MATCH(BL181,Achievements[[#All],[Column114]],0)+10,"")</f>
        <v/>
      </c>
      <c r="CM181" s="134" t="str">
        <f>_xlfn.IFNA(MATCH(BM181,Achievements[[#All],[Column115]],0)+10,"")</f>
        <v/>
      </c>
      <c r="CN181" s="134" t="str">
        <f>_xlfn.IFNA(MATCH(BN181,Achievements[[#All],[Column115]],0)+10,"")</f>
        <v/>
      </c>
      <c r="CO181" s="134" t="str">
        <f>_xlfn.IFNA(MATCH(BO181,Achievements[[#All],[Column116]],0)+10,"")</f>
        <v/>
      </c>
      <c r="CP181" s="134" t="str">
        <f>_xlfn.IFNA(MATCH(BP181,Achievements[[#All],[Column116]],0)+10,"")</f>
        <v/>
      </c>
      <c r="CQ181" s="134" t="str">
        <f>_xlfn.IFNA(MATCH(BQ181,Achievements[[#All],[Column117]],0)+10,"")</f>
        <v/>
      </c>
      <c r="CR181" s="134" t="str">
        <f>_xlfn.IFNA(MATCH(BR181,Achievements[[#All],[Column117]],0)+10,"")</f>
        <v/>
      </c>
      <c r="CS181" s="134" t="str">
        <f>_xlfn.IFNA(MATCH(BS181,Achievements[[#All],[Column118]],0)+10,"")</f>
        <v/>
      </c>
      <c r="CT181" s="134" t="str">
        <f>_xlfn.IFNA(MATCH(BT181,Achievements[[#All],[Column118]],0)+10,"")</f>
        <v/>
      </c>
      <c r="CU181" s="134" t="str">
        <f>_xlfn.IFNA(MATCH(BU181,Achievements[[#All],[Column119]],0)+10,"")</f>
        <v/>
      </c>
      <c r="CV181" s="134" t="str">
        <f>_xlfn.IFNA(MATCH(BV181,Achievements[[#All],[Column119]],0)+10,"")</f>
        <v/>
      </c>
      <c r="CW181" s="134" t="str">
        <f>_xlfn.IFNA(MATCH(BW181,Achievements[[#All],[Column120]],0)+10,"")</f>
        <v/>
      </c>
      <c r="CX181" s="134" t="str">
        <f>_xlfn.IFNA(MATCH(BX181,Achievements[[#All],[Column120]],0)+10,"")</f>
        <v/>
      </c>
      <c r="CY181" s="134" t="str">
        <f>_xlfn.IFNA(MATCH(BY181,Achievements[[#All],[Column121]],0)+10,"")</f>
        <v/>
      </c>
      <c r="CZ181" s="118" t="e">
        <f t="shared" ca="1" si="5"/>
        <v>#NAME?</v>
      </c>
    </row>
    <row r="182" spans="1:104" x14ac:dyDescent="0.25">
      <c r="A182" t="e" cm="1">
        <f t="array" aca="1" ref="A182" ca="1">SplitValues("; ",#REF!)</f>
        <v>#NAME?</v>
      </c>
      <c r="AA182" t="e">
        <f ca="1">_xlfn.IFNA(MATCH(A182,Achievements[[#All],[Column1]],0)+11,"")</f>
        <v>#NAME?</v>
      </c>
      <c r="AB182" s="134" t="str">
        <f>_xlfn.IFNA(MATCH(B182,Achievements[[#All],[Column1]],0)+10,"")</f>
        <v/>
      </c>
      <c r="AC182" s="134" t="str">
        <f>_xlfn.IFNA(MATCH(C182,Achievements[[#All],[Column1]],0)+10,"")</f>
        <v/>
      </c>
      <c r="AD182" s="134" t="str">
        <f>_xlfn.IFNA(MATCH(D182,Achievements[[#All],[Column110]],0)+10,"")</f>
        <v/>
      </c>
      <c r="AE182" s="134" t="str">
        <f>_xlfn.IFNA(MATCH(E182,Achievements[[#All],[Column110]],0)+10,"")</f>
        <v/>
      </c>
      <c r="AF182" s="134" t="str">
        <f>_xlfn.IFNA(MATCH(F182,Achievements[[#All],[Column111]],0)+10,"")</f>
        <v/>
      </c>
      <c r="AG182" s="134" t="str">
        <f>_xlfn.IFNA(MATCH(G182,Achievements[[#All],[Column111]],0)+10,"")</f>
        <v/>
      </c>
      <c r="AH182" s="134" t="str">
        <f>_xlfn.IFNA(MATCH(H182,Achievements[[#All],[Column112]],0)+10,"")</f>
        <v/>
      </c>
      <c r="AI182" s="134" t="str">
        <f>_xlfn.IFNA(MATCH(I182,Achievements[[#All],[Column112]],0)+10,"")</f>
        <v/>
      </c>
      <c r="AJ182" s="134" t="str">
        <f>_xlfn.IFNA(MATCH(J182,Achievements[[#All],[Column113]],0)+10,"")</f>
        <v/>
      </c>
      <c r="AK182" s="134" t="str">
        <f>_xlfn.IFNA(MATCH(K182,Achievements[[#All],[Column113]],0)+10,"")</f>
        <v/>
      </c>
      <c r="AL182" s="134" t="str">
        <f>_xlfn.IFNA(MATCH(L182,Achievements[[#All],[Column114]],0)+10,"")</f>
        <v/>
      </c>
      <c r="AM182" s="134" t="str">
        <f>_xlfn.IFNA(MATCH(M182,Achievements[[#All],[Column114]],0)+10,"")</f>
        <v/>
      </c>
      <c r="AN182" s="134" t="str">
        <f>_xlfn.IFNA(MATCH(N182,Achievements[[#All],[Column115]],0)+10,"")</f>
        <v/>
      </c>
      <c r="AO182" s="134" t="str">
        <f>_xlfn.IFNA(MATCH(O182,Achievements[[#All],[Column115]],0)+10,"")</f>
        <v/>
      </c>
      <c r="AP182" s="134" t="str">
        <f>_xlfn.IFNA(MATCH(P182,Achievements[[#All],[Column116]],0)+10,"")</f>
        <v/>
      </c>
      <c r="AQ182" s="134" t="str">
        <f>_xlfn.IFNA(MATCH(Q182,Achievements[[#All],[Column116]],0)+10,"")</f>
        <v/>
      </c>
      <c r="AR182" s="134" t="str">
        <f>_xlfn.IFNA(MATCH(R182,Achievements[[#All],[Column117]],0)+10,"")</f>
        <v/>
      </c>
      <c r="AS182" s="134" t="str">
        <f>_xlfn.IFNA(MATCH(S182,Achievements[[#All],[Column117]],0)+10,"")</f>
        <v/>
      </c>
      <c r="AT182" s="134" t="str">
        <f>_xlfn.IFNA(MATCH(T182,Achievements[[#All],[Column118]],0)+10,"")</f>
        <v/>
      </c>
      <c r="AU182" s="134" t="str">
        <f>_xlfn.IFNA(MATCH(U182,Achievements[[#All],[Column118]],0)+10,"")</f>
        <v/>
      </c>
      <c r="AV182" s="134" t="str">
        <f>_xlfn.IFNA(MATCH(V182,Achievements[[#All],[Column119]],0)+10,"")</f>
        <v/>
      </c>
      <c r="AW182" s="134" t="str">
        <f>_xlfn.IFNA(MATCH(W182,Achievements[[#All],[Column119]],0)+10,"")</f>
        <v/>
      </c>
      <c r="AX182" s="134" t="str">
        <f>_xlfn.IFNA(MATCH(X182,Achievements[[#All],[Column120]],0)+10,"")</f>
        <v/>
      </c>
      <c r="AY182" s="134" t="str">
        <f>_xlfn.IFNA(MATCH(Y182,Achievements[[#All],[Column120]],0)+10,"")</f>
        <v/>
      </c>
      <c r="AZ182" s="116" t="e">
        <f t="shared" ca="1" si="4"/>
        <v>#NAME?</v>
      </c>
      <c r="BA182" s="134" t="e" cm="1">
        <f t="array" aca="1" ref="BA182" ca="1">SplitValues("; ",Persons[[#This Row],[Column1]])</f>
        <v>#NAME?</v>
      </c>
      <c r="CA182" s="134" t="e">
        <f ca="1">_xlfn.IFNA(MATCH(BA182,Achievements[[#All],[Column1]],0)+10,"")</f>
        <v>#NAME?</v>
      </c>
      <c r="CB182" s="134" t="str">
        <f>_xlfn.IFNA(MATCH(BB182,Achievements[[#All],[Column1]],0)+10,"")</f>
        <v/>
      </c>
      <c r="CC182" s="134" t="str">
        <f>_xlfn.IFNA(MATCH(BC182,Achievements[[#All],[Column110]],0)+10,"")</f>
        <v/>
      </c>
      <c r="CD182" s="134" t="str">
        <f>_xlfn.IFNA(MATCH(BD182,Achievements[[#All],[Column110]],0)+10,"")</f>
        <v/>
      </c>
      <c r="CE182" s="134" t="str">
        <f>_xlfn.IFNA(MATCH(BE182,Achievements[[#All],[Column111]],0)+10,"")</f>
        <v/>
      </c>
      <c r="CF182" s="134" t="str">
        <f>_xlfn.IFNA(MATCH(BF182,Achievements[[#All],[Column111]],0)+10,"")</f>
        <v/>
      </c>
      <c r="CG182" s="134" t="str">
        <f>_xlfn.IFNA(MATCH(BG182,Achievements[[#All],[Column112]],0)+10,"")</f>
        <v/>
      </c>
      <c r="CH182" s="134" t="str">
        <f>_xlfn.IFNA(MATCH(BH182,Achievements[[#All],[Column112]],0)+10,"")</f>
        <v/>
      </c>
      <c r="CI182" s="134" t="str">
        <f>_xlfn.IFNA(MATCH(BI182,Achievements[[#All],[Column113]],0)+10,"")</f>
        <v/>
      </c>
      <c r="CJ182" s="134" t="str">
        <f>_xlfn.IFNA(MATCH(BJ182,Achievements[[#All],[Column113]],0)+10,"")</f>
        <v/>
      </c>
      <c r="CK182" s="134" t="str">
        <f>_xlfn.IFNA(MATCH(BK182,Achievements[[#All],[Column114]],0)+10,"")</f>
        <v/>
      </c>
      <c r="CL182" s="134" t="str">
        <f>_xlfn.IFNA(MATCH(BL182,Achievements[[#All],[Column114]],0)+10,"")</f>
        <v/>
      </c>
      <c r="CM182" s="134" t="str">
        <f>_xlfn.IFNA(MATCH(BM182,Achievements[[#All],[Column115]],0)+10,"")</f>
        <v/>
      </c>
      <c r="CN182" s="134" t="str">
        <f>_xlfn.IFNA(MATCH(BN182,Achievements[[#All],[Column115]],0)+10,"")</f>
        <v/>
      </c>
      <c r="CO182" s="134" t="str">
        <f>_xlfn.IFNA(MATCH(BO182,Achievements[[#All],[Column116]],0)+10,"")</f>
        <v/>
      </c>
      <c r="CP182" s="134" t="str">
        <f>_xlfn.IFNA(MATCH(BP182,Achievements[[#All],[Column116]],0)+10,"")</f>
        <v/>
      </c>
      <c r="CQ182" s="134" t="str">
        <f>_xlfn.IFNA(MATCH(BQ182,Achievements[[#All],[Column117]],0)+10,"")</f>
        <v/>
      </c>
      <c r="CR182" s="134" t="str">
        <f>_xlfn.IFNA(MATCH(BR182,Achievements[[#All],[Column117]],0)+10,"")</f>
        <v/>
      </c>
      <c r="CS182" s="134" t="str">
        <f>_xlfn.IFNA(MATCH(BS182,Achievements[[#All],[Column118]],0)+10,"")</f>
        <v/>
      </c>
      <c r="CT182" s="134" t="str">
        <f>_xlfn.IFNA(MATCH(BT182,Achievements[[#All],[Column118]],0)+10,"")</f>
        <v/>
      </c>
      <c r="CU182" s="134" t="str">
        <f>_xlfn.IFNA(MATCH(BU182,Achievements[[#All],[Column119]],0)+10,"")</f>
        <v/>
      </c>
      <c r="CV182" s="134" t="str">
        <f>_xlfn.IFNA(MATCH(BV182,Achievements[[#All],[Column119]],0)+10,"")</f>
        <v/>
      </c>
      <c r="CW182" s="134" t="str">
        <f>_xlfn.IFNA(MATCH(BW182,Achievements[[#All],[Column120]],0)+10,"")</f>
        <v/>
      </c>
      <c r="CX182" s="134" t="str">
        <f>_xlfn.IFNA(MATCH(BX182,Achievements[[#All],[Column120]],0)+10,"")</f>
        <v/>
      </c>
      <c r="CY182" s="134" t="str">
        <f>_xlfn.IFNA(MATCH(BY182,Achievements[[#All],[Column121]],0)+10,"")</f>
        <v/>
      </c>
      <c r="CZ182" s="118" t="e">
        <f t="shared" ca="1" si="5"/>
        <v>#NAME?</v>
      </c>
    </row>
    <row r="183" spans="1:104" x14ac:dyDescent="0.25">
      <c r="A183" t="e" cm="1">
        <f t="array" aca="1" ref="A183" ca="1">SplitValues("; ",#REF!)</f>
        <v>#NAME?</v>
      </c>
      <c r="AA183" t="e">
        <f ca="1">_xlfn.IFNA(MATCH(A183,Achievements[[#All],[Column1]],0)+11,"")</f>
        <v>#NAME?</v>
      </c>
      <c r="AB183" s="134" t="str">
        <f>_xlfn.IFNA(MATCH(B183,Achievements[[#All],[Column1]],0)+10,"")</f>
        <v/>
      </c>
      <c r="AC183" s="134" t="str">
        <f>_xlfn.IFNA(MATCH(C183,Achievements[[#All],[Column1]],0)+10,"")</f>
        <v/>
      </c>
      <c r="AD183" s="134" t="str">
        <f>_xlfn.IFNA(MATCH(D183,Achievements[[#All],[Column110]],0)+10,"")</f>
        <v/>
      </c>
      <c r="AE183" s="134" t="str">
        <f>_xlfn.IFNA(MATCH(E183,Achievements[[#All],[Column110]],0)+10,"")</f>
        <v/>
      </c>
      <c r="AF183" s="134" t="str">
        <f>_xlfn.IFNA(MATCH(F183,Achievements[[#All],[Column111]],0)+10,"")</f>
        <v/>
      </c>
      <c r="AG183" s="134" t="str">
        <f>_xlfn.IFNA(MATCH(G183,Achievements[[#All],[Column111]],0)+10,"")</f>
        <v/>
      </c>
      <c r="AH183" s="134" t="str">
        <f>_xlfn.IFNA(MATCH(H183,Achievements[[#All],[Column112]],0)+10,"")</f>
        <v/>
      </c>
      <c r="AI183" s="134" t="str">
        <f>_xlfn.IFNA(MATCH(I183,Achievements[[#All],[Column112]],0)+10,"")</f>
        <v/>
      </c>
      <c r="AJ183" s="134" t="str">
        <f>_xlfn.IFNA(MATCH(J183,Achievements[[#All],[Column113]],0)+10,"")</f>
        <v/>
      </c>
      <c r="AK183" s="134" t="str">
        <f>_xlfn.IFNA(MATCH(K183,Achievements[[#All],[Column113]],0)+10,"")</f>
        <v/>
      </c>
      <c r="AL183" s="134" t="str">
        <f>_xlfn.IFNA(MATCH(L183,Achievements[[#All],[Column114]],0)+10,"")</f>
        <v/>
      </c>
      <c r="AM183" s="134" t="str">
        <f>_xlfn.IFNA(MATCH(M183,Achievements[[#All],[Column114]],0)+10,"")</f>
        <v/>
      </c>
      <c r="AN183" s="134" t="str">
        <f>_xlfn.IFNA(MATCH(N183,Achievements[[#All],[Column115]],0)+10,"")</f>
        <v/>
      </c>
      <c r="AO183" s="134" t="str">
        <f>_xlfn.IFNA(MATCH(O183,Achievements[[#All],[Column115]],0)+10,"")</f>
        <v/>
      </c>
      <c r="AP183" s="134" t="str">
        <f>_xlfn.IFNA(MATCH(P183,Achievements[[#All],[Column116]],0)+10,"")</f>
        <v/>
      </c>
      <c r="AQ183" s="134" t="str">
        <f>_xlfn.IFNA(MATCH(Q183,Achievements[[#All],[Column116]],0)+10,"")</f>
        <v/>
      </c>
      <c r="AR183" s="134" t="str">
        <f>_xlfn.IFNA(MATCH(R183,Achievements[[#All],[Column117]],0)+10,"")</f>
        <v/>
      </c>
      <c r="AS183" s="134" t="str">
        <f>_xlfn.IFNA(MATCH(S183,Achievements[[#All],[Column117]],0)+10,"")</f>
        <v/>
      </c>
      <c r="AT183" s="134" t="str">
        <f>_xlfn.IFNA(MATCH(T183,Achievements[[#All],[Column118]],0)+10,"")</f>
        <v/>
      </c>
      <c r="AU183" s="134" t="str">
        <f>_xlfn.IFNA(MATCH(U183,Achievements[[#All],[Column118]],0)+10,"")</f>
        <v/>
      </c>
      <c r="AV183" s="134" t="str">
        <f>_xlfn.IFNA(MATCH(V183,Achievements[[#All],[Column119]],0)+10,"")</f>
        <v/>
      </c>
      <c r="AW183" s="134" t="str">
        <f>_xlfn.IFNA(MATCH(W183,Achievements[[#All],[Column119]],0)+10,"")</f>
        <v/>
      </c>
      <c r="AX183" s="134" t="str">
        <f>_xlfn.IFNA(MATCH(X183,Achievements[[#All],[Column120]],0)+10,"")</f>
        <v/>
      </c>
      <c r="AY183" s="134" t="str">
        <f>_xlfn.IFNA(MATCH(Y183,Achievements[[#All],[Column120]],0)+10,"")</f>
        <v/>
      </c>
      <c r="AZ183" s="116" t="e">
        <f t="shared" ca="1" si="4"/>
        <v>#NAME?</v>
      </c>
      <c r="BA183" s="134" t="e" cm="1">
        <f t="array" aca="1" ref="BA183" ca="1">SplitValues("; ",Persons[[#This Row],[Column1]])</f>
        <v>#NAME?</v>
      </c>
      <c r="CA183" s="134" t="e">
        <f ca="1">_xlfn.IFNA(MATCH(BA183,Achievements[[#All],[Column1]],0)+10,"")</f>
        <v>#NAME?</v>
      </c>
      <c r="CB183" s="134" t="str">
        <f>_xlfn.IFNA(MATCH(BB183,Achievements[[#All],[Column1]],0)+10,"")</f>
        <v/>
      </c>
      <c r="CC183" s="134" t="str">
        <f>_xlfn.IFNA(MATCH(BC183,Achievements[[#All],[Column110]],0)+10,"")</f>
        <v/>
      </c>
      <c r="CD183" s="134" t="str">
        <f>_xlfn.IFNA(MATCH(BD183,Achievements[[#All],[Column110]],0)+10,"")</f>
        <v/>
      </c>
      <c r="CE183" s="134" t="str">
        <f>_xlfn.IFNA(MATCH(BE183,Achievements[[#All],[Column111]],0)+10,"")</f>
        <v/>
      </c>
      <c r="CF183" s="134" t="str">
        <f>_xlfn.IFNA(MATCH(BF183,Achievements[[#All],[Column111]],0)+10,"")</f>
        <v/>
      </c>
      <c r="CG183" s="134" t="str">
        <f>_xlfn.IFNA(MATCH(BG183,Achievements[[#All],[Column112]],0)+10,"")</f>
        <v/>
      </c>
      <c r="CH183" s="134" t="str">
        <f>_xlfn.IFNA(MATCH(BH183,Achievements[[#All],[Column112]],0)+10,"")</f>
        <v/>
      </c>
      <c r="CI183" s="134" t="str">
        <f>_xlfn.IFNA(MATCH(BI183,Achievements[[#All],[Column113]],0)+10,"")</f>
        <v/>
      </c>
      <c r="CJ183" s="134" t="str">
        <f>_xlfn.IFNA(MATCH(BJ183,Achievements[[#All],[Column113]],0)+10,"")</f>
        <v/>
      </c>
      <c r="CK183" s="134" t="str">
        <f>_xlfn.IFNA(MATCH(BK183,Achievements[[#All],[Column114]],0)+10,"")</f>
        <v/>
      </c>
      <c r="CL183" s="134" t="str">
        <f>_xlfn.IFNA(MATCH(BL183,Achievements[[#All],[Column114]],0)+10,"")</f>
        <v/>
      </c>
      <c r="CM183" s="134" t="str">
        <f>_xlfn.IFNA(MATCH(BM183,Achievements[[#All],[Column115]],0)+10,"")</f>
        <v/>
      </c>
      <c r="CN183" s="134" t="str">
        <f>_xlfn.IFNA(MATCH(BN183,Achievements[[#All],[Column115]],0)+10,"")</f>
        <v/>
      </c>
      <c r="CO183" s="134" t="str">
        <f>_xlfn.IFNA(MATCH(BO183,Achievements[[#All],[Column116]],0)+10,"")</f>
        <v/>
      </c>
      <c r="CP183" s="134" t="str">
        <f>_xlfn.IFNA(MATCH(BP183,Achievements[[#All],[Column116]],0)+10,"")</f>
        <v/>
      </c>
      <c r="CQ183" s="134" t="str">
        <f>_xlfn.IFNA(MATCH(BQ183,Achievements[[#All],[Column117]],0)+10,"")</f>
        <v/>
      </c>
      <c r="CR183" s="134" t="str">
        <f>_xlfn.IFNA(MATCH(BR183,Achievements[[#All],[Column117]],0)+10,"")</f>
        <v/>
      </c>
      <c r="CS183" s="134" t="str">
        <f>_xlfn.IFNA(MATCH(BS183,Achievements[[#All],[Column118]],0)+10,"")</f>
        <v/>
      </c>
      <c r="CT183" s="134" t="str">
        <f>_xlfn.IFNA(MATCH(BT183,Achievements[[#All],[Column118]],0)+10,"")</f>
        <v/>
      </c>
      <c r="CU183" s="134" t="str">
        <f>_xlfn.IFNA(MATCH(BU183,Achievements[[#All],[Column119]],0)+10,"")</f>
        <v/>
      </c>
      <c r="CV183" s="134" t="str">
        <f>_xlfn.IFNA(MATCH(BV183,Achievements[[#All],[Column119]],0)+10,"")</f>
        <v/>
      </c>
      <c r="CW183" s="134" t="str">
        <f>_xlfn.IFNA(MATCH(BW183,Achievements[[#All],[Column120]],0)+10,"")</f>
        <v/>
      </c>
      <c r="CX183" s="134" t="str">
        <f>_xlfn.IFNA(MATCH(BX183,Achievements[[#All],[Column120]],0)+10,"")</f>
        <v/>
      </c>
      <c r="CY183" s="134" t="str">
        <f>_xlfn.IFNA(MATCH(BY183,Achievements[[#All],[Column121]],0)+10,"")</f>
        <v/>
      </c>
      <c r="CZ183" s="118" t="e">
        <f t="shared" ca="1" si="5"/>
        <v>#NAME?</v>
      </c>
    </row>
    <row r="184" spans="1:104" x14ac:dyDescent="0.25">
      <c r="A184" t="e" cm="1">
        <f t="array" aca="1" ref="A184" ca="1">SplitValues("; ",#REF!)</f>
        <v>#NAME?</v>
      </c>
      <c r="AA184" t="e">
        <f ca="1">_xlfn.IFNA(MATCH(A184,Achievements[[#All],[Column1]],0)+11,"")</f>
        <v>#NAME?</v>
      </c>
      <c r="AB184" s="134" t="str">
        <f>_xlfn.IFNA(MATCH(B184,Achievements[[#All],[Column1]],0)+10,"")</f>
        <v/>
      </c>
      <c r="AC184" s="134" t="str">
        <f>_xlfn.IFNA(MATCH(C184,Achievements[[#All],[Column1]],0)+10,"")</f>
        <v/>
      </c>
      <c r="AD184" s="134" t="str">
        <f>_xlfn.IFNA(MATCH(D184,Achievements[[#All],[Column110]],0)+10,"")</f>
        <v/>
      </c>
      <c r="AE184" s="134" t="str">
        <f>_xlfn.IFNA(MATCH(E184,Achievements[[#All],[Column110]],0)+10,"")</f>
        <v/>
      </c>
      <c r="AF184" s="134" t="str">
        <f>_xlfn.IFNA(MATCH(F184,Achievements[[#All],[Column111]],0)+10,"")</f>
        <v/>
      </c>
      <c r="AG184" s="134" t="str">
        <f>_xlfn.IFNA(MATCH(G184,Achievements[[#All],[Column111]],0)+10,"")</f>
        <v/>
      </c>
      <c r="AH184" s="134" t="str">
        <f>_xlfn.IFNA(MATCH(H184,Achievements[[#All],[Column112]],0)+10,"")</f>
        <v/>
      </c>
      <c r="AI184" s="134" t="str">
        <f>_xlfn.IFNA(MATCH(I184,Achievements[[#All],[Column112]],0)+10,"")</f>
        <v/>
      </c>
      <c r="AJ184" s="134" t="str">
        <f>_xlfn.IFNA(MATCH(J184,Achievements[[#All],[Column113]],0)+10,"")</f>
        <v/>
      </c>
      <c r="AK184" s="134" t="str">
        <f>_xlfn.IFNA(MATCH(K184,Achievements[[#All],[Column113]],0)+10,"")</f>
        <v/>
      </c>
      <c r="AL184" s="134" t="str">
        <f>_xlfn.IFNA(MATCH(L184,Achievements[[#All],[Column114]],0)+10,"")</f>
        <v/>
      </c>
      <c r="AM184" s="134" t="str">
        <f>_xlfn.IFNA(MATCH(M184,Achievements[[#All],[Column114]],0)+10,"")</f>
        <v/>
      </c>
      <c r="AN184" s="134" t="str">
        <f>_xlfn.IFNA(MATCH(N184,Achievements[[#All],[Column115]],0)+10,"")</f>
        <v/>
      </c>
      <c r="AO184" s="134" t="str">
        <f>_xlfn.IFNA(MATCH(O184,Achievements[[#All],[Column115]],0)+10,"")</f>
        <v/>
      </c>
      <c r="AP184" s="134" t="str">
        <f>_xlfn.IFNA(MATCH(P184,Achievements[[#All],[Column116]],0)+10,"")</f>
        <v/>
      </c>
      <c r="AQ184" s="134" t="str">
        <f>_xlfn.IFNA(MATCH(Q184,Achievements[[#All],[Column116]],0)+10,"")</f>
        <v/>
      </c>
      <c r="AR184" s="134" t="str">
        <f>_xlfn.IFNA(MATCH(R184,Achievements[[#All],[Column117]],0)+10,"")</f>
        <v/>
      </c>
      <c r="AS184" s="134" t="str">
        <f>_xlfn.IFNA(MATCH(S184,Achievements[[#All],[Column117]],0)+10,"")</f>
        <v/>
      </c>
      <c r="AT184" s="134" t="str">
        <f>_xlfn.IFNA(MATCH(T184,Achievements[[#All],[Column118]],0)+10,"")</f>
        <v/>
      </c>
      <c r="AU184" s="134" t="str">
        <f>_xlfn.IFNA(MATCH(U184,Achievements[[#All],[Column118]],0)+10,"")</f>
        <v/>
      </c>
      <c r="AV184" s="134" t="str">
        <f>_xlfn.IFNA(MATCH(V184,Achievements[[#All],[Column119]],0)+10,"")</f>
        <v/>
      </c>
      <c r="AW184" s="134" t="str">
        <f>_xlfn.IFNA(MATCH(W184,Achievements[[#All],[Column119]],0)+10,"")</f>
        <v/>
      </c>
      <c r="AX184" s="134" t="str">
        <f>_xlfn.IFNA(MATCH(X184,Achievements[[#All],[Column120]],0)+10,"")</f>
        <v/>
      </c>
      <c r="AY184" s="134" t="str">
        <f>_xlfn.IFNA(MATCH(Y184,Achievements[[#All],[Column120]],0)+10,"")</f>
        <v/>
      </c>
      <c r="AZ184" s="116" t="e">
        <f t="shared" ca="1" si="4"/>
        <v>#NAME?</v>
      </c>
      <c r="BA184" s="134" t="e" cm="1">
        <f t="array" aca="1" ref="BA184" ca="1">SplitValues("; ",Persons[[#This Row],[Column1]])</f>
        <v>#NAME?</v>
      </c>
      <c r="CA184" s="134" t="e">
        <f ca="1">_xlfn.IFNA(MATCH(BA184,Achievements[[#All],[Column1]],0)+10,"")</f>
        <v>#NAME?</v>
      </c>
      <c r="CB184" s="134" t="str">
        <f>_xlfn.IFNA(MATCH(BB184,Achievements[[#All],[Column1]],0)+10,"")</f>
        <v/>
      </c>
      <c r="CC184" s="134" t="str">
        <f>_xlfn.IFNA(MATCH(BC184,Achievements[[#All],[Column110]],0)+10,"")</f>
        <v/>
      </c>
      <c r="CD184" s="134" t="str">
        <f>_xlfn.IFNA(MATCH(BD184,Achievements[[#All],[Column110]],0)+10,"")</f>
        <v/>
      </c>
      <c r="CE184" s="134" t="str">
        <f>_xlfn.IFNA(MATCH(BE184,Achievements[[#All],[Column111]],0)+10,"")</f>
        <v/>
      </c>
      <c r="CF184" s="134" t="str">
        <f>_xlfn.IFNA(MATCH(BF184,Achievements[[#All],[Column111]],0)+10,"")</f>
        <v/>
      </c>
      <c r="CG184" s="134" t="str">
        <f>_xlfn.IFNA(MATCH(BG184,Achievements[[#All],[Column112]],0)+10,"")</f>
        <v/>
      </c>
      <c r="CH184" s="134" t="str">
        <f>_xlfn.IFNA(MATCH(BH184,Achievements[[#All],[Column112]],0)+10,"")</f>
        <v/>
      </c>
      <c r="CI184" s="134" t="str">
        <f>_xlfn.IFNA(MATCH(BI184,Achievements[[#All],[Column113]],0)+10,"")</f>
        <v/>
      </c>
      <c r="CJ184" s="134" t="str">
        <f>_xlfn.IFNA(MATCH(BJ184,Achievements[[#All],[Column113]],0)+10,"")</f>
        <v/>
      </c>
      <c r="CK184" s="134" t="str">
        <f>_xlfn.IFNA(MATCH(BK184,Achievements[[#All],[Column114]],0)+10,"")</f>
        <v/>
      </c>
      <c r="CL184" s="134" t="str">
        <f>_xlfn.IFNA(MATCH(BL184,Achievements[[#All],[Column114]],0)+10,"")</f>
        <v/>
      </c>
      <c r="CM184" s="134" t="str">
        <f>_xlfn.IFNA(MATCH(BM184,Achievements[[#All],[Column115]],0)+10,"")</f>
        <v/>
      </c>
      <c r="CN184" s="134" t="str">
        <f>_xlfn.IFNA(MATCH(BN184,Achievements[[#All],[Column115]],0)+10,"")</f>
        <v/>
      </c>
      <c r="CO184" s="134" t="str">
        <f>_xlfn.IFNA(MATCH(BO184,Achievements[[#All],[Column116]],0)+10,"")</f>
        <v/>
      </c>
      <c r="CP184" s="134" t="str">
        <f>_xlfn.IFNA(MATCH(BP184,Achievements[[#All],[Column116]],0)+10,"")</f>
        <v/>
      </c>
      <c r="CQ184" s="134" t="str">
        <f>_xlfn.IFNA(MATCH(BQ184,Achievements[[#All],[Column117]],0)+10,"")</f>
        <v/>
      </c>
      <c r="CR184" s="134" t="str">
        <f>_xlfn.IFNA(MATCH(BR184,Achievements[[#All],[Column117]],0)+10,"")</f>
        <v/>
      </c>
      <c r="CS184" s="134" t="str">
        <f>_xlfn.IFNA(MATCH(BS184,Achievements[[#All],[Column118]],0)+10,"")</f>
        <v/>
      </c>
      <c r="CT184" s="134" t="str">
        <f>_xlfn.IFNA(MATCH(BT184,Achievements[[#All],[Column118]],0)+10,"")</f>
        <v/>
      </c>
      <c r="CU184" s="134" t="str">
        <f>_xlfn.IFNA(MATCH(BU184,Achievements[[#All],[Column119]],0)+10,"")</f>
        <v/>
      </c>
      <c r="CV184" s="134" t="str">
        <f>_xlfn.IFNA(MATCH(BV184,Achievements[[#All],[Column119]],0)+10,"")</f>
        <v/>
      </c>
      <c r="CW184" s="134" t="str">
        <f>_xlfn.IFNA(MATCH(BW184,Achievements[[#All],[Column120]],0)+10,"")</f>
        <v/>
      </c>
      <c r="CX184" s="134" t="str">
        <f>_xlfn.IFNA(MATCH(BX184,Achievements[[#All],[Column120]],0)+10,"")</f>
        <v/>
      </c>
      <c r="CY184" s="134" t="str">
        <f>_xlfn.IFNA(MATCH(BY184,Achievements[[#All],[Column121]],0)+10,"")</f>
        <v/>
      </c>
      <c r="CZ184" s="118" t="e">
        <f t="shared" ca="1" si="5"/>
        <v>#NAME?</v>
      </c>
    </row>
    <row r="185" spans="1:104" x14ac:dyDescent="0.25">
      <c r="A185" t="e" cm="1">
        <f t="array" aca="1" ref="A185" ca="1">SplitValues("; ",#REF!)</f>
        <v>#NAME?</v>
      </c>
      <c r="AA185" t="e">
        <f ca="1">_xlfn.IFNA(MATCH(A185,Achievements[[#All],[Column1]],0)+11,"")</f>
        <v>#NAME?</v>
      </c>
      <c r="AB185" s="134" t="str">
        <f>_xlfn.IFNA(MATCH(B185,Achievements[[#All],[Column1]],0)+10,"")</f>
        <v/>
      </c>
      <c r="AC185" s="134" t="str">
        <f>_xlfn.IFNA(MATCH(C185,Achievements[[#All],[Column1]],0)+10,"")</f>
        <v/>
      </c>
      <c r="AD185" s="134" t="str">
        <f>_xlfn.IFNA(MATCH(D185,Achievements[[#All],[Column110]],0)+10,"")</f>
        <v/>
      </c>
      <c r="AE185" s="134" t="str">
        <f>_xlfn.IFNA(MATCH(E185,Achievements[[#All],[Column110]],0)+10,"")</f>
        <v/>
      </c>
      <c r="AF185" s="134" t="str">
        <f>_xlfn.IFNA(MATCH(F185,Achievements[[#All],[Column111]],0)+10,"")</f>
        <v/>
      </c>
      <c r="AG185" s="134" t="str">
        <f>_xlfn.IFNA(MATCH(G185,Achievements[[#All],[Column111]],0)+10,"")</f>
        <v/>
      </c>
      <c r="AH185" s="134" t="str">
        <f>_xlfn.IFNA(MATCH(H185,Achievements[[#All],[Column112]],0)+10,"")</f>
        <v/>
      </c>
      <c r="AI185" s="134" t="str">
        <f>_xlfn.IFNA(MATCH(I185,Achievements[[#All],[Column112]],0)+10,"")</f>
        <v/>
      </c>
      <c r="AJ185" s="134" t="str">
        <f>_xlfn.IFNA(MATCH(J185,Achievements[[#All],[Column113]],0)+10,"")</f>
        <v/>
      </c>
      <c r="AK185" s="134" t="str">
        <f>_xlfn.IFNA(MATCH(K185,Achievements[[#All],[Column113]],0)+10,"")</f>
        <v/>
      </c>
      <c r="AL185" s="134" t="str">
        <f>_xlfn.IFNA(MATCH(L185,Achievements[[#All],[Column114]],0)+10,"")</f>
        <v/>
      </c>
      <c r="AM185" s="134" t="str">
        <f>_xlfn.IFNA(MATCH(M185,Achievements[[#All],[Column114]],0)+10,"")</f>
        <v/>
      </c>
      <c r="AN185" s="134" t="str">
        <f>_xlfn.IFNA(MATCH(N185,Achievements[[#All],[Column115]],0)+10,"")</f>
        <v/>
      </c>
      <c r="AO185" s="134" t="str">
        <f>_xlfn.IFNA(MATCH(O185,Achievements[[#All],[Column115]],0)+10,"")</f>
        <v/>
      </c>
      <c r="AP185" s="134" t="str">
        <f>_xlfn.IFNA(MATCH(P185,Achievements[[#All],[Column116]],0)+10,"")</f>
        <v/>
      </c>
      <c r="AQ185" s="134" t="str">
        <f>_xlfn.IFNA(MATCH(Q185,Achievements[[#All],[Column116]],0)+10,"")</f>
        <v/>
      </c>
      <c r="AR185" s="134" t="str">
        <f>_xlfn.IFNA(MATCH(R185,Achievements[[#All],[Column117]],0)+10,"")</f>
        <v/>
      </c>
      <c r="AS185" s="134" t="str">
        <f>_xlfn.IFNA(MATCH(S185,Achievements[[#All],[Column117]],0)+10,"")</f>
        <v/>
      </c>
      <c r="AT185" s="134" t="str">
        <f>_xlfn.IFNA(MATCH(T185,Achievements[[#All],[Column118]],0)+10,"")</f>
        <v/>
      </c>
      <c r="AU185" s="134" t="str">
        <f>_xlfn.IFNA(MATCH(U185,Achievements[[#All],[Column118]],0)+10,"")</f>
        <v/>
      </c>
      <c r="AV185" s="134" t="str">
        <f>_xlfn.IFNA(MATCH(V185,Achievements[[#All],[Column119]],0)+10,"")</f>
        <v/>
      </c>
      <c r="AW185" s="134" t="str">
        <f>_xlfn.IFNA(MATCH(W185,Achievements[[#All],[Column119]],0)+10,"")</f>
        <v/>
      </c>
      <c r="AX185" s="134" t="str">
        <f>_xlfn.IFNA(MATCH(X185,Achievements[[#All],[Column120]],0)+10,"")</f>
        <v/>
      </c>
      <c r="AY185" s="134" t="str">
        <f>_xlfn.IFNA(MATCH(Y185,Achievements[[#All],[Column120]],0)+10,"")</f>
        <v/>
      </c>
      <c r="AZ185" s="116" t="e">
        <f t="shared" ca="1" si="4"/>
        <v>#NAME?</v>
      </c>
      <c r="BA185" s="134" t="e" cm="1">
        <f t="array" aca="1" ref="BA185" ca="1">SplitValues("; ",Persons[[#This Row],[Column1]])</f>
        <v>#NAME?</v>
      </c>
      <c r="CA185" s="134" t="e">
        <f ca="1">_xlfn.IFNA(MATCH(BA185,Achievements[[#All],[Column1]],0)+10,"")</f>
        <v>#NAME?</v>
      </c>
      <c r="CB185" s="134" t="str">
        <f>_xlfn.IFNA(MATCH(BB185,Achievements[[#All],[Column1]],0)+10,"")</f>
        <v/>
      </c>
      <c r="CC185" s="134" t="str">
        <f>_xlfn.IFNA(MATCH(BC185,Achievements[[#All],[Column110]],0)+10,"")</f>
        <v/>
      </c>
      <c r="CD185" s="134" t="str">
        <f>_xlfn.IFNA(MATCH(BD185,Achievements[[#All],[Column110]],0)+10,"")</f>
        <v/>
      </c>
      <c r="CE185" s="134" t="str">
        <f>_xlfn.IFNA(MATCH(BE185,Achievements[[#All],[Column111]],0)+10,"")</f>
        <v/>
      </c>
      <c r="CF185" s="134" t="str">
        <f>_xlfn.IFNA(MATCH(BF185,Achievements[[#All],[Column111]],0)+10,"")</f>
        <v/>
      </c>
      <c r="CG185" s="134" t="str">
        <f>_xlfn.IFNA(MATCH(BG185,Achievements[[#All],[Column112]],0)+10,"")</f>
        <v/>
      </c>
      <c r="CH185" s="134" t="str">
        <f>_xlfn.IFNA(MATCH(BH185,Achievements[[#All],[Column112]],0)+10,"")</f>
        <v/>
      </c>
      <c r="CI185" s="134" t="str">
        <f>_xlfn.IFNA(MATCH(BI185,Achievements[[#All],[Column113]],0)+10,"")</f>
        <v/>
      </c>
      <c r="CJ185" s="134" t="str">
        <f>_xlfn.IFNA(MATCH(BJ185,Achievements[[#All],[Column113]],0)+10,"")</f>
        <v/>
      </c>
      <c r="CK185" s="134" t="str">
        <f>_xlfn.IFNA(MATCH(BK185,Achievements[[#All],[Column114]],0)+10,"")</f>
        <v/>
      </c>
      <c r="CL185" s="134" t="str">
        <f>_xlfn.IFNA(MATCH(BL185,Achievements[[#All],[Column114]],0)+10,"")</f>
        <v/>
      </c>
      <c r="CM185" s="134" t="str">
        <f>_xlfn.IFNA(MATCH(BM185,Achievements[[#All],[Column115]],0)+10,"")</f>
        <v/>
      </c>
      <c r="CN185" s="134" t="str">
        <f>_xlfn.IFNA(MATCH(BN185,Achievements[[#All],[Column115]],0)+10,"")</f>
        <v/>
      </c>
      <c r="CO185" s="134" t="str">
        <f>_xlfn.IFNA(MATCH(BO185,Achievements[[#All],[Column116]],0)+10,"")</f>
        <v/>
      </c>
      <c r="CP185" s="134" t="str">
        <f>_xlfn.IFNA(MATCH(BP185,Achievements[[#All],[Column116]],0)+10,"")</f>
        <v/>
      </c>
      <c r="CQ185" s="134" t="str">
        <f>_xlfn.IFNA(MATCH(BQ185,Achievements[[#All],[Column117]],0)+10,"")</f>
        <v/>
      </c>
      <c r="CR185" s="134" t="str">
        <f>_xlfn.IFNA(MATCH(BR185,Achievements[[#All],[Column117]],0)+10,"")</f>
        <v/>
      </c>
      <c r="CS185" s="134" t="str">
        <f>_xlfn.IFNA(MATCH(BS185,Achievements[[#All],[Column118]],0)+10,"")</f>
        <v/>
      </c>
      <c r="CT185" s="134" t="str">
        <f>_xlfn.IFNA(MATCH(BT185,Achievements[[#All],[Column118]],0)+10,"")</f>
        <v/>
      </c>
      <c r="CU185" s="134" t="str">
        <f>_xlfn.IFNA(MATCH(BU185,Achievements[[#All],[Column119]],0)+10,"")</f>
        <v/>
      </c>
      <c r="CV185" s="134" t="str">
        <f>_xlfn.IFNA(MATCH(BV185,Achievements[[#All],[Column119]],0)+10,"")</f>
        <v/>
      </c>
      <c r="CW185" s="134" t="str">
        <f>_xlfn.IFNA(MATCH(BW185,Achievements[[#All],[Column120]],0)+10,"")</f>
        <v/>
      </c>
      <c r="CX185" s="134" t="str">
        <f>_xlfn.IFNA(MATCH(BX185,Achievements[[#All],[Column120]],0)+10,"")</f>
        <v/>
      </c>
      <c r="CY185" s="134" t="str">
        <f>_xlfn.IFNA(MATCH(BY185,Achievements[[#All],[Column121]],0)+10,"")</f>
        <v/>
      </c>
      <c r="CZ185" s="118" t="e">
        <f t="shared" ca="1" si="5"/>
        <v>#NAME?</v>
      </c>
    </row>
    <row r="186" spans="1:104" x14ac:dyDescent="0.25">
      <c r="A186" t="e" cm="1">
        <f t="array" aca="1" ref="A186" ca="1">SplitValues("; ",#REF!)</f>
        <v>#NAME?</v>
      </c>
      <c r="AA186" t="e">
        <f ca="1">_xlfn.IFNA(MATCH(A186,Achievements[[#All],[Column1]],0)+11,"")</f>
        <v>#NAME?</v>
      </c>
      <c r="AB186" s="134" t="str">
        <f>_xlfn.IFNA(MATCH(B186,Achievements[[#All],[Column1]],0)+10,"")</f>
        <v/>
      </c>
      <c r="AC186" s="134" t="str">
        <f>_xlfn.IFNA(MATCH(C186,Achievements[[#All],[Column1]],0)+10,"")</f>
        <v/>
      </c>
      <c r="AD186" s="134" t="str">
        <f>_xlfn.IFNA(MATCH(D186,Achievements[[#All],[Column110]],0)+10,"")</f>
        <v/>
      </c>
      <c r="AE186" s="134" t="str">
        <f>_xlfn.IFNA(MATCH(E186,Achievements[[#All],[Column110]],0)+10,"")</f>
        <v/>
      </c>
      <c r="AF186" s="134" t="str">
        <f>_xlfn.IFNA(MATCH(F186,Achievements[[#All],[Column111]],0)+10,"")</f>
        <v/>
      </c>
      <c r="AG186" s="134" t="str">
        <f>_xlfn.IFNA(MATCH(G186,Achievements[[#All],[Column111]],0)+10,"")</f>
        <v/>
      </c>
      <c r="AH186" s="134" t="str">
        <f>_xlfn.IFNA(MATCH(H186,Achievements[[#All],[Column112]],0)+10,"")</f>
        <v/>
      </c>
      <c r="AI186" s="134" t="str">
        <f>_xlfn.IFNA(MATCH(I186,Achievements[[#All],[Column112]],0)+10,"")</f>
        <v/>
      </c>
      <c r="AJ186" s="134" t="str">
        <f>_xlfn.IFNA(MATCH(J186,Achievements[[#All],[Column113]],0)+10,"")</f>
        <v/>
      </c>
      <c r="AK186" s="134" t="str">
        <f>_xlfn.IFNA(MATCH(K186,Achievements[[#All],[Column113]],0)+10,"")</f>
        <v/>
      </c>
      <c r="AL186" s="134" t="str">
        <f>_xlfn.IFNA(MATCH(L186,Achievements[[#All],[Column114]],0)+10,"")</f>
        <v/>
      </c>
      <c r="AM186" s="134" t="str">
        <f>_xlfn.IFNA(MATCH(M186,Achievements[[#All],[Column114]],0)+10,"")</f>
        <v/>
      </c>
      <c r="AN186" s="134" t="str">
        <f>_xlfn.IFNA(MATCH(N186,Achievements[[#All],[Column115]],0)+10,"")</f>
        <v/>
      </c>
      <c r="AO186" s="134" t="str">
        <f>_xlfn.IFNA(MATCH(O186,Achievements[[#All],[Column115]],0)+10,"")</f>
        <v/>
      </c>
      <c r="AP186" s="134" t="str">
        <f>_xlfn.IFNA(MATCH(P186,Achievements[[#All],[Column116]],0)+10,"")</f>
        <v/>
      </c>
      <c r="AQ186" s="134" t="str">
        <f>_xlfn.IFNA(MATCH(Q186,Achievements[[#All],[Column116]],0)+10,"")</f>
        <v/>
      </c>
      <c r="AR186" s="134" t="str">
        <f>_xlfn.IFNA(MATCH(R186,Achievements[[#All],[Column117]],0)+10,"")</f>
        <v/>
      </c>
      <c r="AS186" s="134" t="str">
        <f>_xlfn.IFNA(MATCH(S186,Achievements[[#All],[Column117]],0)+10,"")</f>
        <v/>
      </c>
      <c r="AT186" s="134" t="str">
        <f>_xlfn.IFNA(MATCH(T186,Achievements[[#All],[Column118]],0)+10,"")</f>
        <v/>
      </c>
      <c r="AU186" s="134" t="str">
        <f>_xlfn.IFNA(MATCH(U186,Achievements[[#All],[Column118]],0)+10,"")</f>
        <v/>
      </c>
      <c r="AV186" s="134" t="str">
        <f>_xlfn.IFNA(MATCH(V186,Achievements[[#All],[Column119]],0)+10,"")</f>
        <v/>
      </c>
      <c r="AW186" s="134" t="str">
        <f>_xlfn.IFNA(MATCH(W186,Achievements[[#All],[Column119]],0)+10,"")</f>
        <v/>
      </c>
      <c r="AX186" s="134" t="str">
        <f>_xlfn.IFNA(MATCH(X186,Achievements[[#All],[Column120]],0)+10,"")</f>
        <v/>
      </c>
      <c r="AY186" s="134" t="str">
        <f>_xlfn.IFNA(MATCH(Y186,Achievements[[#All],[Column120]],0)+10,"")</f>
        <v/>
      </c>
      <c r="AZ186" s="116" t="e">
        <f t="shared" ca="1" si="4"/>
        <v>#NAME?</v>
      </c>
      <c r="BA186" s="134" t="e" cm="1">
        <f t="array" aca="1" ref="BA186" ca="1">SplitValues("; ",Persons[[#This Row],[Column1]])</f>
        <v>#NAME?</v>
      </c>
      <c r="CA186" s="134" t="e">
        <f ca="1">_xlfn.IFNA(MATCH(BA186,Achievements[[#All],[Column1]],0)+10,"")</f>
        <v>#NAME?</v>
      </c>
      <c r="CB186" s="134" t="str">
        <f>_xlfn.IFNA(MATCH(BB186,Achievements[[#All],[Column1]],0)+10,"")</f>
        <v/>
      </c>
      <c r="CC186" s="134" t="str">
        <f>_xlfn.IFNA(MATCH(BC186,Achievements[[#All],[Column110]],0)+10,"")</f>
        <v/>
      </c>
      <c r="CD186" s="134" t="str">
        <f>_xlfn.IFNA(MATCH(BD186,Achievements[[#All],[Column110]],0)+10,"")</f>
        <v/>
      </c>
      <c r="CE186" s="134" t="str">
        <f>_xlfn.IFNA(MATCH(BE186,Achievements[[#All],[Column111]],0)+10,"")</f>
        <v/>
      </c>
      <c r="CF186" s="134" t="str">
        <f>_xlfn.IFNA(MATCH(BF186,Achievements[[#All],[Column111]],0)+10,"")</f>
        <v/>
      </c>
      <c r="CG186" s="134" t="str">
        <f>_xlfn.IFNA(MATCH(BG186,Achievements[[#All],[Column112]],0)+10,"")</f>
        <v/>
      </c>
      <c r="CH186" s="134" t="str">
        <f>_xlfn.IFNA(MATCH(BH186,Achievements[[#All],[Column112]],0)+10,"")</f>
        <v/>
      </c>
      <c r="CI186" s="134" t="str">
        <f>_xlfn.IFNA(MATCH(BI186,Achievements[[#All],[Column113]],0)+10,"")</f>
        <v/>
      </c>
      <c r="CJ186" s="134" t="str">
        <f>_xlfn.IFNA(MATCH(BJ186,Achievements[[#All],[Column113]],0)+10,"")</f>
        <v/>
      </c>
      <c r="CK186" s="134" t="str">
        <f>_xlfn.IFNA(MATCH(BK186,Achievements[[#All],[Column114]],0)+10,"")</f>
        <v/>
      </c>
      <c r="CL186" s="134" t="str">
        <f>_xlfn.IFNA(MATCH(BL186,Achievements[[#All],[Column114]],0)+10,"")</f>
        <v/>
      </c>
      <c r="CM186" s="134" t="str">
        <f>_xlfn.IFNA(MATCH(BM186,Achievements[[#All],[Column115]],0)+10,"")</f>
        <v/>
      </c>
      <c r="CN186" s="134" t="str">
        <f>_xlfn.IFNA(MATCH(BN186,Achievements[[#All],[Column115]],0)+10,"")</f>
        <v/>
      </c>
      <c r="CO186" s="134" t="str">
        <f>_xlfn.IFNA(MATCH(BO186,Achievements[[#All],[Column116]],0)+10,"")</f>
        <v/>
      </c>
      <c r="CP186" s="134" t="str">
        <f>_xlfn.IFNA(MATCH(BP186,Achievements[[#All],[Column116]],0)+10,"")</f>
        <v/>
      </c>
      <c r="CQ186" s="134" t="str">
        <f>_xlfn.IFNA(MATCH(BQ186,Achievements[[#All],[Column117]],0)+10,"")</f>
        <v/>
      </c>
      <c r="CR186" s="134" t="str">
        <f>_xlfn.IFNA(MATCH(BR186,Achievements[[#All],[Column117]],0)+10,"")</f>
        <v/>
      </c>
      <c r="CS186" s="134" t="str">
        <f>_xlfn.IFNA(MATCH(BS186,Achievements[[#All],[Column118]],0)+10,"")</f>
        <v/>
      </c>
      <c r="CT186" s="134" t="str">
        <f>_xlfn.IFNA(MATCH(BT186,Achievements[[#All],[Column118]],0)+10,"")</f>
        <v/>
      </c>
      <c r="CU186" s="134" t="str">
        <f>_xlfn.IFNA(MATCH(BU186,Achievements[[#All],[Column119]],0)+10,"")</f>
        <v/>
      </c>
      <c r="CV186" s="134" t="str">
        <f>_xlfn.IFNA(MATCH(BV186,Achievements[[#All],[Column119]],0)+10,"")</f>
        <v/>
      </c>
      <c r="CW186" s="134" t="str">
        <f>_xlfn.IFNA(MATCH(BW186,Achievements[[#All],[Column120]],0)+10,"")</f>
        <v/>
      </c>
      <c r="CX186" s="134" t="str">
        <f>_xlfn.IFNA(MATCH(BX186,Achievements[[#All],[Column120]],0)+10,"")</f>
        <v/>
      </c>
      <c r="CY186" s="134" t="str">
        <f>_xlfn.IFNA(MATCH(BY186,Achievements[[#All],[Column121]],0)+10,"")</f>
        <v/>
      </c>
      <c r="CZ186" s="118" t="e">
        <f t="shared" ca="1" si="5"/>
        <v>#NAME?</v>
      </c>
    </row>
    <row r="187" spans="1:104" x14ac:dyDescent="0.25">
      <c r="A187" t="e" cm="1">
        <f t="array" aca="1" ref="A187" ca="1">SplitValues("; ",#REF!)</f>
        <v>#NAME?</v>
      </c>
      <c r="AA187" t="e">
        <f ca="1">_xlfn.IFNA(MATCH(A187,Achievements[[#All],[Column1]],0)+11,"")</f>
        <v>#NAME?</v>
      </c>
      <c r="AB187" s="134" t="str">
        <f>_xlfn.IFNA(MATCH(B187,Achievements[[#All],[Column1]],0)+10,"")</f>
        <v/>
      </c>
      <c r="AC187" s="134" t="str">
        <f>_xlfn.IFNA(MATCH(C187,Achievements[[#All],[Column1]],0)+10,"")</f>
        <v/>
      </c>
      <c r="AD187" s="134" t="str">
        <f>_xlfn.IFNA(MATCH(D187,Achievements[[#All],[Column110]],0)+10,"")</f>
        <v/>
      </c>
      <c r="AE187" s="134" t="str">
        <f>_xlfn.IFNA(MATCH(E187,Achievements[[#All],[Column110]],0)+10,"")</f>
        <v/>
      </c>
      <c r="AF187" s="134" t="str">
        <f>_xlfn.IFNA(MATCH(F187,Achievements[[#All],[Column111]],0)+10,"")</f>
        <v/>
      </c>
      <c r="AG187" s="134" t="str">
        <f>_xlfn.IFNA(MATCH(G187,Achievements[[#All],[Column111]],0)+10,"")</f>
        <v/>
      </c>
      <c r="AH187" s="134" t="str">
        <f>_xlfn.IFNA(MATCH(H187,Achievements[[#All],[Column112]],0)+10,"")</f>
        <v/>
      </c>
      <c r="AI187" s="134" t="str">
        <f>_xlfn.IFNA(MATCH(I187,Achievements[[#All],[Column112]],0)+10,"")</f>
        <v/>
      </c>
      <c r="AJ187" s="134" t="str">
        <f>_xlfn.IFNA(MATCH(J187,Achievements[[#All],[Column113]],0)+10,"")</f>
        <v/>
      </c>
      <c r="AK187" s="134" t="str">
        <f>_xlfn.IFNA(MATCH(K187,Achievements[[#All],[Column113]],0)+10,"")</f>
        <v/>
      </c>
      <c r="AL187" s="134" t="str">
        <f>_xlfn.IFNA(MATCH(L187,Achievements[[#All],[Column114]],0)+10,"")</f>
        <v/>
      </c>
      <c r="AM187" s="134" t="str">
        <f>_xlfn.IFNA(MATCH(M187,Achievements[[#All],[Column114]],0)+10,"")</f>
        <v/>
      </c>
      <c r="AN187" s="134" t="str">
        <f>_xlfn.IFNA(MATCH(N187,Achievements[[#All],[Column115]],0)+10,"")</f>
        <v/>
      </c>
      <c r="AO187" s="134" t="str">
        <f>_xlfn.IFNA(MATCH(O187,Achievements[[#All],[Column115]],0)+10,"")</f>
        <v/>
      </c>
      <c r="AP187" s="134" t="str">
        <f>_xlfn.IFNA(MATCH(P187,Achievements[[#All],[Column116]],0)+10,"")</f>
        <v/>
      </c>
      <c r="AQ187" s="134" t="str">
        <f>_xlfn.IFNA(MATCH(Q187,Achievements[[#All],[Column116]],0)+10,"")</f>
        <v/>
      </c>
      <c r="AR187" s="134" t="str">
        <f>_xlfn.IFNA(MATCH(R187,Achievements[[#All],[Column117]],0)+10,"")</f>
        <v/>
      </c>
      <c r="AS187" s="134" t="str">
        <f>_xlfn.IFNA(MATCH(S187,Achievements[[#All],[Column117]],0)+10,"")</f>
        <v/>
      </c>
      <c r="AT187" s="134" t="str">
        <f>_xlfn.IFNA(MATCH(T187,Achievements[[#All],[Column118]],0)+10,"")</f>
        <v/>
      </c>
      <c r="AU187" s="134" t="str">
        <f>_xlfn.IFNA(MATCH(U187,Achievements[[#All],[Column118]],0)+10,"")</f>
        <v/>
      </c>
      <c r="AV187" s="134" t="str">
        <f>_xlfn.IFNA(MATCH(V187,Achievements[[#All],[Column119]],0)+10,"")</f>
        <v/>
      </c>
      <c r="AW187" s="134" t="str">
        <f>_xlfn.IFNA(MATCH(W187,Achievements[[#All],[Column119]],0)+10,"")</f>
        <v/>
      </c>
      <c r="AX187" s="134" t="str">
        <f>_xlfn.IFNA(MATCH(X187,Achievements[[#All],[Column120]],0)+10,"")</f>
        <v/>
      </c>
      <c r="AY187" s="134" t="str">
        <f>_xlfn.IFNA(MATCH(Y187,Achievements[[#All],[Column120]],0)+10,"")</f>
        <v/>
      </c>
      <c r="AZ187" s="116" t="e">
        <f t="shared" ca="1" si="4"/>
        <v>#NAME?</v>
      </c>
      <c r="BA187" s="134" t="e" cm="1">
        <f t="array" aca="1" ref="BA187" ca="1">SplitValues("; ",Persons[[#This Row],[Column1]])</f>
        <v>#NAME?</v>
      </c>
      <c r="CA187" s="134" t="e">
        <f ca="1">_xlfn.IFNA(MATCH(BA187,Achievements[[#All],[Column1]],0)+10,"")</f>
        <v>#NAME?</v>
      </c>
      <c r="CB187" s="134" t="str">
        <f>_xlfn.IFNA(MATCH(BB187,Achievements[[#All],[Column1]],0)+10,"")</f>
        <v/>
      </c>
      <c r="CC187" s="134" t="str">
        <f>_xlfn.IFNA(MATCH(BC187,Achievements[[#All],[Column110]],0)+10,"")</f>
        <v/>
      </c>
      <c r="CD187" s="134" t="str">
        <f>_xlfn.IFNA(MATCH(BD187,Achievements[[#All],[Column110]],0)+10,"")</f>
        <v/>
      </c>
      <c r="CE187" s="134" t="str">
        <f>_xlfn.IFNA(MATCH(BE187,Achievements[[#All],[Column111]],0)+10,"")</f>
        <v/>
      </c>
      <c r="CF187" s="134" t="str">
        <f>_xlfn.IFNA(MATCH(BF187,Achievements[[#All],[Column111]],0)+10,"")</f>
        <v/>
      </c>
      <c r="CG187" s="134" t="str">
        <f>_xlfn.IFNA(MATCH(BG187,Achievements[[#All],[Column112]],0)+10,"")</f>
        <v/>
      </c>
      <c r="CH187" s="134" t="str">
        <f>_xlfn.IFNA(MATCH(BH187,Achievements[[#All],[Column112]],0)+10,"")</f>
        <v/>
      </c>
      <c r="CI187" s="134" t="str">
        <f>_xlfn.IFNA(MATCH(BI187,Achievements[[#All],[Column113]],0)+10,"")</f>
        <v/>
      </c>
      <c r="CJ187" s="134" t="str">
        <f>_xlfn.IFNA(MATCH(BJ187,Achievements[[#All],[Column113]],0)+10,"")</f>
        <v/>
      </c>
      <c r="CK187" s="134" t="str">
        <f>_xlfn.IFNA(MATCH(BK187,Achievements[[#All],[Column114]],0)+10,"")</f>
        <v/>
      </c>
      <c r="CL187" s="134" t="str">
        <f>_xlfn.IFNA(MATCH(BL187,Achievements[[#All],[Column114]],0)+10,"")</f>
        <v/>
      </c>
      <c r="CM187" s="134" t="str">
        <f>_xlfn.IFNA(MATCH(BM187,Achievements[[#All],[Column115]],0)+10,"")</f>
        <v/>
      </c>
      <c r="CN187" s="134" t="str">
        <f>_xlfn.IFNA(MATCH(BN187,Achievements[[#All],[Column115]],0)+10,"")</f>
        <v/>
      </c>
      <c r="CO187" s="134" t="str">
        <f>_xlfn.IFNA(MATCH(BO187,Achievements[[#All],[Column116]],0)+10,"")</f>
        <v/>
      </c>
      <c r="CP187" s="134" t="str">
        <f>_xlfn.IFNA(MATCH(BP187,Achievements[[#All],[Column116]],0)+10,"")</f>
        <v/>
      </c>
      <c r="CQ187" s="134" t="str">
        <f>_xlfn.IFNA(MATCH(BQ187,Achievements[[#All],[Column117]],0)+10,"")</f>
        <v/>
      </c>
      <c r="CR187" s="134" t="str">
        <f>_xlfn.IFNA(MATCH(BR187,Achievements[[#All],[Column117]],0)+10,"")</f>
        <v/>
      </c>
      <c r="CS187" s="134" t="str">
        <f>_xlfn.IFNA(MATCH(BS187,Achievements[[#All],[Column118]],0)+10,"")</f>
        <v/>
      </c>
      <c r="CT187" s="134" t="str">
        <f>_xlfn.IFNA(MATCH(BT187,Achievements[[#All],[Column118]],0)+10,"")</f>
        <v/>
      </c>
      <c r="CU187" s="134" t="str">
        <f>_xlfn.IFNA(MATCH(BU187,Achievements[[#All],[Column119]],0)+10,"")</f>
        <v/>
      </c>
      <c r="CV187" s="134" t="str">
        <f>_xlfn.IFNA(MATCH(BV187,Achievements[[#All],[Column119]],0)+10,"")</f>
        <v/>
      </c>
      <c r="CW187" s="134" t="str">
        <f>_xlfn.IFNA(MATCH(BW187,Achievements[[#All],[Column120]],0)+10,"")</f>
        <v/>
      </c>
      <c r="CX187" s="134" t="str">
        <f>_xlfn.IFNA(MATCH(BX187,Achievements[[#All],[Column120]],0)+10,"")</f>
        <v/>
      </c>
      <c r="CY187" s="134" t="str">
        <f>_xlfn.IFNA(MATCH(BY187,Achievements[[#All],[Column121]],0)+10,"")</f>
        <v/>
      </c>
      <c r="CZ187" s="118" t="e">
        <f t="shared" ca="1" si="5"/>
        <v>#NAME?</v>
      </c>
    </row>
    <row r="188" spans="1:104" x14ac:dyDescent="0.25">
      <c r="A188" t="e" cm="1">
        <f t="array" aca="1" ref="A188" ca="1">SplitValues("; ",#REF!)</f>
        <v>#NAME?</v>
      </c>
      <c r="AA188" t="e">
        <f ca="1">_xlfn.IFNA(MATCH(A188,Achievements[[#All],[Column1]],0)+11,"")</f>
        <v>#NAME?</v>
      </c>
      <c r="AB188" s="134" t="str">
        <f>_xlfn.IFNA(MATCH(B188,Achievements[[#All],[Column1]],0)+10,"")</f>
        <v/>
      </c>
      <c r="AC188" s="134" t="str">
        <f>_xlfn.IFNA(MATCH(C188,Achievements[[#All],[Column1]],0)+10,"")</f>
        <v/>
      </c>
      <c r="AD188" s="134" t="str">
        <f>_xlfn.IFNA(MATCH(D188,Achievements[[#All],[Column110]],0)+10,"")</f>
        <v/>
      </c>
      <c r="AE188" s="134" t="str">
        <f>_xlfn.IFNA(MATCH(E188,Achievements[[#All],[Column110]],0)+10,"")</f>
        <v/>
      </c>
      <c r="AF188" s="134" t="str">
        <f>_xlfn.IFNA(MATCH(F188,Achievements[[#All],[Column111]],0)+10,"")</f>
        <v/>
      </c>
      <c r="AG188" s="134" t="str">
        <f>_xlfn.IFNA(MATCH(G188,Achievements[[#All],[Column111]],0)+10,"")</f>
        <v/>
      </c>
      <c r="AH188" s="134" t="str">
        <f>_xlfn.IFNA(MATCH(H188,Achievements[[#All],[Column112]],0)+10,"")</f>
        <v/>
      </c>
      <c r="AI188" s="134" t="str">
        <f>_xlfn.IFNA(MATCH(I188,Achievements[[#All],[Column112]],0)+10,"")</f>
        <v/>
      </c>
      <c r="AJ188" s="134" t="str">
        <f>_xlfn.IFNA(MATCH(J188,Achievements[[#All],[Column113]],0)+10,"")</f>
        <v/>
      </c>
      <c r="AK188" s="134" t="str">
        <f>_xlfn.IFNA(MATCH(K188,Achievements[[#All],[Column113]],0)+10,"")</f>
        <v/>
      </c>
      <c r="AL188" s="134" t="str">
        <f>_xlfn.IFNA(MATCH(L188,Achievements[[#All],[Column114]],0)+10,"")</f>
        <v/>
      </c>
      <c r="AM188" s="134" t="str">
        <f>_xlfn.IFNA(MATCH(M188,Achievements[[#All],[Column114]],0)+10,"")</f>
        <v/>
      </c>
      <c r="AN188" s="134" t="str">
        <f>_xlfn.IFNA(MATCH(N188,Achievements[[#All],[Column115]],0)+10,"")</f>
        <v/>
      </c>
      <c r="AO188" s="134" t="str">
        <f>_xlfn.IFNA(MATCH(O188,Achievements[[#All],[Column115]],0)+10,"")</f>
        <v/>
      </c>
      <c r="AP188" s="134" t="str">
        <f>_xlfn.IFNA(MATCH(P188,Achievements[[#All],[Column116]],0)+10,"")</f>
        <v/>
      </c>
      <c r="AQ188" s="134" t="str">
        <f>_xlfn.IFNA(MATCH(Q188,Achievements[[#All],[Column116]],0)+10,"")</f>
        <v/>
      </c>
      <c r="AR188" s="134" t="str">
        <f>_xlfn.IFNA(MATCH(R188,Achievements[[#All],[Column117]],0)+10,"")</f>
        <v/>
      </c>
      <c r="AS188" s="134" t="str">
        <f>_xlfn.IFNA(MATCH(S188,Achievements[[#All],[Column117]],0)+10,"")</f>
        <v/>
      </c>
      <c r="AT188" s="134" t="str">
        <f>_xlfn.IFNA(MATCH(T188,Achievements[[#All],[Column118]],0)+10,"")</f>
        <v/>
      </c>
      <c r="AU188" s="134" t="str">
        <f>_xlfn.IFNA(MATCH(U188,Achievements[[#All],[Column118]],0)+10,"")</f>
        <v/>
      </c>
      <c r="AV188" s="134" t="str">
        <f>_xlfn.IFNA(MATCH(V188,Achievements[[#All],[Column119]],0)+10,"")</f>
        <v/>
      </c>
      <c r="AW188" s="134" t="str">
        <f>_xlfn.IFNA(MATCH(W188,Achievements[[#All],[Column119]],0)+10,"")</f>
        <v/>
      </c>
      <c r="AX188" s="134" t="str">
        <f>_xlfn.IFNA(MATCH(X188,Achievements[[#All],[Column120]],0)+10,"")</f>
        <v/>
      </c>
      <c r="AY188" s="134" t="str">
        <f>_xlfn.IFNA(MATCH(Y188,Achievements[[#All],[Column120]],0)+10,"")</f>
        <v/>
      </c>
      <c r="AZ188" s="116" t="e">
        <f t="shared" ca="1" si="4"/>
        <v>#NAME?</v>
      </c>
      <c r="BA188" s="134" t="e" cm="1">
        <f t="array" aca="1" ref="BA188" ca="1">SplitValues("; ",Persons[[#This Row],[Column1]])</f>
        <v>#NAME?</v>
      </c>
      <c r="CA188" s="134" t="e">
        <f ca="1">_xlfn.IFNA(MATCH(BA188,Achievements[[#All],[Column1]],0)+10,"")</f>
        <v>#NAME?</v>
      </c>
      <c r="CB188" s="134" t="str">
        <f>_xlfn.IFNA(MATCH(BB188,Achievements[[#All],[Column1]],0)+10,"")</f>
        <v/>
      </c>
      <c r="CC188" s="134" t="str">
        <f>_xlfn.IFNA(MATCH(BC188,Achievements[[#All],[Column110]],0)+10,"")</f>
        <v/>
      </c>
      <c r="CD188" s="134" t="str">
        <f>_xlfn.IFNA(MATCH(BD188,Achievements[[#All],[Column110]],0)+10,"")</f>
        <v/>
      </c>
      <c r="CE188" s="134" t="str">
        <f>_xlfn.IFNA(MATCH(BE188,Achievements[[#All],[Column111]],0)+10,"")</f>
        <v/>
      </c>
      <c r="CF188" s="134" t="str">
        <f>_xlfn.IFNA(MATCH(BF188,Achievements[[#All],[Column111]],0)+10,"")</f>
        <v/>
      </c>
      <c r="CG188" s="134" t="str">
        <f>_xlfn.IFNA(MATCH(BG188,Achievements[[#All],[Column112]],0)+10,"")</f>
        <v/>
      </c>
      <c r="CH188" s="134" t="str">
        <f>_xlfn.IFNA(MATCH(BH188,Achievements[[#All],[Column112]],0)+10,"")</f>
        <v/>
      </c>
      <c r="CI188" s="134" t="str">
        <f>_xlfn.IFNA(MATCH(BI188,Achievements[[#All],[Column113]],0)+10,"")</f>
        <v/>
      </c>
      <c r="CJ188" s="134" t="str">
        <f>_xlfn.IFNA(MATCH(BJ188,Achievements[[#All],[Column113]],0)+10,"")</f>
        <v/>
      </c>
      <c r="CK188" s="134" t="str">
        <f>_xlfn.IFNA(MATCH(BK188,Achievements[[#All],[Column114]],0)+10,"")</f>
        <v/>
      </c>
      <c r="CL188" s="134" t="str">
        <f>_xlfn.IFNA(MATCH(BL188,Achievements[[#All],[Column114]],0)+10,"")</f>
        <v/>
      </c>
      <c r="CM188" s="134" t="str">
        <f>_xlfn.IFNA(MATCH(BM188,Achievements[[#All],[Column115]],0)+10,"")</f>
        <v/>
      </c>
      <c r="CN188" s="134" t="str">
        <f>_xlfn.IFNA(MATCH(BN188,Achievements[[#All],[Column115]],0)+10,"")</f>
        <v/>
      </c>
      <c r="CO188" s="134" t="str">
        <f>_xlfn.IFNA(MATCH(BO188,Achievements[[#All],[Column116]],0)+10,"")</f>
        <v/>
      </c>
      <c r="CP188" s="134" t="str">
        <f>_xlfn.IFNA(MATCH(BP188,Achievements[[#All],[Column116]],0)+10,"")</f>
        <v/>
      </c>
      <c r="CQ188" s="134" t="str">
        <f>_xlfn.IFNA(MATCH(BQ188,Achievements[[#All],[Column117]],0)+10,"")</f>
        <v/>
      </c>
      <c r="CR188" s="134" t="str">
        <f>_xlfn.IFNA(MATCH(BR188,Achievements[[#All],[Column117]],0)+10,"")</f>
        <v/>
      </c>
      <c r="CS188" s="134" t="str">
        <f>_xlfn.IFNA(MATCH(BS188,Achievements[[#All],[Column118]],0)+10,"")</f>
        <v/>
      </c>
      <c r="CT188" s="134" t="str">
        <f>_xlfn.IFNA(MATCH(BT188,Achievements[[#All],[Column118]],0)+10,"")</f>
        <v/>
      </c>
      <c r="CU188" s="134" t="str">
        <f>_xlfn.IFNA(MATCH(BU188,Achievements[[#All],[Column119]],0)+10,"")</f>
        <v/>
      </c>
      <c r="CV188" s="134" t="str">
        <f>_xlfn.IFNA(MATCH(BV188,Achievements[[#All],[Column119]],0)+10,"")</f>
        <v/>
      </c>
      <c r="CW188" s="134" t="str">
        <f>_xlfn.IFNA(MATCH(BW188,Achievements[[#All],[Column120]],0)+10,"")</f>
        <v/>
      </c>
      <c r="CX188" s="134" t="str">
        <f>_xlfn.IFNA(MATCH(BX188,Achievements[[#All],[Column120]],0)+10,"")</f>
        <v/>
      </c>
      <c r="CY188" s="134" t="str">
        <f>_xlfn.IFNA(MATCH(BY188,Achievements[[#All],[Column121]],0)+10,"")</f>
        <v/>
      </c>
      <c r="CZ188" s="118" t="e">
        <f t="shared" ca="1" si="5"/>
        <v>#NAME?</v>
      </c>
    </row>
    <row r="189" spans="1:104" x14ac:dyDescent="0.25">
      <c r="A189" t="e" cm="1">
        <f t="array" aca="1" ref="A189" ca="1">SplitValues("; ",#REF!)</f>
        <v>#NAME?</v>
      </c>
      <c r="AA189" t="e">
        <f ca="1">_xlfn.IFNA(MATCH(A189,Achievements[[#All],[Column1]],0)+11,"")</f>
        <v>#NAME?</v>
      </c>
      <c r="AB189" s="134" t="str">
        <f>_xlfn.IFNA(MATCH(B189,Achievements[[#All],[Column1]],0)+10,"")</f>
        <v/>
      </c>
      <c r="AC189" s="134" t="str">
        <f>_xlfn.IFNA(MATCH(C189,Achievements[[#All],[Column1]],0)+10,"")</f>
        <v/>
      </c>
      <c r="AD189" s="134" t="str">
        <f>_xlfn.IFNA(MATCH(D189,Achievements[[#All],[Column110]],0)+10,"")</f>
        <v/>
      </c>
      <c r="AE189" s="134" t="str">
        <f>_xlfn.IFNA(MATCH(E189,Achievements[[#All],[Column110]],0)+10,"")</f>
        <v/>
      </c>
      <c r="AF189" s="134" t="str">
        <f>_xlfn.IFNA(MATCH(F189,Achievements[[#All],[Column111]],0)+10,"")</f>
        <v/>
      </c>
      <c r="AG189" s="134" t="str">
        <f>_xlfn.IFNA(MATCH(G189,Achievements[[#All],[Column111]],0)+10,"")</f>
        <v/>
      </c>
      <c r="AH189" s="134" t="str">
        <f>_xlfn.IFNA(MATCH(H189,Achievements[[#All],[Column112]],0)+10,"")</f>
        <v/>
      </c>
      <c r="AI189" s="134" t="str">
        <f>_xlfn.IFNA(MATCH(I189,Achievements[[#All],[Column112]],0)+10,"")</f>
        <v/>
      </c>
      <c r="AJ189" s="134" t="str">
        <f>_xlfn.IFNA(MATCH(J189,Achievements[[#All],[Column113]],0)+10,"")</f>
        <v/>
      </c>
      <c r="AK189" s="134" t="str">
        <f>_xlfn.IFNA(MATCH(K189,Achievements[[#All],[Column113]],0)+10,"")</f>
        <v/>
      </c>
      <c r="AL189" s="134" t="str">
        <f>_xlfn.IFNA(MATCH(L189,Achievements[[#All],[Column114]],0)+10,"")</f>
        <v/>
      </c>
      <c r="AM189" s="134" t="str">
        <f>_xlfn.IFNA(MATCH(M189,Achievements[[#All],[Column114]],0)+10,"")</f>
        <v/>
      </c>
      <c r="AN189" s="134" t="str">
        <f>_xlfn.IFNA(MATCH(N189,Achievements[[#All],[Column115]],0)+10,"")</f>
        <v/>
      </c>
      <c r="AO189" s="134" t="str">
        <f>_xlfn.IFNA(MATCH(O189,Achievements[[#All],[Column115]],0)+10,"")</f>
        <v/>
      </c>
      <c r="AP189" s="134" t="str">
        <f>_xlfn.IFNA(MATCH(P189,Achievements[[#All],[Column116]],0)+10,"")</f>
        <v/>
      </c>
      <c r="AQ189" s="134" t="str">
        <f>_xlfn.IFNA(MATCH(Q189,Achievements[[#All],[Column116]],0)+10,"")</f>
        <v/>
      </c>
      <c r="AR189" s="134" t="str">
        <f>_xlfn.IFNA(MATCH(R189,Achievements[[#All],[Column117]],0)+10,"")</f>
        <v/>
      </c>
      <c r="AS189" s="134" t="str">
        <f>_xlfn.IFNA(MATCH(S189,Achievements[[#All],[Column117]],0)+10,"")</f>
        <v/>
      </c>
      <c r="AT189" s="134" t="str">
        <f>_xlfn.IFNA(MATCH(T189,Achievements[[#All],[Column118]],0)+10,"")</f>
        <v/>
      </c>
      <c r="AU189" s="134" t="str">
        <f>_xlfn.IFNA(MATCH(U189,Achievements[[#All],[Column118]],0)+10,"")</f>
        <v/>
      </c>
      <c r="AV189" s="134" t="str">
        <f>_xlfn.IFNA(MATCH(V189,Achievements[[#All],[Column119]],0)+10,"")</f>
        <v/>
      </c>
      <c r="AW189" s="134" t="str">
        <f>_xlfn.IFNA(MATCH(W189,Achievements[[#All],[Column119]],0)+10,"")</f>
        <v/>
      </c>
      <c r="AX189" s="134" t="str">
        <f>_xlfn.IFNA(MATCH(X189,Achievements[[#All],[Column120]],0)+10,"")</f>
        <v/>
      </c>
      <c r="AY189" s="134" t="str">
        <f>_xlfn.IFNA(MATCH(Y189,Achievements[[#All],[Column120]],0)+10,"")</f>
        <v/>
      </c>
      <c r="AZ189" s="116" t="e">
        <f t="shared" ca="1" si="4"/>
        <v>#NAME?</v>
      </c>
      <c r="BA189" s="134" t="e" cm="1">
        <f t="array" aca="1" ref="BA189" ca="1">SplitValues("; ",Persons[[#This Row],[Column1]])</f>
        <v>#NAME?</v>
      </c>
      <c r="CA189" s="134" t="e">
        <f ca="1">_xlfn.IFNA(MATCH(BA189,Achievements[[#All],[Column1]],0)+10,"")</f>
        <v>#NAME?</v>
      </c>
      <c r="CB189" s="134" t="str">
        <f>_xlfn.IFNA(MATCH(BB189,Achievements[[#All],[Column1]],0)+10,"")</f>
        <v/>
      </c>
      <c r="CC189" s="134" t="str">
        <f>_xlfn.IFNA(MATCH(BC189,Achievements[[#All],[Column110]],0)+10,"")</f>
        <v/>
      </c>
      <c r="CD189" s="134" t="str">
        <f>_xlfn.IFNA(MATCH(BD189,Achievements[[#All],[Column110]],0)+10,"")</f>
        <v/>
      </c>
      <c r="CE189" s="134" t="str">
        <f>_xlfn.IFNA(MATCH(BE189,Achievements[[#All],[Column111]],0)+10,"")</f>
        <v/>
      </c>
      <c r="CF189" s="134" t="str">
        <f>_xlfn.IFNA(MATCH(BF189,Achievements[[#All],[Column111]],0)+10,"")</f>
        <v/>
      </c>
      <c r="CG189" s="134" t="str">
        <f>_xlfn.IFNA(MATCH(BG189,Achievements[[#All],[Column112]],0)+10,"")</f>
        <v/>
      </c>
      <c r="CH189" s="134" t="str">
        <f>_xlfn.IFNA(MATCH(BH189,Achievements[[#All],[Column112]],0)+10,"")</f>
        <v/>
      </c>
      <c r="CI189" s="134" t="str">
        <f>_xlfn.IFNA(MATCH(BI189,Achievements[[#All],[Column113]],0)+10,"")</f>
        <v/>
      </c>
      <c r="CJ189" s="134" t="str">
        <f>_xlfn.IFNA(MATCH(BJ189,Achievements[[#All],[Column113]],0)+10,"")</f>
        <v/>
      </c>
      <c r="CK189" s="134" t="str">
        <f>_xlfn.IFNA(MATCH(BK189,Achievements[[#All],[Column114]],0)+10,"")</f>
        <v/>
      </c>
      <c r="CL189" s="134" t="str">
        <f>_xlfn.IFNA(MATCH(BL189,Achievements[[#All],[Column114]],0)+10,"")</f>
        <v/>
      </c>
      <c r="CM189" s="134" t="str">
        <f>_xlfn.IFNA(MATCH(BM189,Achievements[[#All],[Column115]],0)+10,"")</f>
        <v/>
      </c>
      <c r="CN189" s="134" t="str">
        <f>_xlfn.IFNA(MATCH(BN189,Achievements[[#All],[Column115]],0)+10,"")</f>
        <v/>
      </c>
      <c r="CO189" s="134" t="str">
        <f>_xlfn.IFNA(MATCH(BO189,Achievements[[#All],[Column116]],0)+10,"")</f>
        <v/>
      </c>
      <c r="CP189" s="134" t="str">
        <f>_xlfn.IFNA(MATCH(BP189,Achievements[[#All],[Column116]],0)+10,"")</f>
        <v/>
      </c>
      <c r="CQ189" s="134" t="str">
        <f>_xlfn.IFNA(MATCH(BQ189,Achievements[[#All],[Column117]],0)+10,"")</f>
        <v/>
      </c>
      <c r="CR189" s="134" t="str">
        <f>_xlfn.IFNA(MATCH(BR189,Achievements[[#All],[Column117]],0)+10,"")</f>
        <v/>
      </c>
      <c r="CS189" s="134" t="str">
        <f>_xlfn.IFNA(MATCH(BS189,Achievements[[#All],[Column118]],0)+10,"")</f>
        <v/>
      </c>
      <c r="CT189" s="134" t="str">
        <f>_xlfn.IFNA(MATCH(BT189,Achievements[[#All],[Column118]],0)+10,"")</f>
        <v/>
      </c>
      <c r="CU189" s="134" t="str">
        <f>_xlfn.IFNA(MATCH(BU189,Achievements[[#All],[Column119]],0)+10,"")</f>
        <v/>
      </c>
      <c r="CV189" s="134" t="str">
        <f>_xlfn.IFNA(MATCH(BV189,Achievements[[#All],[Column119]],0)+10,"")</f>
        <v/>
      </c>
      <c r="CW189" s="134" t="str">
        <f>_xlfn.IFNA(MATCH(BW189,Achievements[[#All],[Column120]],0)+10,"")</f>
        <v/>
      </c>
      <c r="CX189" s="134" t="str">
        <f>_xlfn.IFNA(MATCH(BX189,Achievements[[#All],[Column120]],0)+10,"")</f>
        <v/>
      </c>
      <c r="CY189" s="134" t="str">
        <f>_xlfn.IFNA(MATCH(BY189,Achievements[[#All],[Column121]],0)+10,"")</f>
        <v/>
      </c>
      <c r="CZ189" s="118" t="e">
        <f t="shared" ca="1" si="5"/>
        <v>#NAME?</v>
      </c>
    </row>
    <row r="190" spans="1:104" x14ac:dyDescent="0.25">
      <c r="A190" t="e" cm="1">
        <f t="array" aca="1" ref="A190" ca="1">SplitValues("; ",#REF!)</f>
        <v>#NAME?</v>
      </c>
      <c r="AA190" t="e">
        <f ca="1">_xlfn.IFNA(MATCH(A190,Achievements[[#All],[Column1]],0)+11,"")</f>
        <v>#NAME?</v>
      </c>
      <c r="AB190" s="134" t="str">
        <f>_xlfn.IFNA(MATCH(B190,Achievements[[#All],[Column1]],0)+10,"")</f>
        <v/>
      </c>
      <c r="AC190" s="134" t="str">
        <f>_xlfn.IFNA(MATCH(C190,Achievements[[#All],[Column1]],0)+10,"")</f>
        <v/>
      </c>
      <c r="AD190" s="134" t="str">
        <f>_xlfn.IFNA(MATCH(D190,Achievements[[#All],[Column110]],0)+10,"")</f>
        <v/>
      </c>
      <c r="AE190" s="134" t="str">
        <f>_xlfn.IFNA(MATCH(E190,Achievements[[#All],[Column110]],0)+10,"")</f>
        <v/>
      </c>
      <c r="AF190" s="134" t="str">
        <f>_xlfn.IFNA(MATCH(F190,Achievements[[#All],[Column111]],0)+10,"")</f>
        <v/>
      </c>
      <c r="AG190" s="134" t="str">
        <f>_xlfn.IFNA(MATCH(G190,Achievements[[#All],[Column111]],0)+10,"")</f>
        <v/>
      </c>
      <c r="AH190" s="134" t="str">
        <f>_xlfn.IFNA(MATCH(H190,Achievements[[#All],[Column112]],0)+10,"")</f>
        <v/>
      </c>
      <c r="AI190" s="134" t="str">
        <f>_xlfn.IFNA(MATCH(I190,Achievements[[#All],[Column112]],0)+10,"")</f>
        <v/>
      </c>
      <c r="AJ190" s="134" t="str">
        <f>_xlfn.IFNA(MATCH(J190,Achievements[[#All],[Column113]],0)+10,"")</f>
        <v/>
      </c>
      <c r="AK190" s="134" t="str">
        <f>_xlfn.IFNA(MATCH(K190,Achievements[[#All],[Column113]],0)+10,"")</f>
        <v/>
      </c>
      <c r="AL190" s="134" t="str">
        <f>_xlfn.IFNA(MATCH(L190,Achievements[[#All],[Column114]],0)+10,"")</f>
        <v/>
      </c>
      <c r="AM190" s="134" t="str">
        <f>_xlfn.IFNA(MATCH(M190,Achievements[[#All],[Column114]],0)+10,"")</f>
        <v/>
      </c>
      <c r="AN190" s="134" t="str">
        <f>_xlfn.IFNA(MATCH(N190,Achievements[[#All],[Column115]],0)+10,"")</f>
        <v/>
      </c>
      <c r="AO190" s="134" t="str">
        <f>_xlfn.IFNA(MATCH(O190,Achievements[[#All],[Column115]],0)+10,"")</f>
        <v/>
      </c>
      <c r="AP190" s="134" t="str">
        <f>_xlfn.IFNA(MATCH(P190,Achievements[[#All],[Column116]],0)+10,"")</f>
        <v/>
      </c>
      <c r="AQ190" s="134" t="str">
        <f>_xlfn.IFNA(MATCH(Q190,Achievements[[#All],[Column116]],0)+10,"")</f>
        <v/>
      </c>
      <c r="AR190" s="134" t="str">
        <f>_xlfn.IFNA(MATCH(R190,Achievements[[#All],[Column117]],0)+10,"")</f>
        <v/>
      </c>
      <c r="AS190" s="134" t="str">
        <f>_xlfn.IFNA(MATCH(S190,Achievements[[#All],[Column117]],0)+10,"")</f>
        <v/>
      </c>
      <c r="AT190" s="134" t="str">
        <f>_xlfn.IFNA(MATCH(T190,Achievements[[#All],[Column118]],0)+10,"")</f>
        <v/>
      </c>
      <c r="AU190" s="134" t="str">
        <f>_xlfn.IFNA(MATCH(U190,Achievements[[#All],[Column118]],0)+10,"")</f>
        <v/>
      </c>
      <c r="AV190" s="134" t="str">
        <f>_xlfn.IFNA(MATCH(V190,Achievements[[#All],[Column119]],0)+10,"")</f>
        <v/>
      </c>
      <c r="AW190" s="134" t="str">
        <f>_xlfn.IFNA(MATCH(W190,Achievements[[#All],[Column119]],0)+10,"")</f>
        <v/>
      </c>
      <c r="AX190" s="134" t="str">
        <f>_xlfn.IFNA(MATCH(X190,Achievements[[#All],[Column120]],0)+10,"")</f>
        <v/>
      </c>
      <c r="AY190" s="134" t="str">
        <f>_xlfn.IFNA(MATCH(Y190,Achievements[[#All],[Column120]],0)+10,"")</f>
        <v/>
      </c>
      <c r="AZ190" s="116" t="e">
        <f t="shared" ca="1" si="4"/>
        <v>#NAME?</v>
      </c>
      <c r="BA190" s="134" t="e" cm="1">
        <f t="array" aca="1" ref="BA190" ca="1">SplitValues("; ",Persons[[#This Row],[Column1]])</f>
        <v>#NAME?</v>
      </c>
      <c r="CA190" s="134" t="e">
        <f ca="1">_xlfn.IFNA(MATCH(BA190,Achievements[[#All],[Column1]],0)+10,"")</f>
        <v>#NAME?</v>
      </c>
      <c r="CB190" s="134" t="str">
        <f>_xlfn.IFNA(MATCH(BB190,Achievements[[#All],[Column1]],0)+10,"")</f>
        <v/>
      </c>
      <c r="CC190" s="134" t="str">
        <f>_xlfn.IFNA(MATCH(BC190,Achievements[[#All],[Column110]],0)+10,"")</f>
        <v/>
      </c>
      <c r="CD190" s="134" t="str">
        <f>_xlfn.IFNA(MATCH(BD190,Achievements[[#All],[Column110]],0)+10,"")</f>
        <v/>
      </c>
      <c r="CE190" s="134" t="str">
        <f>_xlfn.IFNA(MATCH(BE190,Achievements[[#All],[Column111]],0)+10,"")</f>
        <v/>
      </c>
      <c r="CF190" s="134" t="str">
        <f>_xlfn.IFNA(MATCH(BF190,Achievements[[#All],[Column111]],0)+10,"")</f>
        <v/>
      </c>
      <c r="CG190" s="134" t="str">
        <f>_xlfn.IFNA(MATCH(BG190,Achievements[[#All],[Column112]],0)+10,"")</f>
        <v/>
      </c>
      <c r="CH190" s="134" t="str">
        <f>_xlfn.IFNA(MATCH(BH190,Achievements[[#All],[Column112]],0)+10,"")</f>
        <v/>
      </c>
      <c r="CI190" s="134" t="str">
        <f>_xlfn.IFNA(MATCH(BI190,Achievements[[#All],[Column113]],0)+10,"")</f>
        <v/>
      </c>
      <c r="CJ190" s="134" t="str">
        <f>_xlfn.IFNA(MATCH(BJ190,Achievements[[#All],[Column113]],0)+10,"")</f>
        <v/>
      </c>
      <c r="CK190" s="134" t="str">
        <f>_xlfn.IFNA(MATCH(BK190,Achievements[[#All],[Column114]],0)+10,"")</f>
        <v/>
      </c>
      <c r="CL190" s="134" t="str">
        <f>_xlfn.IFNA(MATCH(BL190,Achievements[[#All],[Column114]],0)+10,"")</f>
        <v/>
      </c>
      <c r="CM190" s="134" t="str">
        <f>_xlfn.IFNA(MATCH(BM190,Achievements[[#All],[Column115]],0)+10,"")</f>
        <v/>
      </c>
      <c r="CN190" s="134" t="str">
        <f>_xlfn.IFNA(MATCH(BN190,Achievements[[#All],[Column115]],0)+10,"")</f>
        <v/>
      </c>
      <c r="CO190" s="134" t="str">
        <f>_xlfn.IFNA(MATCH(BO190,Achievements[[#All],[Column116]],0)+10,"")</f>
        <v/>
      </c>
      <c r="CP190" s="134" t="str">
        <f>_xlfn.IFNA(MATCH(BP190,Achievements[[#All],[Column116]],0)+10,"")</f>
        <v/>
      </c>
      <c r="CQ190" s="134" t="str">
        <f>_xlfn.IFNA(MATCH(BQ190,Achievements[[#All],[Column117]],0)+10,"")</f>
        <v/>
      </c>
      <c r="CR190" s="134" t="str">
        <f>_xlfn.IFNA(MATCH(BR190,Achievements[[#All],[Column117]],0)+10,"")</f>
        <v/>
      </c>
      <c r="CS190" s="134" t="str">
        <f>_xlfn.IFNA(MATCH(BS190,Achievements[[#All],[Column118]],0)+10,"")</f>
        <v/>
      </c>
      <c r="CT190" s="134" t="str">
        <f>_xlfn.IFNA(MATCH(BT190,Achievements[[#All],[Column118]],0)+10,"")</f>
        <v/>
      </c>
      <c r="CU190" s="134" t="str">
        <f>_xlfn.IFNA(MATCH(BU190,Achievements[[#All],[Column119]],0)+10,"")</f>
        <v/>
      </c>
      <c r="CV190" s="134" t="str">
        <f>_xlfn.IFNA(MATCH(BV190,Achievements[[#All],[Column119]],0)+10,"")</f>
        <v/>
      </c>
      <c r="CW190" s="134" t="str">
        <f>_xlfn.IFNA(MATCH(BW190,Achievements[[#All],[Column120]],0)+10,"")</f>
        <v/>
      </c>
      <c r="CX190" s="134" t="str">
        <f>_xlfn.IFNA(MATCH(BX190,Achievements[[#All],[Column120]],0)+10,"")</f>
        <v/>
      </c>
      <c r="CY190" s="134" t="str">
        <f>_xlfn.IFNA(MATCH(BY190,Achievements[[#All],[Column121]],0)+10,"")</f>
        <v/>
      </c>
      <c r="CZ190" s="118" t="e">
        <f t="shared" ca="1" si="5"/>
        <v>#NAME?</v>
      </c>
    </row>
    <row r="191" spans="1:104" x14ac:dyDescent="0.25">
      <c r="A191" t="e" cm="1">
        <f t="array" aca="1" ref="A191" ca="1">SplitValues("; ",#REF!)</f>
        <v>#NAME?</v>
      </c>
      <c r="AA191" t="e">
        <f ca="1">_xlfn.IFNA(MATCH(A191,Achievements[[#All],[Column1]],0)+11,"")</f>
        <v>#NAME?</v>
      </c>
      <c r="AB191" s="134" t="str">
        <f>_xlfn.IFNA(MATCH(B191,Achievements[[#All],[Column1]],0)+10,"")</f>
        <v/>
      </c>
      <c r="AC191" s="134" t="str">
        <f>_xlfn.IFNA(MATCH(C191,Achievements[[#All],[Column1]],0)+10,"")</f>
        <v/>
      </c>
      <c r="AD191" s="134" t="str">
        <f>_xlfn.IFNA(MATCH(D191,Achievements[[#All],[Column110]],0)+10,"")</f>
        <v/>
      </c>
      <c r="AE191" s="134" t="str">
        <f>_xlfn.IFNA(MATCH(E191,Achievements[[#All],[Column110]],0)+10,"")</f>
        <v/>
      </c>
      <c r="AF191" s="134" t="str">
        <f>_xlfn.IFNA(MATCH(F191,Achievements[[#All],[Column111]],0)+10,"")</f>
        <v/>
      </c>
      <c r="AG191" s="134" t="str">
        <f>_xlfn.IFNA(MATCH(G191,Achievements[[#All],[Column111]],0)+10,"")</f>
        <v/>
      </c>
      <c r="AH191" s="134" t="str">
        <f>_xlfn.IFNA(MATCH(H191,Achievements[[#All],[Column112]],0)+10,"")</f>
        <v/>
      </c>
      <c r="AI191" s="134" t="str">
        <f>_xlfn.IFNA(MATCH(I191,Achievements[[#All],[Column112]],0)+10,"")</f>
        <v/>
      </c>
      <c r="AJ191" s="134" t="str">
        <f>_xlfn.IFNA(MATCH(J191,Achievements[[#All],[Column113]],0)+10,"")</f>
        <v/>
      </c>
      <c r="AK191" s="134" t="str">
        <f>_xlfn.IFNA(MATCH(K191,Achievements[[#All],[Column113]],0)+10,"")</f>
        <v/>
      </c>
      <c r="AL191" s="134" t="str">
        <f>_xlfn.IFNA(MATCH(L191,Achievements[[#All],[Column114]],0)+10,"")</f>
        <v/>
      </c>
      <c r="AM191" s="134" t="str">
        <f>_xlfn.IFNA(MATCH(M191,Achievements[[#All],[Column114]],0)+10,"")</f>
        <v/>
      </c>
      <c r="AN191" s="134" t="str">
        <f>_xlfn.IFNA(MATCH(N191,Achievements[[#All],[Column115]],0)+10,"")</f>
        <v/>
      </c>
      <c r="AO191" s="134" t="str">
        <f>_xlfn.IFNA(MATCH(O191,Achievements[[#All],[Column115]],0)+10,"")</f>
        <v/>
      </c>
      <c r="AP191" s="134" t="str">
        <f>_xlfn.IFNA(MATCH(P191,Achievements[[#All],[Column116]],0)+10,"")</f>
        <v/>
      </c>
      <c r="AQ191" s="134" t="str">
        <f>_xlfn.IFNA(MATCH(Q191,Achievements[[#All],[Column116]],0)+10,"")</f>
        <v/>
      </c>
      <c r="AR191" s="134" t="str">
        <f>_xlfn.IFNA(MATCH(R191,Achievements[[#All],[Column117]],0)+10,"")</f>
        <v/>
      </c>
      <c r="AS191" s="134" t="str">
        <f>_xlfn.IFNA(MATCH(S191,Achievements[[#All],[Column117]],0)+10,"")</f>
        <v/>
      </c>
      <c r="AT191" s="134" t="str">
        <f>_xlfn.IFNA(MATCH(T191,Achievements[[#All],[Column118]],0)+10,"")</f>
        <v/>
      </c>
      <c r="AU191" s="134" t="str">
        <f>_xlfn.IFNA(MATCH(U191,Achievements[[#All],[Column118]],0)+10,"")</f>
        <v/>
      </c>
      <c r="AV191" s="134" t="str">
        <f>_xlfn.IFNA(MATCH(V191,Achievements[[#All],[Column119]],0)+10,"")</f>
        <v/>
      </c>
      <c r="AW191" s="134" t="str">
        <f>_xlfn.IFNA(MATCH(W191,Achievements[[#All],[Column119]],0)+10,"")</f>
        <v/>
      </c>
      <c r="AX191" s="134" t="str">
        <f>_xlfn.IFNA(MATCH(X191,Achievements[[#All],[Column120]],0)+10,"")</f>
        <v/>
      </c>
      <c r="AY191" s="134" t="str">
        <f>_xlfn.IFNA(MATCH(Y191,Achievements[[#All],[Column120]],0)+10,"")</f>
        <v/>
      </c>
      <c r="AZ191" s="116" t="e">
        <f t="shared" ca="1" si="4"/>
        <v>#NAME?</v>
      </c>
      <c r="BA191" s="134" t="e" cm="1">
        <f t="array" aca="1" ref="BA191" ca="1">SplitValues("; ",Persons[[#This Row],[Column1]])</f>
        <v>#NAME?</v>
      </c>
      <c r="CA191" s="134" t="e">
        <f ca="1">_xlfn.IFNA(MATCH(BA191,Achievements[[#All],[Column1]],0)+10,"")</f>
        <v>#NAME?</v>
      </c>
      <c r="CB191" s="134" t="str">
        <f>_xlfn.IFNA(MATCH(BB191,Achievements[[#All],[Column1]],0)+10,"")</f>
        <v/>
      </c>
      <c r="CC191" s="134" t="str">
        <f>_xlfn.IFNA(MATCH(BC191,Achievements[[#All],[Column110]],0)+10,"")</f>
        <v/>
      </c>
      <c r="CD191" s="134" t="str">
        <f>_xlfn.IFNA(MATCH(BD191,Achievements[[#All],[Column110]],0)+10,"")</f>
        <v/>
      </c>
      <c r="CE191" s="134" t="str">
        <f>_xlfn.IFNA(MATCH(BE191,Achievements[[#All],[Column111]],0)+10,"")</f>
        <v/>
      </c>
      <c r="CF191" s="134" t="str">
        <f>_xlfn.IFNA(MATCH(BF191,Achievements[[#All],[Column111]],0)+10,"")</f>
        <v/>
      </c>
      <c r="CG191" s="134" t="str">
        <f>_xlfn.IFNA(MATCH(BG191,Achievements[[#All],[Column112]],0)+10,"")</f>
        <v/>
      </c>
      <c r="CH191" s="134" t="str">
        <f>_xlfn.IFNA(MATCH(BH191,Achievements[[#All],[Column112]],0)+10,"")</f>
        <v/>
      </c>
      <c r="CI191" s="134" t="str">
        <f>_xlfn.IFNA(MATCH(BI191,Achievements[[#All],[Column113]],0)+10,"")</f>
        <v/>
      </c>
      <c r="CJ191" s="134" t="str">
        <f>_xlfn.IFNA(MATCH(BJ191,Achievements[[#All],[Column113]],0)+10,"")</f>
        <v/>
      </c>
      <c r="CK191" s="134" t="str">
        <f>_xlfn.IFNA(MATCH(BK191,Achievements[[#All],[Column114]],0)+10,"")</f>
        <v/>
      </c>
      <c r="CL191" s="134" t="str">
        <f>_xlfn.IFNA(MATCH(BL191,Achievements[[#All],[Column114]],0)+10,"")</f>
        <v/>
      </c>
      <c r="CM191" s="134" t="str">
        <f>_xlfn.IFNA(MATCH(BM191,Achievements[[#All],[Column115]],0)+10,"")</f>
        <v/>
      </c>
      <c r="CN191" s="134" t="str">
        <f>_xlfn.IFNA(MATCH(BN191,Achievements[[#All],[Column115]],0)+10,"")</f>
        <v/>
      </c>
      <c r="CO191" s="134" t="str">
        <f>_xlfn.IFNA(MATCH(BO191,Achievements[[#All],[Column116]],0)+10,"")</f>
        <v/>
      </c>
      <c r="CP191" s="134" t="str">
        <f>_xlfn.IFNA(MATCH(BP191,Achievements[[#All],[Column116]],0)+10,"")</f>
        <v/>
      </c>
      <c r="CQ191" s="134" t="str">
        <f>_xlfn.IFNA(MATCH(BQ191,Achievements[[#All],[Column117]],0)+10,"")</f>
        <v/>
      </c>
      <c r="CR191" s="134" t="str">
        <f>_xlfn.IFNA(MATCH(BR191,Achievements[[#All],[Column117]],0)+10,"")</f>
        <v/>
      </c>
      <c r="CS191" s="134" t="str">
        <f>_xlfn.IFNA(MATCH(BS191,Achievements[[#All],[Column118]],0)+10,"")</f>
        <v/>
      </c>
      <c r="CT191" s="134" t="str">
        <f>_xlfn.IFNA(MATCH(BT191,Achievements[[#All],[Column118]],0)+10,"")</f>
        <v/>
      </c>
      <c r="CU191" s="134" t="str">
        <f>_xlfn.IFNA(MATCH(BU191,Achievements[[#All],[Column119]],0)+10,"")</f>
        <v/>
      </c>
      <c r="CV191" s="134" t="str">
        <f>_xlfn.IFNA(MATCH(BV191,Achievements[[#All],[Column119]],0)+10,"")</f>
        <v/>
      </c>
      <c r="CW191" s="134" t="str">
        <f>_xlfn.IFNA(MATCH(BW191,Achievements[[#All],[Column120]],0)+10,"")</f>
        <v/>
      </c>
      <c r="CX191" s="134" t="str">
        <f>_xlfn.IFNA(MATCH(BX191,Achievements[[#All],[Column120]],0)+10,"")</f>
        <v/>
      </c>
      <c r="CY191" s="134" t="str">
        <f>_xlfn.IFNA(MATCH(BY191,Achievements[[#All],[Column121]],0)+10,"")</f>
        <v/>
      </c>
      <c r="CZ191" s="118" t="e">
        <f t="shared" ca="1" si="5"/>
        <v>#NAME?</v>
      </c>
    </row>
    <row r="192" spans="1:104" x14ac:dyDescent="0.25">
      <c r="A192" t="e" cm="1">
        <f t="array" aca="1" ref="A192" ca="1">SplitValues("; ",#REF!)</f>
        <v>#NAME?</v>
      </c>
      <c r="AA192" t="e">
        <f ca="1">_xlfn.IFNA(MATCH(A192,Achievements[[#All],[Column1]],0)+11,"")</f>
        <v>#NAME?</v>
      </c>
      <c r="AB192" s="134" t="str">
        <f>_xlfn.IFNA(MATCH(B192,Achievements[[#All],[Column1]],0)+10,"")</f>
        <v/>
      </c>
      <c r="AC192" s="134" t="str">
        <f>_xlfn.IFNA(MATCH(C192,Achievements[[#All],[Column1]],0)+10,"")</f>
        <v/>
      </c>
      <c r="AD192" s="134" t="str">
        <f>_xlfn.IFNA(MATCH(D192,Achievements[[#All],[Column110]],0)+10,"")</f>
        <v/>
      </c>
      <c r="AE192" s="134" t="str">
        <f>_xlfn.IFNA(MATCH(E192,Achievements[[#All],[Column110]],0)+10,"")</f>
        <v/>
      </c>
      <c r="AF192" s="134" t="str">
        <f>_xlfn.IFNA(MATCH(F192,Achievements[[#All],[Column111]],0)+10,"")</f>
        <v/>
      </c>
      <c r="AG192" s="134" t="str">
        <f>_xlfn.IFNA(MATCH(G192,Achievements[[#All],[Column111]],0)+10,"")</f>
        <v/>
      </c>
      <c r="AH192" s="134" t="str">
        <f>_xlfn.IFNA(MATCH(H192,Achievements[[#All],[Column112]],0)+10,"")</f>
        <v/>
      </c>
      <c r="AI192" s="134" t="str">
        <f>_xlfn.IFNA(MATCH(I192,Achievements[[#All],[Column112]],0)+10,"")</f>
        <v/>
      </c>
      <c r="AJ192" s="134" t="str">
        <f>_xlfn.IFNA(MATCH(J192,Achievements[[#All],[Column113]],0)+10,"")</f>
        <v/>
      </c>
      <c r="AK192" s="134" t="str">
        <f>_xlfn.IFNA(MATCH(K192,Achievements[[#All],[Column113]],0)+10,"")</f>
        <v/>
      </c>
      <c r="AL192" s="134" t="str">
        <f>_xlfn.IFNA(MATCH(L192,Achievements[[#All],[Column114]],0)+10,"")</f>
        <v/>
      </c>
      <c r="AM192" s="134" t="str">
        <f>_xlfn.IFNA(MATCH(M192,Achievements[[#All],[Column114]],0)+10,"")</f>
        <v/>
      </c>
      <c r="AN192" s="134" t="str">
        <f>_xlfn.IFNA(MATCH(N192,Achievements[[#All],[Column115]],0)+10,"")</f>
        <v/>
      </c>
      <c r="AO192" s="134" t="str">
        <f>_xlfn.IFNA(MATCH(O192,Achievements[[#All],[Column115]],0)+10,"")</f>
        <v/>
      </c>
      <c r="AP192" s="134" t="str">
        <f>_xlfn.IFNA(MATCH(P192,Achievements[[#All],[Column116]],0)+10,"")</f>
        <v/>
      </c>
      <c r="AQ192" s="134" t="str">
        <f>_xlfn.IFNA(MATCH(Q192,Achievements[[#All],[Column116]],0)+10,"")</f>
        <v/>
      </c>
      <c r="AR192" s="134" t="str">
        <f>_xlfn.IFNA(MATCH(R192,Achievements[[#All],[Column117]],0)+10,"")</f>
        <v/>
      </c>
      <c r="AS192" s="134" t="str">
        <f>_xlfn.IFNA(MATCH(S192,Achievements[[#All],[Column117]],0)+10,"")</f>
        <v/>
      </c>
      <c r="AT192" s="134" t="str">
        <f>_xlfn.IFNA(MATCH(T192,Achievements[[#All],[Column118]],0)+10,"")</f>
        <v/>
      </c>
      <c r="AU192" s="134" t="str">
        <f>_xlfn.IFNA(MATCH(U192,Achievements[[#All],[Column118]],0)+10,"")</f>
        <v/>
      </c>
      <c r="AV192" s="134" t="str">
        <f>_xlfn.IFNA(MATCH(V192,Achievements[[#All],[Column119]],0)+10,"")</f>
        <v/>
      </c>
      <c r="AW192" s="134" t="str">
        <f>_xlfn.IFNA(MATCH(W192,Achievements[[#All],[Column119]],0)+10,"")</f>
        <v/>
      </c>
      <c r="AX192" s="134" t="str">
        <f>_xlfn.IFNA(MATCH(X192,Achievements[[#All],[Column120]],0)+10,"")</f>
        <v/>
      </c>
      <c r="AY192" s="134" t="str">
        <f>_xlfn.IFNA(MATCH(Y192,Achievements[[#All],[Column120]],0)+10,"")</f>
        <v/>
      </c>
      <c r="AZ192" s="116" t="e">
        <f t="shared" ca="1" si="4"/>
        <v>#NAME?</v>
      </c>
      <c r="BA192" s="134" t="e" cm="1">
        <f t="array" aca="1" ref="BA192" ca="1">SplitValues("; ",Persons[[#This Row],[Column1]])</f>
        <v>#NAME?</v>
      </c>
      <c r="CA192" s="134" t="e">
        <f ca="1">_xlfn.IFNA(MATCH(BA192,Achievements[[#All],[Column1]],0)+10,"")</f>
        <v>#NAME?</v>
      </c>
      <c r="CB192" s="134" t="str">
        <f>_xlfn.IFNA(MATCH(BB192,Achievements[[#All],[Column1]],0)+10,"")</f>
        <v/>
      </c>
      <c r="CC192" s="134" t="str">
        <f>_xlfn.IFNA(MATCH(BC192,Achievements[[#All],[Column110]],0)+10,"")</f>
        <v/>
      </c>
      <c r="CD192" s="134" t="str">
        <f>_xlfn.IFNA(MATCH(BD192,Achievements[[#All],[Column110]],0)+10,"")</f>
        <v/>
      </c>
      <c r="CE192" s="134" t="str">
        <f>_xlfn.IFNA(MATCH(BE192,Achievements[[#All],[Column111]],0)+10,"")</f>
        <v/>
      </c>
      <c r="CF192" s="134" t="str">
        <f>_xlfn.IFNA(MATCH(BF192,Achievements[[#All],[Column111]],0)+10,"")</f>
        <v/>
      </c>
      <c r="CG192" s="134" t="str">
        <f>_xlfn.IFNA(MATCH(BG192,Achievements[[#All],[Column112]],0)+10,"")</f>
        <v/>
      </c>
      <c r="CH192" s="134" t="str">
        <f>_xlfn.IFNA(MATCH(BH192,Achievements[[#All],[Column112]],0)+10,"")</f>
        <v/>
      </c>
      <c r="CI192" s="134" t="str">
        <f>_xlfn.IFNA(MATCH(BI192,Achievements[[#All],[Column113]],0)+10,"")</f>
        <v/>
      </c>
      <c r="CJ192" s="134" t="str">
        <f>_xlfn.IFNA(MATCH(BJ192,Achievements[[#All],[Column113]],0)+10,"")</f>
        <v/>
      </c>
      <c r="CK192" s="134" t="str">
        <f>_xlfn.IFNA(MATCH(BK192,Achievements[[#All],[Column114]],0)+10,"")</f>
        <v/>
      </c>
      <c r="CL192" s="134" t="str">
        <f>_xlfn.IFNA(MATCH(BL192,Achievements[[#All],[Column114]],0)+10,"")</f>
        <v/>
      </c>
      <c r="CM192" s="134" t="str">
        <f>_xlfn.IFNA(MATCH(BM192,Achievements[[#All],[Column115]],0)+10,"")</f>
        <v/>
      </c>
      <c r="CN192" s="134" t="str">
        <f>_xlfn.IFNA(MATCH(BN192,Achievements[[#All],[Column115]],0)+10,"")</f>
        <v/>
      </c>
      <c r="CO192" s="134" t="str">
        <f>_xlfn.IFNA(MATCH(BO192,Achievements[[#All],[Column116]],0)+10,"")</f>
        <v/>
      </c>
      <c r="CP192" s="134" t="str">
        <f>_xlfn.IFNA(MATCH(BP192,Achievements[[#All],[Column116]],0)+10,"")</f>
        <v/>
      </c>
      <c r="CQ192" s="134" t="str">
        <f>_xlfn.IFNA(MATCH(BQ192,Achievements[[#All],[Column117]],0)+10,"")</f>
        <v/>
      </c>
      <c r="CR192" s="134" t="str">
        <f>_xlfn.IFNA(MATCH(BR192,Achievements[[#All],[Column117]],0)+10,"")</f>
        <v/>
      </c>
      <c r="CS192" s="134" t="str">
        <f>_xlfn.IFNA(MATCH(BS192,Achievements[[#All],[Column118]],0)+10,"")</f>
        <v/>
      </c>
      <c r="CT192" s="134" t="str">
        <f>_xlfn.IFNA(MATCH(BT192,Achievements[[#All],[Column118]],0)+10,"")</f>
        <v/>
      </c>
      <c r="CU192" s="134" t="str">
        <f>_xlfn.IFNA(MATCH(BU192,Achievements[[#All],[Column119]],0)+10,"")</f>
        <v/>
      </c>
      <c r="CV192" s="134" t="str">
        <f>_xlfn.IFNA(MATCH(BV192,Achievements[[#All],[Column119]],0)+10,"")</f>
        <v/>
      </c>
      <c r="CW192" s="134" t="str">
        <f>_xlfn.IFNA(MATCH(BW192,Achievements[[#All],[Column120]],0)+10,"")</f>
        <v/>
      </c>
      <c r="CX192" s="134" t="str">
        <f>_xlfn.IFNA(MATCH(BX192,Achievements[[#All],[Column120]],0)+10,"")</f>
        <v/>
      </c>
      <c r="CY192" s="134" t="str">
        <f>_xlfn.IFNA(MATCH(BY192,Achievements[[#All],[Column121]],0)+10,"")</f>
        <v/>
      </c>
      <c r="CZ192" s="118" t="e">
        <f t="shared" ca="1" si="5"/>
        <v>#NAME?</v>
      </c>
    </row>
    <row r="193" spans="1:104" x14ac:dyDescent="0.25">
      <c r="A193" t="e" cm="1">
        <f t="array" aca="1" ref="A193" ca="1">SplitValues("; ",#REF!)</f>
        <v>#NAME?</v>
      </c>
      <c r="AA193" t="e">
        <f ca="1">_xlfn.IFNA(MATCH(A193,Achievements[[#All],[Column1]],0)+11,"")</f>
        <v>#NAME?</v>
      </c>
      <c r="AB193" s="134" t="str">
        <f>_xlfn.IFNA(MATCH(B193,Achievements[[#All],[Column1]],0)+10,"")</f>
        <v/>
      </c>
      <c r="AC193" s="134" t="str">
        <f>_xlfn.IFNA(MATCH(C193,Achievements[[#All],[Column1]],0)+10,"")</f>
        <v/>
      </c>
      <c r="AD193" s="134" t="str">
        <f>_xlfn.IFNA(MATCH(D193,Achievements[[#All],[Column110]],0)+10,"")</f>
        <v/>
      </c>
      <c r="AE193" s="134" t="str">
        <f>_xlfn.IFNA(MATCH(E193,Achievements[[#All],[Column110]],0)+10,"")</f>
        <v/>
      </c>
      <c r="AF193" s="134" t="str">
        <f>_xlfn.IFNA(MATCH(F193,Achievements[[#All],[Column111]],0)+10,"")</f>
        <v/>
      </c>
      <c r="AG193" s="134" t="str">
        <f>_xlfn.IFNA(MATCH(G193,Achievements[[#All],[Column111]],0)+10,"")</f>
        <v/>
      </c>
      <c r="AH193" s="134" t="str">
        <f>_xlfn.IFNA(MATCH(H193,Achievements[[#All],[Column112]],0)+10,"")</f>
        <v/>
      </c>
      <c r="AI193" s="134" t="str">
        <f>_xlfn.IFNA(MATCH(I193,Achievements[[#All],[Column112]],0)+10,"")</f>
        <v/>
      </c>
      <c r="AJ193" s="134" t="str">
        <f>_xlfn.IFNA(MATCH(J193,Achievements[[#All],[Column113]],0)+10,"")</f>
        <v/>
      </c>
      <c r="AK193" s="134" t="str">
        <f>_xlfn.IFNA(MATCH(K193,Achievements[[#All],[Column113]],0)+10,"")</f>
        <v/>
      </c>
      <c r="AL193" s="134" t="str">
        <f>_xlfn.IFNA(MATCH(L193,Achievements[[#All],[Column114]],0)+10,"")</f>
        <v/>
      </c>
      <c r="AM193" s="134" t="str">
        <f>_xlfn.IFNA(MATCH(M193,Achievements[[#All],[Column114]],0)+10,"")</f>
        <v/>
      </c>
      <c r="AN193" s="134" t="str">
        <f>_xlfn.IFNA(MATCH(N193,Achievements[[#All],[Column115]],0)+10,"")</f>
        <v/>
      </c>
      <c r="AO193" s="134" t="str">
        <f>_xlfn.IFNA(MATCH(O193,Achievements[[#All],[Column115]],0)+10,"")</f>
        <v/>
      </c>
      <c r="AP193" s="134" t="str">
        <f>_xlfn.IFNA(MATCH(P193,Achievements[[#All],[Column116]],0)+10,"")</f>
        <v/>
      </c>
      <c r="AQ193" s="134" t="str">
        <f>_xlfn.IFNA(MATCH(Q193,Achievements[[#All],[Column116]],0)+10,"")</f>
        <v/>
      </c>
      <c r="AR193" s="134" t="str">
        <f>_xlfn.IFNA(MATCH(R193,Achievements[[#All],[Column117]],0)+10,"")</f>
        <v/>
      </c>
      <c r="AS193" s="134" t="str">
        <f>_xlfn.IFNA(MATCH(S193,Achievements[[#All],[Column117]],0)+10,"")</f>
        <v/>
      </c>
      <c r="AT193" s="134" t="str">
        <f>_xlfn.IFNA(MATCH(T193,Achievements[[#All],[Column118]],0)+10,"")</f>
        <v/>
      </c>
      <c r="AU193" s="134" t="str">
        <f>_xlfn.IFNA(MATCH(U193,Achievements[[#All],[Column118]],0)+10,"")</f>
        <v/>
      </c>
      <c r="AV193" s="134" t="str">
        <f>_xlfn.IFNA(MATCH(V193,Achievements[[#All],[Column119]],0)+10,"")</f>
        <v/>
      </c>
      <c r="AW193" s="134" t="str">
        <f>_xlfn.IFNA(MATCH(W193,Achievements[[#All],[Column119]],0)+10,"")</f>
        <v/>
      </c>
      <c r="AX193" s="134" t="str">
        <f>_xlfn.IFNA(MATCH(X193,Achievements[[#All],[Column120]],0)+10,"")</f>
        <v/>
      </c>
      <c r="AY193" s="134" t="str">
        <f>_xlfn.IFNA(MATCH(Y193,Achievements[[#All],[Column120]],0)+10,"")</f>
        <v/>
      </c>
      <c r="AZ193" s="116" t="e">
        <f t="shared" ca="1" si="4"/>
        <v>#NAME?</v>
      </c>
      <c r="BA193" s="134" t="e" cm="1">
        <f t="array" aca="1" ref="BA193" ca="1">SplitValues("; ",Persons[[#This Row],[Column1]])</f>
        <v>#NAME?</v>
      </c>
      <c r="CA193" s="134" t="e">
        <f ca="1">_xlfn.IFNA(MATCH(BA193,Achievements[[#All],[Column1]],0)+10,"")</f>
        <v>#NAME?</v>
      </c>
      <c r="CB193" s="134" t="str">
        <f>_xlfn.IFNA(MATCH(BB193,Achievements[[#All],[Column1]],0)+10,"")</f>
        <v/>
      </c>
      <c r="CC193" s="134" t="str">
        <f>_xlfn.IFNA(MATCH(BC193,Achievements[[#All],[Column110]],0)+10,"")</f>
        <v/>
      </c>
      <c r="CD193" s="134" t="str">
        <f>_xlfn.IFNA(MATCH(BD193,Achievements[[#All],[Column110]],0)+10,"")</f>
        <v/>
      </c>
      <c r="CE193" s="134" t="str">
        <f>_xlfn.IFNA(MATCH(BE193,Achievements[[#All],[Column111]],0)+10,"")</f>
        <v/>
      </c>
      <c r="CF193" s="134" t="str">
        <f>_xlfn.IFNA(MATCH(BF193,Achievements[[#All],[Column111]],0)+10,"")</f>
        <v/>
      </c>
      <c r="CG193" s="134" t="str">
        <f>_xlfn.IFNA(MATCH(BG193,Achievements[[#All],[Column112]],0)+10,"")</f>
        <v/>
      </c>
      <c r="CH193" s="134" t="str">
        <f>_xlfn.IFNA(MATCH(BH193,Achievements[[#All],[Column112]],0)+10,"")</f>
        <v/>
      </c>
      <c r="CI193" s="134" t="str">
        <f>_xlfn.IFNA(MATCH(BI193,Achievements[[#All],[Column113]],0)+10,"")</f>
        <v/>
      </c>
      <c r="CJ193" s="134" t="str">
        <f>_xlfn.IFNA(MATCH(BJ193,Achievements[[#All],[Column113]],0)+10,"")</f>
        <v/>
      </c>
      <c r="CK193" s="134" t="str">
        <f>_xlfn.IFNA(MATCH(BK193,Achievements[[#All],[Column114]],0)+10,"")</f>
        <v/>
      </c>
      <c r="CL193" s="134" t="str">
        <f>_xlfn.IFNA(MATCH(BL193,Achievements[[#All],[Column114]],0)+10,"")</f>
        <v/>
      </c>
      <c r="CM193" s="134" t="str">
        <f>_xlfn.IFNA(MATCH(BM193,Achievements[[#All],[Column115]],0)+10,"")</f>
        <v/>
      </c>
      <c r="CN193" s="134" t="str">
        <f>_xlfn.IFNA(MATCH(BN193,Achievements[[#All],[Column115]],0)+10,"")</f>
        <v/>
      </c>
      <c r="CO193" s="134" t="str">
        <f>_xlfn.IFNA(MATCH(BO193,Achievements[[#All],[Column116]],0)+10,"")</f>
        <v/>
      </c>
      <c r="CP193" s="134" t="str">
        <f>_xlfn.IFNA(MATCH(BP193,Achievements[[#All],[Column116]],0)+10,"")</f>
        <v/>
      </c>
      <c r="CQ193" s="134" t="str">
        <f>_xlfn.IFNA(MATCH(BQ193,Achievements[[#All],[Column117]],0)+10,"")</f>
        <v/>
      </c>
      <c r="CR193" s="134" t="str">
        <f>_xlfn.IFNA(MATCH(BR193,Achievements[[#All],[Column117]],0)+10,"")</f>
        <v/>
      </c>
      <c r="CS193" s="134" t="str">
        <f>_xlfn.IFNA(MATCH(BS193,Achievements[[#All],[Column118]],0)+10,"")</f>
        <v/>
      </c>
      <c r="CT193" s="134" t="str">
        <f>_xlfn.IFNA(MATCH(BT193,Achievements[[#All],[Column118]],0)+10,"")</f>
        <v/>
      </c>
      <c r="CU193" s="134" t="str">
        <f>_xlfn.IFNA(MATCH(BU193,Achievements[[#All],[Column119]],0)+10,"")</f>
        <v/>
      </c>
      <c r="CV193" s="134" t="str">
        <f>_xlfn.IFNA(MATCH(BV193,Achievements[[#All],[Column119]],0)+10,"")</f>
        <v/>
      </c>
      <c r="CW193" s="134" t="str">
        <f>_xlfn.IFNA(MATCH(BW193,Achievements[[#All],[Column120]],0)+10,"")</f>
        <v/>
      </c>
      <c r="CX193" s="134" t="str">
        <f>_xlfn.IFNA(MATCH(BX193,Achievements[[#All],[Column120]],0)+10,"")</f>
        <v/>
      </c>
      <c r="CY193" s="134" t="str">
        <f>_xlfn.IFNA(MATCH(BY193,Achievements[[#All],[Column121]],0)+10,"")</f>
        <v/>
      </c>
      <c r="CZ193" s="118" t="e">
        <f t="shared" ca="1" si="5"/>
        <v>#NAME?</v>
      </c>
    </row>
    <row r="194" spans="1:104" x14ac:dyDescent="0.25">
      <c r="A194" t="e" cm="1">
        <f t="array" aca="1" ref="A194" ca="1">SplitValues("; ",#REF!)</f>
        <v>#NAME?</v>
      </c>
      <c r="AA194" t="e">
        <f ca="1">_xlfn.IFNA(MATCH(A194,Achievements[[#All],[Column1]],0)+11,"")</f>
        <v>#NAME?</v>
      </c>
      <c r="AB194" s="134" t="str">
        <f>_xlfn.IFNA(MATCH(B194,Achievements[[#All],[Column1]],0)+10,"")</f>
        <v/>
      </c>
      <c r="AC194" s="134" t="str">
        <f>_xlfn.IFNA(MATCH(C194,Achievements[[#All],[Column1]],0)+10,"")</f>
        <v/>
      </c>
      <c r="AD194" s="134" t="str">
        <f>_xlfn.IFNA(MATCH(D194,Achievements[[#All],[Column110]],0)+10,"")</f>
        <v/>
      </c>
      <c r="AE194" s="134" t="str">
        <f>_xlfn.IFNA(MATCH(E194,Achievements[[#All],[Column110]],0)+10,"")</f>
        <v/>
      </c>
      <c r="AF194" s="134" t="str">
        <f>_xlfn.IFNA(MATCH(F194,Achievements[[#All],[Column111]],0)+10,"")</f>
        <v/>
      </c>
      <c r="AG194" s="134" t="str">
        <f>_xlfn.IFNA(MATCH(G194,Achievements[[#All],[Column111]],0)+10,"")</f>
        <v/>
      </c>
      <c r="AH194" s="134" t="str">
        <f>_xlfn.IFNA(MATCH(H194,Achievements[[#All],[Column112]],0)+10,"")</f>
        <v/>
      </c>
      <c r="AI194" s="134" t="str">
        <f>_xlfn.IFNA(MATCH(I194,Achievements[[#All],[Column112]],0)+10,"")</f>
        <v/>
      </c>
      <c r="AJ194" s="134" t="str">
        <f>_xlfn.IFNA(MATCH(J194,Achievements[[#All],[Column113]],0)+10,"")</f>
        <v/>
      </c>
      <c r="AK194" s="134" t="str">
        <f>_xlfn.IFNA(MATCH(K194,Achievements[[#All],[Column113]],0)+10,"")</f>
        <v/>
      </c>
      <c r="AL194" s="134" t="str">
        <f>_xlfn.IFNA(MATCH(L194,Achievements[[#All],[Column114]],0)+10,"")</f>
        <v/>
      </c>
      <c r="AM194" s="134" t="str">
        <f>_xlfn.IFNA(MATCH(M194,Achievements[[#All],[Column114]],0)+10,"")</f>
        <v/>
      </c>
      <c r="AN194" s="134" t="str">
        <f>_xlfn.IFNA(MATCH(N194,Achievements[[#All],[Column115]],0)+10,"")</f>
        <v/>
      </c>
      <c r="AO194" s="134" t="str">
        <f>_xlfn.IFNA(MATCH(O194,Achievements[[#All],[Column115]],0)+10,"")</f>
        <v/>
      </c>
      <c r="AP194" s="134" t="str">
        <f>_xlfn.IFNA(MATCH(P194,Achievements[[#All],[Column116]],0)+10,"")</f>
        <v/>
      </c>
      <c r="AQ194" s="134" t="str">
        <f>_xlfn.IFNA(MATCH(Q194,Achievements[[#All],[Column116]],0)+10,"")</f>
        <v/>
      </c>
      <c r="AR194" s="134" t="str">
        <f>_xlfn.IFNA(MATCH(R194,Achievements[[#All],[Column117]],0)+10,"")</f>
        <v/>
      </c>
      <c r="AS194" s="134" t="str">
        <f>_xlfn.IFNA(MATCH(S194,Achievements[[#All],[Column117]],0)+10,"")</f>
        <v/>
      </c>
      <c r="AT194" s="134" t="str">
        <f>_xlfn.IFNA(MATCH(T194,Achievements[[#All],[Column118]],0)+10,"")</f>
        <v/>
      </c>
      <c r="AU194" s="134" t="str">
        <f>_xlfn.IFNA(MATCH(U194,Achievements[[#All],[Column118]],0)+10,"")</f>
        <v/>
      </c>
      <c r="AV194" s="134" t="str">
        <f>_xlfn.IFNA(MATCH(V194,Achievements[[#All],[Column119]],0)+10,"")</f>
        <v/>
      </c>
      <c r="AW194" s="134" t="str">
        <f>_xlfn.IFNA(MATCH(W194,Achievements[[#All],[Column119]],0)+10,"")</f>
        <v/>
      </c>
      <c r="AX194" s="134" t="str">
        <f>_xlfn.IFNA(MATCH(X194,Achievements[[#All],[Column120]],0)+10,"")</f>
        <v/>
      </c>
      <c r="AY194" s="134" t="str">
        <f>_xlfn.IFNA(MATCH(Y194,Achievements[[#All],[Column120]],0)+10,"")</f>
        <v/>
      </c>
      <c r="AZ194" s="116" t="e">
        <f t="shared" ca="1" si="4"/>
        <v>#NAME?</v>
      </c>
      <c r="BA194" s="134" t="e" cm="1">
        <f t="array" aca="1" ref="BA194" ca="1">SplitValues("; ",Persons[[#This Row],[Column1]])</f>
        <v>#NAME?</v>
      </c>
      <c r="CA194" s="134" t="e">
        <f ca="1">_xlfn.IFNA(MATCH(BA194,Achievements[[#All],[Column1]],0)+10,"")</f>
        <v>#NAME?</v>
      </c>
      <c r="CB194" s="134" t="str">
        <f>_xlfn.IFNA(MATCH(BB194,Achievements[[#All],[Column1]],0)+10,"")</f>
        <v/>
      </c>
      <c r="CC194" s="134" t="str">
        <f>_xlfn.IFNA(MATCH(BC194,Achievements[[#All],[Column110]],0)+10,"")</f>
        <v/>
      </c>
      <c r="CD194" s="134" t="str">
        <f>_xlfn.IFNA(MATCH(BD194,Achievements[[#All],[Column110]],0)+10,"")</f>
        <v/>
      </c>
      <c r="CE194" s="134" t="str">
        <f>_xlfn.IFNA(MATCH(BE194,Achievements[[#All],[Column111]],0)+10,"")</f>
        <v/>
      </c>
      <c r="CF194" s="134" t="str">
        <f>_xlfn.IFNA(MATCH(BF194,Achievements[[#All],[Column111]],0)+10,"")</f>
        <v/>
      </c>
      <c r="CG194" s="134" t="str">
        <f>_xlfn.IFNA(MATCH(BG194,Achievements[[#All],[Column112]],0)+10,"")</f>
        <v/>
      </c>
      <c r="CH194" s="134" t="str">
        <f>_xlfn.IFNA(MATCH(BH194,Achievements[[#All],[Column112]],0)+10,"")</f>
        <v/>
      </c>
      <c r="CI194" s="134" t="str">
        <f>_xlfn.IFNA(MATCH(BI194,Achievements[[#All],[Column113]],0)+10,"")</f>
        <v/>
      </c>
      <c r="CJ194" s="134" t="str">
        <f>_xlfn.IFNA(MATCH(BJ194,Achievements[[#All],[Column113]],0)+10,"")</f>
        <v/>
      </c>
      <c r="CK194" s="134" t="str">
        <f>_xlfn.IFNA(MATCH(BK194,Achievements[[#All],[Column114]],0)+10,"")</f>
        <v/>
      </c>
      <c r="CL194" s="134" t="str">
        <f>_xlfn.IFNA(MATCH(BL194,Achievements[[#All],[Column114]],0)+10,"")</f>
        <v/>
      </c>
      <c r="CM194" s="134" t="str">
        <f>_xlfn.IFNA(MATCH(BM194,Achievements[[#All],[Column115]],0)+10,"")</f>
        <v/>
      </c>
      <c r="CN194" s="134" t="str">
        <f>_xlfn.IFNA(MATCH(BN194,Achievements[[#All],[Column115]],0)+10,"")</f>
        <v/>
      </c>
      <c r="CO194" s="134" t="str">
        <f>_xlfn.IFNA(MATCH(BO194,Achievements[[#All],[Column116]],0)+10,"")</f>
        <v/>
      </c>
      <c r="CP194" s="134" t="str">
        <f>_xlfn.IFNA(MATCH(BP194,Achievements[[#All],[Column116]],0)+10,"")</f>
        <v/>
      </c>
      <c r="CQ194" s="134" t="str">
        <f>_xlfn.IFNA(MATCH(BQ194,Achievements[[#All],[Column117]],0)+10,"")</f>
        <v/>
      </c>
      <c r="CR194" s="134" t="str">
        <f>_xlfn.IFNA(MATCH(BR194,Achievements[[#All],[Column117]],0)+10,"")</f>
        <v/>
      </c>
      <c r="CS194" s="134" t="str">
        <f>_xlfn.IFNA(MATCH(BS194,Achievements[[#All],[Column118]],0)+10,"")</f>
        <v/>
      </c>
      <c r="CT194" s="134" t="str">
        <f>_xlfn.IFNA(MATCH(BT194,Achievements[[#All],[Column118]],0)+10,"")</f>
        <v/>
      </c>
      <c r="CU194" s="134" t="str">
        <f>_xlfn.IFNA(MATCH(BU194,Achievements[[#All],[Column119]],0)+10,"")</f>
        <v/>
      </c>
      <c r="CV194" s="134" t="str">
        <f>_xlfn.IFNA(MATCH(BV194,Achievements[[#All],[Column119]],0)+10,"")</f>
        <v/>
      </c>
      <c r="CW194" s="134" t="str">
        <f>_xlfn.IFNA(MATCH(BW194,Achievements[[#All],[Column120]],0)+10,"")</f>
        <v/>
      </c>
      <c r="CX194" s="134" t="str">
        <f>_xlfn.IFNA(MATCH(BX194,Achievements[[#All],[Column120]],0)+10,"")</f>
        <v/>
      </c>
      <c r="CY194" s="134" t="str">
        <f>_xlfn.IFNA(MATCH(BY194,Achievements[[#All],[Column121]],0)+10,"")</f>
        <v/>
      </c>
      <c r="CZ194" s="118" t="e">
        <f t="shared" ca="1" si="5"/>
        <v>#NAME?</v>
      </c>
    </row>
    <row r="195" spans="1:104" x14ac:dyDescent="0.25">
      <c r="A195" t="e" cm="1">
        <f t="array" aca="1" ref="A195" ca="1">SplitValues("; ",#REF!)</f>
        <v>#NAME?</v>
      </c>
      <c r="AA195" t="e">
        <f ca="1">_xlfn.IFNA(MATCH(A195,Achievements[[#All],[Column1]],0)+11,"")</f>
        <v>#NAME?</v>
      </c>
      <c r="AB195" s="134" t="str">
        <f>_xlfn.IFNA(MATCH(B195,Achievements[[#All],[Column1]],0)+10,"")</f>
        <v/>
      </c>
      <c r="AC195" s="134" t="str">
        <f>_xlfn.IFNA(MATCH(C195,Achievements[[#All],[Column1]],0)+10,"")</f>
        <v/>
      </c>
      <c r="AD195" s="134" t="str">
        <f>_xlfn.IFNA(MATCH(D195,Achievements[[#All],[Column110]],0)+10,"")</f>
        <v/>
      </c>
      <c r="AE195" s="134" t="str">
        <f>_xlfn.IFNA(MATCH(E195,Achievements[[#All],[Column110]],0)+10,"")</f>
        <v/>
      </c>
      <c r="AF195" s="134" t="str">
        <f>_xlfn.IFNA(MATCH(F195,Achievements[[#All],[Column111]],0)+10,"")</f>
        <v/>
      </c>
      <c r="AG195" s="134" t="str">
        <f>_xlfn.IFNA(MATCH(G195,Achievements[[#All],[Column111]],0)+10,"")</f>
        <v/>
      </c>
      <c r="AH195" s="134" t="str">
        <f>_xlfn.IFNA(MATCH(H195,Achievements[[#All],[Column112]],0)+10,"")</f>
        <v/>
      </c>
      <c r="AI195" s="134" t="str">
        <f>_xlfn.IFNA(MATCH(I195,Achievements[[#All],[Column112]],0)+10,"")</f>
        <v/>
      </c>
      <c r="AJ195" s="134" t="str">
        <f>_xlfn.IFNA(MATCH(J195,Achievements[[#All],[Column113]],0)+10,"")</f>
        <v/>
      </c>
      <c r="AK195" s="134" t="str">
        <f>_xlfn.IFNA(MATCH(K195,Achievements[[#All],[Column113]],0)+10,"")</f>
        <v/>
      </c>
      <c r="AL195" s="134" t="str">
        <f>_xlfn.IFNA(MATCH(L195,Achievements[[#All],[Column114]],0)+10,"")</f>
        <v/>
      </c>
      <c r="AM195" s="134" t="str">
        <f>_xlfn.IFNA(MATCH(M195,Achievements[[#All],[Column114]],0)+10,"")</f>
        <v/>
      </c>
      <c r="AN195" s="134" t="str">
        <f>_xlfn.IFNA(MATCH(N195,Achievements[[#All],[Column115]],0)+10,"")</f>
        <v/>
      </c>
      <c r="AO195" s="134" t="str">
        <f>_xlfn.IFNA(MATCH(O195,Achievements[[#All],[Column115]],0)+10,"")</f>
        <v/>
      </c>
      <c r="AP195" s="134" t="str">
        <f>_xlfn.IFNA(MATCH(P195,Achievements[[#All],[Column116]],0)+10,"")</f>
        <v/>
      </c>
      <c r="AQ195" s="134" t="str">
        <f>_xlfn.IFNA(MATCH(Q195,Achievements[[#All],[Column116]],0)+10,"")</f>
        <v/>
      </c>
      <c r="AR195" s="134" t="str">
        <f>_xlfn.IFNA(MATCH(R195,Achievements[[#All],[Column117]],0)+10,"")</f>
        <v/>
      </c>
      <c r="AS195" s="134" t="str">
        <f>_xlfn.IFNA(MATCH(S195,Achievements[[#All],[Column117]],0)+10,"")</f>
        <v/>
      </c>
      <c r="AT195" s="134" t="str">
        <f>_xlfn.IFNA(MATCH(T195,Achievements[[#All],[Column118]],0)+10,"")</f>
        <v/>
      </c>
      <c r="AU195" s="134" t="str">
        <f>_xlfn.IFNA(MATCH(U195,Achievements[[#All],[Column118]],0)+10,"")</f>
        <v/>
      </c>
      <c r="AV195" s="134" t="str">
        <f>_xlfn.IFNA(MATCH(V195,Achievements[[#All],[Column119]],0)+10,"")</f>
        <v/>
      </c>
      <c r="AW195" s="134" t="str">
        <f>_xlfn.IFNA(MATCH(W195,Achievements[[#All],[Column119]],0)+10,"")</f>
        <v/>
      </c>
      <c r="AX195" s="134" t="str">
        <f>_xlfn.IFNA(MATCH(X195,Achievements[[#All],[Column120]],0)+10,"")</f>
        <v/>
      </c>
      <c r="AY195" s="134" t="str">
        <f>_xlfn.IFNA(MATCH(Y195,Achievements[[#All],[Column120]],0)+10,"")</f>
        <v/>
      </c>
      <c r="AZ195" s="116" t="e">
        <f t="shared" ca="1" si="4"/>
        <v>#NAME?</v>
      </c>
      <c r="BA195" s="134" t="e" cm="1">
        <f t="array" aca="1" ref="BA195" ca="1">SplitValues("; ",Persons[[#This Row],[Column1]])</f>
        <v>#NAME?</v>
      </c>
      <c r="CA195" s="134" t="e">
        <f ca="1">_xlfn.IFNA(MATCH(BA195,Achievements[[#All],[Column1]],0)+10,"")</f>
        <v>#NAME?</v>
      </c>
      <c r="CB195" s="134" t="str">
        <f>_xlfn.IFNA(MATCH(BB195,Achievements[[#All],[Column1]],0)+10,"")</f>
        <v/>
      </c>
      <c r="CC195" s="134" t="str">
        <f>_xlfn.IFNA(MATCH(BC195,Achievements[[#All],[Column110]],0)+10,"")</f>
        <v/>
      </c>
      <c r="CD195" s="134" t="str">
        <f>_xlfn.IFNA(MATCH(BD195,Achievements[[#All],[Column110]],0)+10,"")</f>
        <v/>
      </c>
      <c r="CE195" s="134" t="str">
        <f>_xlfn.IFNA(MATCH(BE195,Achievements[[#All],[Column111]],0)+10,"")</f>
        <v/>
      </c>
      <c r="CF195" s="134" t="str">
        <f>_xlfn.IFNA(MATCH(BF195,Achievements[[#All],[Column111]],0)+10,"")</f>
        <v/>
      </c>
      <c r="CG195" s="134" t="str">
        <f>_xlfn.IFNA(MATCH(BG195,Achievements[[#All],[Column112]],0)+10,"")</f>
        <v/>
      </c>
      <c r="CH195" s="134" t="str">
        <f>_xlfn.IFNA(MATCH(BH195,Achievements[[#All],[Column112]],0)+10,"")</f>
        <v/>
      </c>
      <c r="CI195" s="134" t="str">
        <f>_xlfn.IFNA(MATCH(BI195,Achievements[[#All],[Column113]],0)+10,"")</f>
        <v/>
      </c>
      <c r="CJ195" s="134" t="str">
        <f>_xlfn.IFNA(MATCH(BJ195,Achievements[[#All],[Column113]],0)+10,"")</f>
        <v/>
      </c>
      <c r="CK195" s="134" t="str">
        <f>_xlfn.IFNA(MATCH(BK195,Achievements[[#All],[Column114]],0)+10,"")</f>
        <v/>
      </c>
      <c r="CL195" s="134" t="str">
        <f>_xlfn.IFNA(MATCH(BL195,Achievements[[#All],[Column114]],0)+10,"")</f>
        <v/>
      </c>
      <c r="CM195" s="134" t="str">
        <f>_xlfn.IFNA(MATCH(BM195,Achievements[[#All],[Column115]],0)+10,"")</f>
        <v/>
      </c>
      <c r="CN195" s="134" t="str">
        <f>_xlfn.IFNA(MATCH(BN195,Achievements[[#All],[Column115]],0)+10,"")</f>
        <v/>
      </c>
      <c r="CO195" s="134" t="str">
        <f>_xlfn.IFNA(MATCH(BO195,Achievements[[#All],[Column116]],0)+10,"")</f>
        <v/>
      </c>
      <c r="CP195" s="134" t="str">
        <f>_xlfn.IFNA(MATCH(BP195,Achievements[[#All],[Column116]],0)+10,"")</f>
        <v/>
      </c>
      <c r="CQ195" s="134" t="str">
        <f>_xlfn.IFNA(MATCH(BQ195,Achievements[[#All],[Column117]],0)+10,"")</f>
        <v/>
      </c>
      <c r="CR195" s="134" t="str">
        <f>_xlfn.IFNA(MATCH(BR195,Achievements[[#All],[Column117]],0)+10,"")</f>
        <v/>
      </c>
      <c r="CS195" s="134" t="str">
        <f>_xlfn.IFNA(MATCH(BS195,Achievements[[#All],[Column118]],0)+10,"")</f>
        <v/>
      </c>
      <c r="CT195" s="134" t="str">
        <f>_xlfn.IFNA(MATCH(BT195,Achievements[[#All],[Column118]],0)+10,"")</f>
        <v/>
      </c>
      <c r="CU195" s="134" t="str">
        <f>_xlfn.IFNA(MATCH(BU195,Achievements[[#All],[Column119]],0)+10,"")</f>
        <v/>
      </c>
      <c r="CV195" s="134" t="str">
        <f>_xlfn.IFNA(MATCH(BV195,Achievements[[#All],[Column119]],0)+10,"")</f>
        <v/>
      </c>
      <c r="CW195" s="134" t="str">
        <f>_xlfn.IFNA(MATCH(BW195,Achievements[[#All],[Column120]],0)+10,"")</f>
        <v/>
      </c>
      <c r="CX195" s="134" t="str">
        <f>_xlfn.IFNA(MATCH(BX195,Achievements[[#All],[Column120]],0)+10,"")</f>
        <v/>
      </c>
      <c r="CY195" s="134" t="str">
        <f>_xlfn.IFNA(MATCH(BY195,Achievements[[#All],[Column121]],0)+10,"")</f>
        <v/>
      </c>
      <c r="CZ195" s="118" t="e">
        <f t="shared" ca="1" si="5"/>
        <v>#NAME?</v>
      </c>
    </row>
    <row r="196" spans="1:104" x14ac:dyDescent="0.25">
      <c r="A196" t="e" cm="1">
        <f t="array" aca="1" ref="A196" ca="1">SplitValues("; ",#REF!)</f>
        <v>#NAME?</v>
      </c>
      <c r="AA196" t="e">
        <f ca="1">_xlfn.IFNA(MATCH(A196,Achievements[[#All],[Column1]],0)+11,"")</f>
        <v>#NAME?</v>
      </c>
      <c r="AB196" s="134" t="str">
        <f>_xlfn.IFNA(MATCH(B196,Achievements[[#All],[Column1]],0)+10,"")</f>
        <v/>
      </c>
      <c r="AC196" s="134" t="str">
        <f>_xlfn.IFNA(MATCH(C196,Achievements[[#All],[Column1]],0)+10,"")</f>
        <v/>
      </c>
      <c r="AD196" s="134" t="str">
        <f>_xlfn.IFNA(MATCH(D196,Achievements[[#All],[Column110]],0)+10,"")</f>
        <v/>
      </c>
      <c r="AE196" s="134" t="str">
        <f>_xlfn.IFNA(MATCH(E196,Achievements[[#All],[Column110]],0)+10,"")</f>
        <v/>
      </c>
      <c r="AF196" s="134" t="str">
        <f>_xlfn.IFNA(MATCH(F196,Achievements[[#All],[Column111]],0)+10,"")</f>
        <v/>
      </c>
      <c r="AG196" s="134" t="str">
        <f>_xlfn.IFNA(MATCH(G196,Achievements[[#All],[Column111]],0)+10,"")</f>
        <v/>
      </c>
      <c r="AH196" s="134" t="str">
        <f>_xlfn.IFNA(MATCH(H196,Achievements[[#All],[Column112]],0)+10,"")</f>
        <v/>
      </c>
      <c r="AI196" s="134" t="str">
        <f>_xlfn.IFNA(MATCH(I196,Achievements[[#All],[Column112]],0)+10,"")</f>
        <v/>
      </c>
      <c r="AJ196" s="134" t="str">
        <f>_xlfn.IFNA(MATCH(J196,Achievements[[#All],[Column113]],0)+10,"")</f>
        <v/>
      </c>
      <c r="AK196" s="134" t="str">
        <f>_xlfn.IFNA(MATCH(K196,Achievements[[#All],[Column113]],0)+10,"")</f>
        <v/>
      </c>
      <c r="AL196" s="134" t="str">
        <f>_xlfn.IFNA(MATCH(L196,Achievements[[#All],[Column114]],0)+10,"")</f>
        <v/>
      </c>
      <c r="AM196" s="134" t="str">
        <f>_xlfn.IFNA(MATCH(M196,Achievements[[#All],[Column114]],0)+10,"")</f>
        <v/>
      </c>
      <c r="AN196" s="134" t="str">
        <f>_xlfn.IFNA(MATCH(N196,Achievements[[#All],[Column115]],0)+10,"")</f>
        <v/>
      </c>
      <c r="AO196" s="134" t="str">
        <f>_xlfn.IFNA(MATCH(O196,Achievements[[#All],[Column115]],0)+10,"")</f>
        <v/>
      </c>
      <c r="AP196" s="134" t="str">
        <f>_xlfn.IFNA(MATCH(P196,Achievements[[#All],[Column116]],0)+10,"")</f>
        <v/>
      </c>
      <c r="AQ196" s="134" t="str">
        <f>_xlfn.IFNA(MATCH(Q196,Achievements[[#All],[Column116]],0)+10,"")</f>
        <v/>
      </c>
      <c r="AR196" s="134" t="str">
        <f>_xlfn.IFNA(MATCH(R196,Achievements[[#All],[Column117]],0)+10,"")</f>
        <v/>
      </c>
      <c r="AS196" s="134" t="str">
        <f>_xlfn.IFNA(MATCH(S196,Achievements[[#All],[Column117]],0)+10,"")</f>
        <v/>
      </c>
      <c r="AT196" s="134" t="str">
        <f>_xlfn.IFNA(MATCH(T196,Achievements[[#All],[Column118]],0)+10,"")</f>
        <v/>
      </c>
      <c r="AU196" s="134" t="str">
        <f>_xlfn.IFNA(MATCH(U196,Achievements[[#All],[Column118]],0)+10,"")</f>
        <v/>
      </c>
      <c r="AV196" s="134" t="str">
        <f>_xlfn.IFNA(MATCH(V196,Achievements[[#All],[Column119]],0)+10,"")</f>
        <v/>
      </c>
      <c r="AW196" s="134" t="str">
        <f>_xlfn.IFNA(MATCH(W196,Achievements[[#All],[Column119]],0)+10,"")</f>
        <v/>
      </c>
      <c r="AX196" s="134" t="str">
        <f>_xlfn.IFNA(MATCH(X196,Achievements[[#All],[Column120]],0)+10,"")</f>
        <v/>
      </c>
      <c r="AY196" s="134" t="str">
        <f>_xlfn.IFNA(MATCH(Y196,Achievements[[#All],[Column120]],0)+10,"")</f>
        <v/>
      </c>
      <c r="AZ196" s="116" t="e">
        <f t="shared" ca="1" si="4"/>
        <v>#NAME?</v>
      </c>
      <c r="BA196" s="134" t="e" cm="1">
        <f t="array" aca="1" ref="BA196" ca="1">SplitValues("; ",Persons[[#This Row],[Column1]])</f>
        <v>#NAME?</v>
      </c>
      <c r="CA196" s="134" t="e">
        <f ca="1">_xlfn.IFNA(MATCH(BA196,Achievements[[#All],[Column1]],0)+10,"")</f>
        <v>#NAME?</v>
      </c>
      <c r="CB196" s="134" t="str">
        <f>_xlfn.IFNA(MATCH(BB196,Achievements[[#All],[Column1]],0)+10,"")</f>
        <v/>
      </c>
      <c r="CC196" s="134" t="str">
        <f>_xlfn.IFNA(MATCH(BC196,Achievements[[#All],[Column110]],0)+10,"")</f>
        <v/>
      </c>
      <c r="CD196" s="134" t="str">
        <f>_xlfn.IFNA(MATCH(BD196,Achievements[[#All],[Column110]],0)+10,"")</f>
        <v/>
      </c>
      <c r="CE196" s="134" t="str">
        <f>_xlfn.IFNA(MATCH(BE196,Achievements[[#All],[Column111]],0)+10,"")</f>
        <v/>
      </c>
      <c r="CF196" s="134" t="str">
        <f>_xlfn.IFNA(MATCH(BF196,Achievements[[#All],[Column111]],0)+10,"")</f>
        <v/>
      </c>
      <c r="CG196" s="134" t="str">
        <f>_xlfn.IFNA(MATCH(BG196,Achievements[[#All],[Column112]],0)+10,"")</f>
        <v/>
      </c>
      <c r="CH196" s="134" t="str">
        <f>_xlfn.IFNA(MATCH(BH196,Achievements[[#All],[Column112]],0)+10,"")</f>
        <v/>
      </c>
      <c r="CI196" s="134" t="str">
        <f>_xlfn.IFNA(MATCH(BI196,Achievements[[#All],[Column113]],0)+10,"")</f>
        <v/>
      </c>
      <c r="CJ196" s="134" t="str">
        <f>_xlfn.IFNA(MATCH(BJ196,Achievements[[#All],[Column113]],0)+10,"")</f>
        <v/>
      </c>
      <c r="CK196" s="134" t="str">
        <f>_xlfn.IFNA(MATCH(BK196,Achievements[[#All],[Column114]],0)+10,"")</f>
        <v/>
      </c>
      <c r="CL196" s="134" t="str">
        <f>_xlfn.IFNA(MATCH(BL196,Achievements[[#All],[Column114]],0)+10,"")</f>
        <v/>
      </c>
      <c r="CM196" s="134" t="str">
        <f>_xlfn.IFNA(MATCH(BM196,Achievements[[#All],[Column115]],0)+10,"")</f>
        <v/>
      </c>
      <c r="CN196" s="134" t="str">
        <f>_xlfn.IFNA(MATCH(BN196,Achievements[[#All],[Column115]],0)+10,"")</f>
        <v/>
      </c>
      <c r="CO196" s="134" t="str">
        <f>_xlfn.IFNA(MATCH(BO196,Achievements[[#All],[Column116]],0)+10,"")</f>
        <v/>
      </c>
      <c r="CP196" s="134" t="str">
        <f>_xlfn.IFNA(MATCH(BP196,Achievements[[#All],[Column116]],0)+10,"")</f>
        <v/>
      </c>
      <c r="CQ196" s="134" t="str">
        <f>_xlfn.IFNA(MATCH(BQ196,Achievements[[#All],[Column117]],0)+10,"")</f>
        <v/>
      </c>
      <c r="CR196" s="134" t="str">
        <f>_xlfn.IFNA(MATCH(BR196,Achievements[[#All],[Column117]],0)+10,"")</f>
        <v/>
      </c>
      <c r="CS196" s="134" t="str">
        <f>_xlfn.IFNA(MATCH(BS196,Achievements[[#All],[Column118]],0)+10,"")</f>
        <v/>
      </c>
      <c r="CT196" s="134" t="str">
        <f>_xlfn.IFNA(MATCH(BT196,Achievements[[#All],[Column118]],0)+10,"")</f>
        <v/>
      </c>
      <c r="CU196" s="134" t="str">
        <f>_xlfn.IFNA(MATCH(BU196,Achievements[[#All],[Column119]],0)+10,"")</f>
        <v/>
      </c>
      <c r="CV196" s="134" t="str">
        <f>_xlfn.IFNA(MATCH(BV196,Achievements[[#All],[Column119]],0)+10,"")</f>
        <v/>
      </c>
      <c r="CW196" s="134" t="str">
        <f>_xlfn.IFNA(MATCH(BW196,Achievements[[#All],[Column120]],0)+10,"")</f>
        <v/>
      </c>
      <c r="CX196" s="134" t="str">
        <f>_xlfn.IFNA(MATCH(BX196,Achievements[[#All],[Column120]],0)+10,"")</f>
        <v/>
      </c>
      <c r="CY196" s="134" t="str">
        <f>_xlfn.IFNA(MATCH(BY196,Achievements[[#All],[Column121]],0)+10,"")</f>
        <v/>
      </c>
      <c r="CZ196" s="118" t="e">
        <f t="shared" ca="1" si="5"/>
        <v>#NAME?</v>
      </c>
    </row>
    <row r="197" spans="1:104" x14ac:dyDescent="0.25">
      <c r="A197" t="e" cm="1">
        <f t="array" aca="1" ref="A197" ca="1">SplitValues("; ",#REF!)</f>
        <v>#NAME?</v>
      </c>
      <c r="AA197" t="e">
        <f ca="1">_xlfn.IFNA(MATCH(A197,Achievements[[#All],[Column1]],0)+11,"")</f>
        <v>#NAME?</v>
      </c>
      <c r="AB197" s="134" t="str">
        <f>_xlfn.IFNA(MATCH(B197,Achievements[[#All],[Column1]],0)+10,"")</f>
        <v/>
      </c>
      <c r="AC197" s="134" t="str">
        <f>_xlfn.IFNA(MATCH(C197,Achievements[[#All],[Column1]],0)+10,"")</f>
        <v/>
      </c>
      <c r="AD197" s="134" t="str">
        <f>_xlfn.IFNA(MATCH(D197,Achievements[[#All],[Column110]],0)+10,"")</f>
        <v/>
      </c>
      <c r="AE197" s="134" t="str">
        <f>_xlfn.IFNA(MATCH(E197,Achievements[[#All],[Column110]],0)+10,"")</f>
        <v/>
      </c>
      <c r="AF197" s="134" t="str">
        <f>_xlfn.IFNA(MATCH(F197,Achievements[[#All],[Column111]],0)+10,"")</f>
        <v/>
      </c>
      <c r="AG197" s="134" t="str">
        <f>_xlfn.IFNA(MATCH(G197,Achievements[[#All],[Column111]],0)+10,"")</f>
        <v/>
      </c>
      <c r="AH197" s="134" t="str">
        <f>_xlfn.IFNA(MATCH(H197,Achievements[[#All],[Column112]],0)+10,"")</f>
        <v/>
      </c>
      <c r="AI197" s="134" t="str">
        <f>_xlfn.IFNA(MATCH(I197,Achievements[[#All],[Column112]],0)+10,"")</f>
        <v/>
      </c>
      <c r="AJ197" s="134" t="str">
        <f>_xlfn.IFNA(MATCH(J197,Achievements[[#All],[Column113]],0)+10,"")</f>
        <v/>
      </c>
      <c r="AK197" s="134" t="str">
        <f>_xlfn.IFNA(MATCH(K197,Achievements[[#All],[Column113]],0)+10,"")</f>
        <v/>
      </c>
      <c r="AL197" s="134" t="str">
        <f>_xlfn.IFNA(MATCH(L197,Achievements[[#All],[Column114]],0)+10,"")</f>
        <v/>
      </c>
      <c r="AM197" s="134" t="str">
        <f>_xlfn.IFNA(MATCH(M197,Achievements[[#All],[Column114]],0)+10,"")</f>
        <v/>
      </c>
      <c r="AN197" s="134" t="str">
        <f>_xlfn.IFNA(MATCH(N197,Achievements[[#All],[Column115]],0)+10,"")</f>
        <v/>
      </c>
      <c r="AO197" s="134" t="str">
        <f>_xlfn.IFNA(MATCH(O197,Achievements[[#All],[Column115]],0)+10,"")</f>
        <v/>
      </c>
      <c r="AP197" s="134" t="str">
        <f>_xlfn.IFNA(MATCH(P197,Achievements[[#All],[Column116]],0)+10,"")</f>
        <v/>
      </c>
      <c r="AQ197" s="134" t="str">
        <f>_xlfn.IFNA(MATCH(Q197,Achievements[[#All],[Column116]],0)+10,"")</f>
        <v/>
      </c>
      <c r="AR197" s="134" t="str">
        <f>_xlfn.IFNA(MATCH(R197,Achievements[[#All],[Column117]],0)+10,"")</f>
        <v/>
      </c>
      <c r="AS197" s="134" t="str">
        <f>_xlfn.IFNA(MATCH(S197,Achievements[[#All],[Column117]],0)+10,"")</f>
        <v/>
      </c>
      <c r="AT197" s="134" t="str">
        <f>_xlfn.IFNA(MATCH(T197,Achievements[[#All],[Column118]],0)+10,"")</f>
        <v/>
      </c>
      <c r="AU197" s="134" t="str">
        <f>_xlfn.IFNA(MATCH(U197,Achievements[[#All],[Column118]],0)+10,"")</f>
        <v/>
      </c>
      <c r="AV197" s="134" t="str">
        <f>_xlfn.IFNA(MATCH(V197,Achievements[[#All],[Column119]],0)+10,"")</f>
        <v/>
      </c>
      <c r="AW197" s="134" t="str">
        <f>_xlfn.IFNA(MATCH(W197,Achievements[[#All],[Column119]],0)+10,"")</f>
        <v/>
      </c>
      <c r="AX197" s="134" t="str">
        <f>_xlfn.IFNA(MATCH(X197,Achievements[[#All],[Column120]],0)+10,"")</f>
        <v/>
      </c>
      <c r="AY197" s="134" t="str">
        <f>_xlfn.IFNA(MATCH(Y197,Achievements[[#All],[Column120]],0)+10,"")</f>
        <v/>
      </c>
      <c r="AZ197" s="116" t="e">
        <f t="shared" ca="1" si="4"/>
        <v>#NAME?</v>
      </c>
      <c r="BA197" s="134" t="e" cm="1">
        <f t="array" aca="1" ref="BA197" ca="1">SplitValues("; ",Persons[[#This Row],[Column1]])</f>
        <v>#NAME?</v>
      </c>
      <c r="CA197" s="134" t="e">
        <f ca="1">_xlfn.IFNA(MATCH(BA197,Achievements[[#All],[Column1]],0)+10,"")</f>
        <v>#NAME?</v>
      </c>
      <c r="CB197" s="134" t="str">
        <f>_xlfn.IFNA(MATCH(BB197,Achievements[[#All],[Column1]],0)+10,"")</f>
        <v/>
      </c>
      <c r="CC197" s="134" t="str">
        <f>_xlfn.IFNA(MATCH(BC197,Achievements[[#All],[Column110]],0)+10,"")</f>
        <v/>
      </c>
      <c r="CD197" s="134" t="str">
        <f>_xlfn.IFNA(MATCH(BD197,Achievements[[#All],[Column110]],0)+10,"")</f>
        <v/>
      </c>
      <c r="CE197" s="134" t="str">
        <f>_xlfn.IFNA(MATCH(BE197,Achievements[[#All],[Column111]],0)+10,"")</f>
        <v/>
      </c>
      <c r="CF197" s="134" t="str">
        <f>_xlfn.IFNA(MATCH(BF197,Achievements[[#All],[Column111]],0)+10,"")</f>
        <v/>
      </c>
      <c r="CG197" s="134" t="str">
        <f>_xlfn.IFNA(MATCH(BG197,Achievements[[#All],[Column112]],0)+10,"")</f>
        <v/>
      </c>
      <c r="CH197" s="134" t="str">
        <f>_xlfn.IFNA(MATCH(BH197,Achievements[[#All],[Column112]],0)+10,"")</f>
        <v/>
      </c>
      <c r="CI197" s="134" t="str">
        <f>_xlfn.IFNA(MATCH(BI197,Achievements[[#All],[Column113]],0)+10,"")</f>
        <v/>
      </c>
      <c r="CJ197" s="134" t="str">
        <f>_xlfn.IFNA(MATCH(BJ197,Achievements[[#All],[Column113]],0)+10,"")</f>
        <v/>
      </c>
      <c r="CK197" s="134" t="str">
        <f>_xlfn.IFNA(MATCH(BK197,Achievements[[#All],[Column114]],0)+10,"")</f>
        <v/>
      </c>
      <c r="CL197" s="134" t="str">
        <f>_xlfn.IFNA(MATCH(BL197,Achievements[[#All],[Column114]],0)+10,"")</f>
        <v/>
      </c>
      <c r="CM197" s="134" t="str">
        <f>_xlfn.IFNA(MATCH(BM197,Achievements[[#All],[Column115]],0)+10,"")</f>
        <v/>
      </c>
      <c r="CN197" s="134" t="str">
        <f>_xlfn.IFNA(MATCH(BN197,Achievements[[#All],[Column115]],0)+10,"")</f>
        <v/>
      </c>
      <c r="CO197" s="134" t="str">
        <f>_xlfn.IFNA(MATCH(BO197,Achievements[[#All],[Column116]],0)+10,"")</f>
        <v/>
      </c>
      <c r="CP197" s="134" t="str">
        <f>_xlfn.IFNA(MATCH(BP197,Achievements[[#All],[Column116]],0)+10,"")</f>
        <v/>
      </c>
      <c r="CQ197" s="134" t="str">
        <f>_xlfn.IFNA(MATCH(BQ197,Achievements[[#All],[Column117]],0)+10,"")</f>
        <v/>
      </c>
      <c r="CR197" s="134" t="str">
        <f>_xlfn.IFNA(MATCH(BR197,Achievements[[#All],[Column117]],0)+10,"")</f>
        <v/>
      </c>
      <c r="CS197" s="134" t="str">
        <f>_xlfn.IFNA(MATCH(BS197,Achievements[[#All],[Column118]],0)+10,"")</f>
        <v/>
      </c>
      <c r="CT197" s="134" t="str">
        <f>_xlfn.IFNA(MATCH(BT197,Achievements[[#All],[Column118]],0)+10,"")</f>
        <v/>
      </c>
      <c r="CU197" s="134" t="str">
        <f>_xlfn.IFNA(MATCH(BU197,Achievements[[#All],[Column119]],0)+10,"")</f>
        <v/>
      </c>
      <c r="CV197" s="134" t="str">
        <f>_xlfn.IFNA(MATCH(BV197,Achievements[[#All],[Column119]],0)+10,"")</f>
        <v/>
      </c>
      <c r="CW197" s="134" t="str">
        <f>_xlfn.IFNA(MATCH(BW197,Achievements[[#All],[Column120]],0)+10,"")</f>
        <v/>
      </c>
      <c r="CX197" s="134" t="str">
        <f>_xlfn.IFNA(MATCH(BX197,Achievements[[#All],[Column120]],0)+10,"")</f>
        <v/>
      </c>
      <c r="CY197" s="134" t="str">
        <f>_xlfn.IFNA(MATCH(BY197,Achievements[[#All],[Column121]],0)+10,"")</f>
        <v/>
      </c>
      <c r="CZ197" s="118" t="e">
        <f t="shared" ca="1" si="5"/>
        <v>#NAME?</v>
      </c>
    </row>
    <row r="198" spans="1:104" x14ac:dyDescent="0.25">
      <c r="A198" t="e" cm="1">
        <f t="array" aca="1" ref="A198" ca="1">SplitValues("; ",#REF!)</f>
        <v>#NAME?</v>
      </c>
      <c r="AA198" t="e">
        <f ca="1">_xlfn.IFNA(MATCH(A198,Achievements[[#All],[Column1]],0)+11,"")</f>
        <v>#NAME?</v>
      </c>
      <c r="AB198" s="134" t="str">
        <f>_xlfn.IFNA(MATCH(B198,Achievements[[#All],[Column1]],0)+10,"")</f>
        <v/>
      </c>
      <c r="AC198" s="134" t="str">
        <f>_xlfn.IFNA(MATCH(C198,Achievements[[#All],[Column1]],0)+10,"")</f>
        <v/>
      </c>
      <c r="AD198" s="134" t="str">
        <f>_xlfn.IFNA(MATCH(D198,Achievements[[#All],[Column110]],0)+10,"")</f>
        <v/>
      </c>
      <c r="AE198" s="134" t="str">
        <f>_xlfn.IFNA(MATCH(E198,Achievements[[#All],[Column110]],0)+10,"")</f>
        <v/>
      </c>
      <c r="AF198" s="134" t="str">
        <f>_xlfn.IFNA(MATCH(F198,Achievements[[#All],[Column111]],0)+10,"")</f>
        <v/>
      </c>
      <c r="AG198" s="134" t="str">
        <f>_xlfn.IFNA(MATCH(G198,Achievements[[#All],[Column111]],0)+10,"")</f>
        <v/>
      </c>
      <c r="AH198" s="134" t="str">
        <f>_xlfn.IFNA(MATCH(H198,Achievements[[#All],[Column112]],0)+10,"")</f>
        <v/>
      </c>
      <c r="AI198" s="134" t="str">
        <f>_xlfn.IFNA(MATCH(I198,Achievements[[#All],[Column112]],0)+10,"")</f>
        <v/>
      </c>
      <c r="AJ198" s="134" t="str">
        <f>_xlfn.IFNA(MATCH(J198,Achievements[[#All],[Column113]],0)+10,"")</f>
        <v/>
      </c>
      <c r="AK198" s="134" t="str">
        <f>_xlfn.IFNA(MATCH(K198,Achievements[[#All],[Column113]],0)+10,"")</f>
        <v/>
      </c>
      <c r="AL198" s="134" t="str">
        <f>_xlfn.IFNA(MATCH(L198,Achievements[[#All],[Column114]],0)+10,"")</f>
        <v/>
      </c>
      <c r="AM198" s="134" t="str">
        <f>_xlfn.IFNA(MATCH(M198,Achievements[[#All],[Column114]],0)+10,"")</f>
        <v/>
      </c>
      <c r="AN198" s="134" t="str">
        <f>_xlfn.IFNA(MATCH(N198,Achievements[[#All],[Column115]],0)+10,"")</f>
        <v/>
      </c>
      <c r="AO198" s="134" t="str">
        <f>_xlfn.IFNA(MATCH(O198,Achievements[[#All],[Column115]],0)+10,"")</f>
        <v/>
      </c>
      <c r="AP198" s="134" t="str">
        <f>_xlfn.IFNA(MATCH(P198,Achievements[[#All],[Column116]],0)+10,"")</f>
        <v/>
      </c>
      <c r="AQ198" s="134" t="str">
        <f>_xlfn.IFNA(MATCH(Q198,Achievements[[#All],[Column116]],0)+10,"")</f>
        <v/>
      </c>
      <c r="AR198" s="134" t="str">
        <f>_xlfn.IFNA(MATCH(R198,Achievements[[#All],[Column117]],0)+10,"")</f>
        <v/>
      </c>
      <c r="AS198" s="134" t="str">
        <f>_xlfn.IFNA(MATCH(S198,Achievements[[#All],[Column117]],0)+10,"")</f>
        <v/>
      </c>
      <c r="AT198" s="134" t="str">
        <f>_xlfn.IFNA(MATCH(T198,Achievements[[#All],[Column118]],0)+10,"")</f>
        <v/>
      </c>
      <c r="AU198" s="134" t="str">
        <f>_xlfn.IFNA(MATCH(U198,Achievements[[#All],[Column118]],0)+10,"")</f>
        <v/>
      </c>
      <c r="AV198" s="134" t="str">
        <f>_xlfn.IFNA(MATCH(V198,Achievements[[#All],[Column119]],0)+10,"")</f>
        <v/>
      </c>
      <c r="AW198" s="134" t="str">
        <f>_xlfn.IFNA(MATCH(W198,Achievements[[#All],[Column119]],0)+10,"")</f>
        <v/>
      </c>
      <c r="AX198" s="134" t="str">
        <f>_xlfn.IFNA(MATCH(X198,Achievements[[#All],[Column120]],0)+10,"")</f>
        <v/>
      </c>
      <c r="AY198" s="134" t="str">
        <f>_xlfn.IFNA(MATCH(Y198,Achievements[[#All],[Column120]],0)+10,"")</f>
        <v/>
      </c>
      <c r="AZ198" s="116" t="e">
        <f t="shared" ca="1" si="4"/>
        <v>#NAME?</v>
      </c>
      <c r="BA198" s="134" t="e" cm="1">
        <f t="array" aca="1" ref="BA198" ca="1">SplitValues("; ",Persons[[#This Row],[Column1]])</f>
        <v>#NAME?</v>
      </c>
      <c r="CA198" s="134" t="e">
        <f ca="1">_xlfn.IFNA(MATCH(BA198,Achievements[[#All],[Column1]],0)+10,"")</f>
        <v>#NAME?</v>
      </c>
      <c r="CB198" s="134" t="str">
        <f>_xlfn.IFNA(MATCH(BB198,Achievements[[#All],[Column1]],0)+10,"")</f>
        <v/>
      </c>
      <c r="CC198" s="134" t="str">
        <f>_xlfn.IFNA(MATCH(BC198,Achievements[[#All],[Column110]],0)+10,"")</f>
        <v/>
      </c>
      <c r="CD198" s="134" t="str">
        <f>_xlfn.IFNA(MATCH(BD198,Achievements[[#All],[Column110]],0)+10,"")</f>
        <v/>
      </c>
      <c r="CE198" s="134" t="str">
        <f>_xlfn.IFNA(MATCH(BE198,Achievements[[#All],[Column111]],0)+10,"")</f>
        <v/>
      </c>
      <c r="CF198" s="134" t="str">
        <f>_xlfn.IFNA(MATCH(BF198,Achievements[[#All],[Column111]],0)+10,"")</f>
        <v/>
      </c>
      <c r="CG198" s="134" t="str">
        <f>_xlfn.IFNA(MATCH(BG198,Achievements[[#All],[Column112]],0)+10,"")</f>
        <v/>
      </c>
      <c r="CH198" s="134" t="str">
        <f>_xlfn.IFNA(MATCH(BH198,Achievements[[#All],[Column112]],0)+10,"")</f>
        <v/>
      </c>
      <c r="CI198" s="134" t="str">
        <f>_xlfn.IFNA(MATCH(BI198,Achievements[[#All],[Column113]],0)+10,"")</f>
        <v/>
      </c>
      <c r="CJ198" s="134" t="str">
        <f>_xlfn.IFNA(MATCH(BJ198,Achievements[[#All],[Column113]],0)+10,"")</f>
        <v/>
      </c>
      <c r="CK198" s="134" t="str">
        <f>_xlfn.IFNA(MATCH(BK198,Achievements[[#All],[Column114]],0)+10,"")</f>
        <v/>
      </c>
      <c r="CL198" s="134" t="str">
        <f>_xlfn.IFNA(MATCH(BL198,Achievements[[#All],[Column114]],0)+10,"")</f>
        <v/>
      </c>
      <c r="CM198" s="134" t="str">
        <f>_xlfn.IFNA(MATCH(BM198,Achievements[[#All],[Column115]],0)+10,"")</f>
        <v/>
      </c>
      <c r="CN198" s="134" t="str">
        <f>_xlfn.IFNA(MATCH(BN198,Achievements[[#All],[Column115]],0)+10,"")</f>
        <v/>
      </c>
      <c r="CO198" s="134" t="str">
        <f>_xlfn.IFNA(MATCH(BO198,Achievements[[#All],[Column116]],0)+10,"")</f>
        <v/>
      </c>
      <c r="CP198" s="134" t="str">
        <f>_xlfn.IFNA(MATCH(BP198,Achievements[[#All],[Column116]],0)+10,"")</f>
        <v/>
      </c>
      <c r="CQ198" s="134" t="str">
        <f>_xlfn.IFNA(MATCH(BQ198,Achievements[[#All],[Column117]],0)+10,"")</f>
        <v/>
      </c>
      <c r="CR198" s="134" t="str">
        <f>_xlfn.IFNA(MATCH(BR198,Achievements[[#All],[Column117]],0)+10,"")</f>
        <v/>
      </c>
      <c r="CS198" s="134" t="str">
        <f>_xlfn.IFNA(MATCH(BS198,Achievements[[#All],[Column118]],0)+10,"")</f>
        <v/>
      </c>
      <c r="CT198" s="134" t="str">
        <f>_xlfn.IFNA(MATCH(BT198,Achievements[[#All],[Column118]],0)+10,"")</f>
        <v/>
      </c>
      <c r="CU198" s="134" t="str">
        <f>_xlfn.IFNA(MATCH(BU198,Achievements[[#All],[Column119]],0)+10,"")</f>
        <v/>
      </c>
      <c r="CV198" s="134" t="str">
        <f>_xlfn.IFNA(MATCH(BV198,Achievements[[#All],[Column119]],0)+10,"")</f>
        <v/>
      </c>
      <c r="CW198" s="134" t="str">
        <f>_xlfn.IFNA(MATCH(BW198,Achievements[[#All],[Column120]],0)+10,"")</f>
        <v/>
      </c>
      <c r="CX198" s="134" t="str">
        <f>_xlfn.IFNA(MATCH(BX198,Achievements[[#All],[Column120]],0)+10,"")</f>
        <v/>
      </c>
      <c r="CY198" s="134" t="str">
        <f>_xlfn.IFNA(MATCH(BY198,Achievements[[#All],[Column121]],0)+10,"")</f>
        <v/>
      </c>
      <c r="CZ198" s="118" t="e">
        <f t="shared" ca="1" si="5"/>
        <v>#NAME?</v>
      </c>
    </row>
    <row r="199" spans="1:104" x14ac:dyDescent="0.25">
      <c r="A199" t="e" cm="1">
        <f t="array" aca="1" ref="A199" ca="1">SplitValues("; ",#REF!)</f>
        <v>#NAME?</v>
      </c>
      <c r="AA199" t="e">
        <f ca="1">_xlfn.IFNA(MATCH(A199,Achievements[[#All],[Column1]],0)+11,"")</f>
        <v>#NAME?</v>
      </c>
      <c r="AB199" s="134" t="str">
        <f>_xlfn.IFNA(MATCH(B199,Achievements[[#All],[Column1]],0)+10,"")</f>
        <v/>
      </c>
      <c r="AC199" s="134" t="str">
        <f>_xlfn.IFNA(MATCH(C199,Achievements[[#All],[Column1]],0)+10,"")</f>
        <v/>
      </c>
      <c r="AD199" s="134" t="str">
        <f>_xlfn.IFNA(MATCH(D199,Achievements[[#All],[Column110]],0)+10,"")</f>
        <v/>
      </c>
      <c r="AE199" s="134" t="str">
        <f>_xlfn.IFNA(MATCH(E199,Achievements[[#All],[Column110]],0)+10,"")</f>
        <v/>
      </c>
      <c r="AF199" s="134" t="str">
        <f>_xlfn.IFNA(MATCH(F199,Achievements[[#All],[Column111]],0)+10,"")</f>
        <v/>
      </c>
      <c r="AG199" s="134" t="str">
        <f>_xlfn.IFNA(MATCH(G199,Achievements[[#All],[Column111]],0)+10,"")</f>
        <v/>
      </c>
      <c r="AH199" s="134" t="str">
        <f>_xlfn.IFNA(MATCH(H199,Achievements[[#All],[Column112]],0)+10,"")</f>
        <v/>
      </c>
      <c r="AI199" s="134" t="str">
        <f>_xlfn.IFNA(MATCH(I199,Achievements[[#All],[Column112]],0)+10,"")</f>
        <v/>
      </c>
      <c r="AJ199" s="134" t="str">
        <f>_xlfn.IFNA(MATCH(J199,Achievements[[#All],[Column113]],0)+10,"")</f>
        <v/>
      </c>
      <c r="AK199" s="134" t="str">
        <f>_xlfn.IFNA(MATCH(K199,Achievements[[#All],[Column113]],0)+10,"")</f>
        <v/>
      </c>
      <c r="AL199" s="134" t="str">
        <f>_xlfn.IFNA(MATCH(L199,Achievements[[#All],[Column114]],0)+10,"")</f>
        <v/>
      </c>
      <c r="AM199" s="134" t="str">
        <f>_xlfn.IFNA(MATCH(M199,Achievements[[#All],[Column114]],0)+10,"")</f>
        <v/>
      </c>
      <c r="AN199" s="134" t="str">
        <f>_xlfn.IFNA(MATCH(N199,Achievements[[#All],[Column115]],0)+10,"")</f>
        <v/>
      </c>
      <c r="AO199" s="134" t="str">
        <f>_xlfn.IFNA(MATCH(O199,Achievements[[#All],[Column115]],0)+10,"")</f>
        <v/>
      </c>
      <c r="AP199" s="134" t="str">
        <f>_xlfn.IFNA(MATCH(P199,Achievements[[#All],[Column116]],0)+10,"")</f>
        <v/>
      </c>
      <c r="AQ199" s="134" t="str">
        <f>_xlfn.IFNA(MATCH(Q199,Achievements[[#All],[Column116]],0)+10,"")</f>
        <v/>
      </c>
      <c r="AR199" s="134" t="str">
        <f>_xlfn.IFNA(MATCH(R199,Achievements[[#All],[Column117]],0)+10,"")</f>
        <v/>
      </c>
      <c r="AS199" s="134" t="str">
        <f>_xlfn.IFNA(MATCH(S199,Achievements[[#All],[Column117]],0)+10,"")</f>
        <v/>
      </c>
      <c r="AT199" s="134" t="str">
        <f>_xlfn.IFNA(MATCH(T199,Achievements[[#All],[Column118]],0)+10,"")</f>
        <v/>
      </c>
      <c r="AU199" s="134" t="str">
        <f>_xlfn.IFNA(MATCH(U199,Achievements[[#All],[Column118]],0)+10,"")</f>
        <v/>
      </c>
      <c r="AV199" s="134" t="str">
        <f>_xlfn.IFNA(MATCH(V199,Achievements[[#All],[Column119]],0)+10,"")</f>
        <v/>
      </c>
      <c r="AW199" s="134" t="str">
        <f>_xlfn.IFNA(MATCH(W199,Achievements[[#All],[Column119]],0)+10,"")</f>
        <v/>
      </c>
      <c r="AX199" s="134" t="str">
        <f>_xlfn.IFNA(MATCH(X199,Achievements[[#All],[Column120]],0)+10,"")</f>
        <v/>
      </c>
      <c r="AY199" s="134" t="str">
        <f>_xlfn.IFNA(MATCH(Y199,Achievements[[#All],[Column120]],0)+10,"")</f>
        <v/>
      </c>
      <c r="AZ199" s="116" t="e">
        <f t="shared" ca="1" si="4"/>
        <v>#NAME?</v>
      </c>
      <c r="BA199" s="134" t="e" cm="1">
        <f t="array" aca="1" ref="BA199" ca="1">SplitValues("; ",Persons[[#This Row],[Column1]])</f>
        <v>#NAME?</v>
      </c>
      <c r="CA199" s="134" t="e">
        <f ca="1">_xlfn.IFNA(MATCH(BA199,Achievements[[#All],[Column1]],0)+10,"")</f>
        <v>#NAME?</v>
      </c>
      <c r="CB199" s="134" t="str">
        <f>_xlfn.IFNA(MATCH(BB199,Achievements[[#All],[Column1]],0)+10,"")</f>
        <v/>
      </c>
      <c r="CC199" s="134" t="str">
        <f>_xlfn.IFNA(MATCH(BC199,Achievements[[#All],[Column110]],0)+10,"")</f>
        <v/>
      </c>
      <c r="CD199" s="134" t="str">
        <f>_xlfn.IFNA(MATCH(BD199,Achievements[[#All],[Column110]],0)+10,"")</f>
        <v/>
      </c>
      <c r="CE199" s="134" t="str">
        <f>_xlfn.IFNA(MATCH(BE199,Achievements[[#All],[Column111]],0)+10,"")</f>
        <v/>
      </c>
      <c r="CF199" s="134" t="str">
        <f>_xlfn.IFNA(MATCH(BF199,Achievements[[#All],[Column111]],0)+10,"")</f>
        <v/>
      </c>
      <c r="CG199" s="134" t="str">
        <f>_xlfn.IFNA(MATCH(BG199,Achievements[[#All],[Column112]],0)+10,"")</f>
        <v/>
      </c>
      <c r="CH199" s="134" t="str">
        <f>_xlfn.IFNA(MATCH(BH199,Achievements[[#All],[Column112]],0)+10,"")</f>
        <v/>
      </c>
      <c r="CI199" s="134" t="str">
        <f>_xlfn.IFNA(MATCH(BI199,Achievements[[#All],[Column113]],0)+10,"")</f>
        <v/>
      </c>
      <c r="CJ199" s="134" t="str">
        <f>_xlfn.IFNA(MATCH(BJ199,Achievements[[#All],[Column113]],0)+10,"")</f>
        <v/>
      </c>
      <c r="CK199" s="134" t="str">
        <f>_xlfn.IFNA(MATCH(BK199,Achievements[[#All],[Column114]],0)+10,"")</f>
        <v/>
      </c>
      <c r="CL199" s="134" t="str">
        <f>_xlfn.IFNA(MATCH(BL199,Achievements[[#All],[Column114]],0)+10,"")</f>
        <v/>
      </c>
      <c r="CM199" s="134" t="str">
        <f>_xlfn.IFNA(MATCH(BM199,Achievements[[#All],[Column115]],0)+10,"")</f>
        <v/>
      </c>
      <c r="CN199" s="134" t="str">
        <f>_xlfn.IFNA(MATCH(BN199,Achievements[[#All],[Column115]],0)+10,"")</f>
        <v/>
      </c>
      <c r="CO199" s="134" t="str">
        <f>_xlfn.IFNA(MATCH(BO199,Achievements[[#All],[Column116]],0)+10,"")</f>
        <v/>
      </c>
      <c r="CP199" s="134" t="str">
        <f>_xlfn.IFNA(MATCH(BP199,Achievements[[#All],[Column116]],0)+10,"")</f>
        <v/>
      </c>
      <c r="CQ199" s="134" t="str">
        <f>_xlfn.IFNA(MATCH(BQ199,Achievements[[#All],[Column117]],0)+10,"")</f>
        <v/>
      </c>
      <c r="CR199" s="134" t="str">
        <f>_xlfn.IFNA(MATCH(BR199,Achievements[[#All],[Column117]],0)+10,"")</f>
        <v/>
      </c>
      <c r="CS199" s="134" t="str">
        <f>_xlfn.IFNA(MATCH(BS199,Achievements[[#All],[Column118]],0)+10,"")</f>
        <v/>
      </c>
      <c r="CT199" s="134" t="str">
        <f>_xlfn.IFNA(MATCH(BT199,Achievements[[#All],[Column118]],0)+10,"")</f>
        <v/>
      </c>
      <c r="CU199" s="134" t="str">
        <f>_xlfn.IFNA(MATCH(BU199,Achievements[[#All],[Column119]],0)+10,"")</f>
        <v/>
      </c>
      <c r="CV199" s="134" t="str">
        <f>_xlfn.IFNA(MATCH(BV199,Achievements[[#All],[Column119]],0)+10,"")</f>
        <v/>
      </c>
      <c r="CW199" s="134" t="str">
        <f>_xlfn.IFNA(MATCH(BW199,Achievements[[#All],[Column120]],0)+10,"")</f>
        <v/>
      </c>
      <c r="CX199" s="134" t="str">
        <f>_xlfn.IFNA(MATCH(BX199,Achievements[[#All],[Column120]],0)+10,"")</f>
        <v/>
      </c>
      <c r="CY199" s="134" t="str">
        <f>_xlfn.IFNA(MATCH(BY199,Achievements[[#All],[Column121]],0)+10,"")</f>
        <v/>
      </c>
      <c r="CZ199" s="118" t="e">
        <f t="shared" ca="1" si="5"/>
        <v>#NAME?</v>
      </c>
    </row>
    <row r="200" spans="1:104" x14ac:dyDescent="0.25">
      <c r="A200" t="e" cm="1">
        <f t="array" aca="1" ref="A200" ca="1">SplitValues("; ",#REF!)</f>
        <v>#NAME?</v>
      </c>
      <c r="AA200" t="e">
        <f ca="1">_xlfn.IFNA(MATCH(A200,Achievements[[#All],[Column1]],0)+11,"")</f>
        <v>#NAME?</v>
      </c>
      <c r="AB200" s="134" t="str">
        <f>_xlfn.IFNA(MATCH(B200,Achievements[[#All],[Column1]],0)+10,"")</f>
        <v/>
      </c>
      <c r="AC200" s="134" t="str">
        <f>_xlfn.IFNA(MATCH(C200,Achievements[[#All],[Column1]],0)+10,"")</f>
        <v/>
      </c>
      <c r="AD200" s="134" t="str">
        <f>_xlfn.IFNA(MATCH(D200,Achievements[[#All],[Column110]],0)+10,"")</f>
        <v/>
      </c>
      <c r="AE200" s="134" t="str">
        <f>_xlfn.IFNA(MATCH(E200,Achievements[[#All],[Column110]],0)+10,"")</f>
        <v/>
      </c>
      <c r="AF200" s="134" t="str">
        <f>_xlfn.IFNA(MATCH(F200,Achievements[[#All],[Column111]],0)+10,"")</f>
        <v/>
      </c>
      <c r="AG200" s="134" t="str">
        <f>_xlfn.IFNA(MATCH(G200,Achievements[[#All],[Column111]],0)+10,"")</f>
        <v/>
      </c>
      <c r="AH200" s="134" t="str">
        <f>_xlfn.IFNA(MATCH(H200,Achievements[[#All],[Column112]],0)+10,"")</f>
        <v/>
      </c>
      <c r="AI200" s="134" t="str">
        <f>_xlfn.IFNA(MATCH(I200,Achievements[[#All],[Column112]],0)+10,"")</f>
        <v/>
      </c>
      <c r="AJ200" s="134" t="str">
        <f>_xlfn.IFNA(MATCH(J200,Achievements[[#All],[Column113]],0)+10,"")</f>
        <v/>
      </c>
      <c r="AK200" s="134" t="str">
        <f>_xlfn.IFNA(MATCH(K200,Achievements[[#All],[Column113]],0)+10,"")</f>
        <v/>
      </c>
      <c r="AL200" s="134" t="str">
        <f>_xlfn.IFNA(MATCH(L200,Achievements[[#All],[Column114]],0)+10,"")</f>
        <v/>
      </c>
      <c r="AM200" s="134" t="str">
        <f>_xlfn.IFNA(MATCH(M200,Achievements[[#All],[Column114]],0)+10,"")</f>
        <v/>
      </c>
      <c r="AN200" s="134" t="str">
        <f>_xlfn.IFNA(MATCH(N200,Achievements[[#All],[Column115]],0)+10,"")</f>
        <v/>
      </c>
      <c r="AO200" s="134" t="str">
        <f>_xlfn.IFNA(MATCH(O200,Achievements[[#All],[Column115]],0)+10,"")</f>
        <v/>
      </c>
      <c r="AP200" s="134" t="str">
        <f>_xlfn.IFNA(MATCH(P200,Achievements[[#All],[Column116]],0)+10,"")</f>
        <v/>
      </c>
      <c r="AQ200" s="134" t="str">
        <f>_xlfn.IFNA(MATCH(Q200,Achievements[[#All],[Column116]],0)+10,"")</f>
        <v/>
      </c>
      <c r="AR200" s="134" t="str">
        <f>_xlfn.IFNA(MATCH(R200,Achievements[[#All],[Column117]],0)+10,"")</f>
        <v/>
      </c>
      <c r="AS200" s="134" t="str">
        <f>_xlfn.IFNA(MATCH(S200,Achievements[[#All],[Column117]],0)+10,"")</f>
        <v/>
      </c>
      <c r="AT200" s="134" t="str">
        <f>_xlfn.IFNA(MATCH(T200,Achievements[[#All],[Column118]],0)+10,"")</f>
        <v/>
      </c>
      <c r="AU200" s="134" t="str">
        <f>_xlfn.IFNA(MATCH(U200,Achievements[[#All],[Column118]],0)+10,"")</f>
        <v/>
      </c>
      <c r="AV200" s="134" t="str">
        <f>_xlfn.IFNA(MATCH(V200,Achievements[[#All],[Column119]],0)+10,"")</f>
        <v/>
      </c>
      <c r="AW200" s="134" t="str">
        <f>_xlfn.IFNA(MATCH(W200,Achievements[[#All],[Column119]],0)+10,"")</f>
        <v/>
      </c>
      <c r="AX200" s="134" t="str">
        <f>_xlfn.IFNA(MATCH(X200,Achievements[[#All],[Column120]],0)+10,"")</f>
        <v/>
      </c>
      <c r="AY200" s="134" t="str">
        <f>_xlfn.IFNA(MATCH(Y200,Achievements[[#All],[Column120]],0)+10,"")</f>
        <v/>
      </c>
      <c r="AZ200" s="116" t="e">
        <f t="shared" ca="1" si="4"/>
        <v>#NAME?</v>
      </c>
      <c r="BA200" s="134" t="e" cm="1">
        <f t="array" aca="1" ref="BA200" ca="1">SplitValues("; ",Persons[[#This Row],[Column1]])</f>
        <v>#NAME?</v>
      </c>
      <c r="CA200" s="134" t="e">
        <f ca="1">_xlfn.IFNA(MATCH(BA200,Achievements[[#All],[Column1]],0)+10,"")</f>
        <v>#NAME?</v>
      </c>
      <c r="CB200" s="134" t="str">
        <f>_xlfn.IFNA(MATCH(BB200,Achievements[[#All],[Column1]],0)+10,"")</f>
        <v/>
      </c>
      <c r="CC200" s="134" t="str">
        <f>_xlfn.IFNA(MATCH(BC200,Achievements[[#All],[Column110]],0)+10,"")</f>
        <v/>
      </c>
      <c r="CD200" s="134" t="str">
        <f>_xlfn.IFNA(MATCH(BD200,Achievements[[#All],[Column110]],0)+10,"")</f>
        <v/>
      </c>
      <c r="CE200" s="134" t="str">
        <f>_xlfn.IFNA(MATCH(BE200,Achievements[[#All],[Column111]],0)+10,"")</f>
        <v/>
      </c>
      <c r="CF200" s="134" t="str">
        <f>_xlfn.IFNA(MATCH(BF200,Achievements[[#All],[Column111]],0)+10,"")</f>
        <v/>
      </c>
      <c r="CG200" s="134" t="str">
        <f>_xlfn.IFNA(MATCH(BG200,Achievements[[#All],[Column112]],0)+10,"")</f>
        <v/>
      </c>
      <c r="CH200" s="134" t="str">
        <f>_xlfn.IFNA(MATCH(BH200,Achievements[[#All],[Column112]],0)+10,"")</f>
        <v/>
      </c>
      <c r="CI200" s="134" t="str">
        <f>_xlfn.IFNA(MATCH(BI200,Achievements[[#All],[Column113]],0)+10,"")</f>
        <v/>
      </c>
      <c r="CJ200" s="134" t="str">
        <f>_xlfn.IFNA(MATCH(BJ200,Achievements[[#All],[Column113]],0)+10,"")</f>
        <v/>
      </c>
      <c r="CK200" s="134" t="str">
        <f>_xlfn.IFNA(MATCH(BK200,Achievements[[#All],[Column114]],0)+10,"")</f>
        <v/>
      </c>
      <c r="CL200" s="134" t="str">
        <f>_xlfn.IFNA(MATCH(BL200,Achievements[[#All],[Column114]],0)+10,"")</f>
        <v/>
      </c>
      <c r="CM200" s="134" t="str">
        <f>_xlfn.IFNA(MATCH(BM200,Achievements[[#All],[Column115]],0)+10,"")</f>
        <v/>
      </c>
      <c r="CN200" s="134" t="str">
        <f>_xlfn.IFNA(MATCH(BN200,Achievements[[#All],[Column115]],0)+10,"")</f>
        <v/>
      </c>
      <c r="CO200" s="134" t="str">
        <f>_xlfn.IFNA(MATCH(BO200,Achievements[[#All],[Column116]],0)+10,"")</f>
        <v/>
      </c>
      <c r="CP200" s="134" t="str">
        <f>_xlfn.IFNA(MATCH(BP200,Achievements[[#All],[Column116]],0)+10,"")</f>
        <v/>
      </c>
      <c r="CQ200" s="134" t="str">
        <f>_xlfn.IFNA(MATCH(BQ200,Achievements[[#All],[Column117]],0)+10,"")</f>
        <v/>
      </c>
      <c r="CR200" s="134" t="str">
        <f>_xlfn.IFNA(MATCH(BR200,Achievements[[#All],[Column117]],0)+10,"")</f>
        <v/>
      </c>
      <c r="CS200" s="134" t="str">
        <f>_xlfn.IFNA(MATCH(BS200,Achievements[[#All],[Column118]],0)+10,"")</f>
        <v/>
      </c>
      <c r="CT200" s="134" t="str">
        <f>_xlfn.IFNA(MATCH(BT200,Achievements[[#All],[Column118]],0)+10,"")</f>
        <v/>
      </c>
      <c r="CU200" s="134" t="str">
        <f>_xlfn.IFNA(MATCH(BU200,Achievements[[#All],[Column119]],0)+10,"")</f>
        <v/>
      </c>
      <c r="CV200" s="134" t="str">
        <f>_xlfn.IFNA(MATCH(BV200,Achievements[[#All],[Column119]],0)+10,"")</f>
        <v/>
      </c>
      <c r="CW200" s="134" t="str">
        <f>_xlfn.IFNA(MATCH(BW200,Achievements[[#All],[Column120]],0)+10,"")</f>
        <v/>
      </c>
      <c r="CX200" s="134" t="str">
        <f>_xlfn.IFNA(MATCH(BX200,Achievements[[#All],[Column120]],0)+10,"")</f>
        <v/>
      </c>
      <c r="CY200" s="134" t="str">
        <f>_xlfn.IFNA(MATCH(BY200,Achievements[[#All],[Column121]],0)+10,"")</f>
        <v/>
      </c>
      <c r="CZ200" s="118" t="e">
        <f t="shared" ca="1" si="5"/>
        <v>#NAME?</v>
      </c>
    </row>
    <row r="201" spans="1:104" x14ac:dyDescent="0.25">
      <c r="A201" t="e" cm="1">
        <f t="array" aca="1" ref="A201" ca="1">SplitValues("; ",#REF!)</f>
        <v>#NAME?</v>
      </c>
      <c r="AA201" t="e">
        <f ca="1">_xlfn.IFNA(MATCH(A201,Achievements[[#All],[Column1]],0)+11,"")</f>
        <v>#NAME?</v>
      </c>
      <c r="AB201" s="134" t="str">
        <f>_xlfn.IFNA(MATCH(B201,Achievements[[#All],[Column1]],0)+10,"")</f>
        <v/>
      </c>
      <c r="AC201" s="134" t="str">
        <f>_xlfn.IFNA(MATCH(C201,Achievements[[#All],[Column1]],0)+10,"")</f>
        <v/>
      </c>
      <c r="AD201" s="134" t="str">
        <f>_xlfn.IFNA(MATCH(D201,Achievements[[#All],[Column110]],0)+10,"")</f>
        <v/>
      </c>
      <c r="AE201" s="134" t="str">
        <f>_xlfn.IFNA(MATCH(E201,Achievements[[#All],[Column110]],0)+10,"")</f>
        <v/>
      </c>
      <c r="AF201" s="134" t="str">
        <f>_xlfn.IFNA(MATCH(F201,Achievements[[#All],[Column111]],0)+10,"")</f>
        <v/>
      </c>
      <c r="AG201" s="134" t="str">
        <f>_xlfn.IFNA(MATCH(G201,Achievements[[#All],[Column111]],0)+10,"")</f>
        <v/>
      </c>
      <c r="AH201" s="134" t="str">
        <f>_xlfn.IFNA(MATCH(H201,Achievements[[#All],[Column112]],0)+10,"")</f>
        <v/>
      </c>
      <c r="AI201" s="134" t="str">
        <f>_xlfn.IFNA(MATCH(I201,Achievements[[#All],[Column112]],0)+10,"")</f>
        <v/>
      </c>
      <c r="AJ201" s="134" t="str">
        <f>_xlfn.IFNA(MATCH(J201,Achievements[[#All],[Column113]],0)+10,"")</f>
        <v/>
      </c>
      <c r="AK201" s="134" t="str">
        <f>_xlfn.IFNA(MATCH(K201,Achievements[[#All],[Column113]],0)+10,"")</f>
        <v/>
      </c>
      <c r="AL201" s="134" t="str">
        <f>_xlfn.IFNA(MATCH(L201,Achievements[[#All],[Column114]],0)+10,"")</f>
        <v/>
      </c>
      <c r="AM201" s="134" t="str">
        <f>_xlfn.IFNA(MATCH(M201,Achievements[[#All],[Column114]],0)+10,"")</f>
        <v/>
      </c>
      <c r="AN201" s="134" t="str">
        <f>_xlfn.IFNA(MATCH(N201,Achievements[[#All],[Column115]],0)+10,"")</f>
        <v/>
      </c>
      <c r="AO201" s="134" t="str">
        <f>_xlfn.IFNA(MATCH(O201,Achievements[[#All],[Column115]],0)+10,"")</f>
        <v/>
      </c>
      <c r="AP201" s="134" t="str">
        <f>_xlfn.IFNA(MATCH(P201,Achievements[[#All],[Column116]],0)+10,"")</f>
        <v/>
      </c>
      <c r="AQ201" s="134" t="str">
        <f>_xlfn.IFNA(MATCH(Q201,Achievements[[#All],[Column116]],0)+10,"")</f>
        <v/>
      </c>
      <c r="AR201" s="134" t="str">
        <f>_xlfn.IFNA(MATCH(R201,Achievements[[#All],[Column117]],0)+10,"")</f>
        <v/>
      </c>
      <c r="AS201" s="134" t="str">
        <f>_xlfn.IFNA(MATCH(S201,Achievements[[#All],[Column117]],0)+10,"")</f>
        <v/>
      </c>
      <c r="AT201" s="134" t="str">
        <f>_xlfn.IFNA(MATCH(T201,Achievements[[#All],[Column118]],0)+10,"")</f>
        <v/>
      </c>
      <c r="AU201" s="134" t="str">
        <f>_xlfn.IFNA(MATCH(U201,Achievements[[#All],[Column118]],0)+10,"")</f>
        <v/>
      </c>
      <c r="AV201" s="134" t="str">
        <f>_xlfn.IFNA(MATCH(V201,Achievements[[#All],[Column119]],0)+10,"")</f>
        <v/>
      </c>
      <c r="AW201" s="134" t="str">
        <f>_xlfn.IFNA(MATCH(W201,Achievements[[#All],[Column119]],0)+10,"")</f>
        <v/>
      </c>
      <c r="AX201" s="134" t="str">
        <f>_xlfn.IFNA(MATCH(X201,Achievements[[#All],[Column120]],0)+10,"")</f>
        <v/>
      </c>
      <c r="AY201" s="134" t="str">
        <f>_xlfn.IFNA(MATCH(Y201,Achievements[[#All],[Column120]],0)+10,"")</f>
        <v/>
      </c>
      <c r="AZ201" s="116" t="e">
        <f t="shared" ca="1" si="4"/>
        <v>#NAME?</v>
      </c>
      <c r="BA201" s="134" t="e" cm="1">
        <f t="array" aca="1" ref="BA201" ca="1">SplitValues("; ",Persons[[#This Row],[Column1]])</f>
        <v>#NAME?</v>
      </c>
      <c r="CA201" s="134" t="e">
        <f ca="1">_xlfn.IFNA(MATCH(BA201,Achievements[[#All],[Column1]],0)+10,"")</f>
        <v>#NAME?</v>
      </c>
      <c r="CB201" s="134" t="str">
        <f>_xlfn.IFNA(MATCH(BB201,Achievements[[#All],[Column1]],0)+10,"")</f>
        <v/>
      </c>
      <c r="CC201" s="134" t="str">
        <f>_xlfn.IFNA(MATCH(BC201,Achievements[[#All],[Column110]],0)+10,"")</f>
        <v/>
      </c>
      <c r="CD201" s="134" t="str">
        <f>_xlfn.IFNA(MATCH(BD201,Achievements[[#All],[Column110]],0)+10,"")</f>
        <v/>
      </c>
      <c r="CE201" s="134" t="str">
        <f>_xlfn.IFNA(MATCH(BE201,Achievements[[#All],[Column111]],0)+10,"")</f>
        <v/>
      </c>
      <c r="CF201" s="134" t="str">
        <f>_xlfn.IFNA(MATCH(BF201,Achievements[[#All],[Column111]],0)+10,"")</f>
        <v/>
      </c>
      <c r="CG201" s="134" t="str">
        <f>_xlfn.IFNA(MATCH(BG201,Achievements[[#All],[Column112]],0)+10,"")</f>
        <v/>
      </c>
      <c r="CH201" s="134" t="str">
        <f>_xlfn.IFNA(MATCH(BH201,Achievements[[#All],[Column112]],0)+10,"")</f>
        <v/>
      </c>
      <c r="CI201" s="134" t="str">
        <f>_xlfn.IFNA(MATCH(BI201,Achievements[[#All],[Column113]],0)+10,"")</f>
        <v/>
      </c>
      <c r="CJ201" s="134" t="str">
        <f>_xlfn.IFNA(MATCH(BJ201,Achievements[[#All],[Column113]],0)+10,"")</f>
        <v/>
      </c>
      <c r="CK201" s="134" t="str">
        <f>_xlfn.IFNA(MATCH(BK201,Achievements[[#All],[Column114]],0)+10,"")</f>
        <v/>
      </c>
      <c r="CL201" s="134" t="str">
        <f>_xlfn.IFNA(MATCH(BL201,Achievements[[#All],[Column114]],0)+10,"")</f>
        <v/>
      </c>
      <c r="CM201" s="134" t="str">
        <f>_xlfn.IFNA(MATCH(BM201,Achievements[[#All],[Column115]],0)+10,"")</f>
        <v/>
      </c>
      <c r="CN201" s="134" t="str">
        <f>_xlfn.IFNA(MATCH(BN201,Achievements[[#All],[Column115]],0)+10,"")</f>
        <v/>
      </c>
      <c r="CO201" s="134" t="str">
        <f>_xlfn.IFNA(MATCH(BO201,Achievements[[#All],[Column116]],0)+10,"")</f>
        <v/>
      </c>
      <c r="CP201" s="134" t="str">
        <f>_xlfn.IFNA(MATCH(BP201,Achievements[[#All],[Column116]],0)+10,"")</f>
        <v/>
      </c>
      <c r="CQ201" s="134" t="str">
        <f>_xlfn.IFNA(MATCH(BQ201,Achievements[[#All],[Column117]],0)+10,"")</f>
        <v/>
      </c>
      <c r="CR201" s="134" t="str">
        <f>_xlfn.IFNA(MATCH(BR201,Achievements[[#All],[Column117]],0)+10,"")</f>
        <v/>
      </c>
      <c r="CS201" s="134" t="str">
        <f>_xlfn.IFNA(MATCH(BS201,Achievements[[#All],[Column118]],0)+10,"")</f>
        <v/>
      </c>
      <c r="CT201" s="134" t="str">
        <f>_xlfn.IFNA(MATCH(BT201,Achievements[[#All],[Column118]],0)+10,"")</f>
        <v/>
      </c>
      <c r="CU201" s="134" t="str">
        <f>_xlfn.IFNA(MATCH(BU201,Achievements[[#All],[Column119]],0)+10,"")</f>
        <v/>
      </c>
      <c r="CV201" s="134" t="str">
        <f>_xlfn.IFNA(MATCH(BV201,Achievements[[#All],[Column119]],0)+10,"")</f>
        <v/>
      </c>
      <c r="CW201" s="134" t="str">
        <f>_xlfn.IFNA(MATCH(BW201,Achievements[[#All],[Column120]],0)+10,"")</f>
        <v/>
      </c>
      <c r="CX201" s="134" t="str">
        <f>_xlfn.IFNA(MATCH(BX201,Achievements[[#All],[Column120]],0)+10,"")</f>
        <v/>
      </c>
      <c r="CY201" s="134" t="str">
        <f>_xlfn.IFNA(MATCH(BY201,Achievements[[#All],[Column121]],0)+10,"")</f>
        <v/>
      </c>
      <c r="CZ201" s="118" t="e">
        <f t="shared" ca="1" si="5"/>
        <v>#NAME?</v>
      </c>
    </row>
    <row r="202" spans="1:104" x14ac:dyDescent="0.25">
      <c r="A202" t="e" cm="1">
        <f t="array" aca="1" ref="A202" ca="1">SplitValues("; ",#REF!)</f>
        <v>#NAME?</v>
      </c>
      <c r="AA202" t="e">
        <f ca="1">_xlfn.IFNA(MATCH(A202,Achievements[[#All],[Column1]],0)+11,"")</f>
        <v>#NAME?</v>
      </c>
      <c r="AB202" s="134" t="str">
        <f>_xlfn.IFNA(MATCH(B202,Achievements[[#All],[Column1]],0)+10,"")</f>
        <v/>
      </c>
      <c r="AC202" s="134" t="str">
        <f>_xlfn.IFNA(MATCH(C202,Achievements[[#All],[Column1]],0)+10,"")</f>
        <v/>
      </c>
      <c r="AD202" s="134" t="str">
        <f>_xlfn.IFNA(MATCH(D202,Achievements[[#All],[Column110]],0)+10,"")</f>
        <v/>
      </c>
      <c r="AE202" s="134" t="str">
        <f>_xlfn.IFNA(MATCH(E202,Achievements[[#All],[Column110]],0)+10,"")</f>
        <v/>
      </c>
      <c r="AF202" s="134" t="str">
        <f>_xlfn.IFNA(MATCH(F202,Achievements[[#All],[Column111]],0)+10,"")</f>
        <v/>
      </c>
      <c r="AG202" s="134" t="str">
        <f>_xlfn.IFNA(MATCH(G202,Achievements[[#All],[Column111]],0)+10,"")</f>
        <v/>
      </c>
      <c r="AH202" s="134" t="str">
        <f>_xlfn.IFNA(MATCH(H202,Achievements[[#All],[Column112]],0)+10,"")</f>
        <v/>
      </c>
      <c r="AI202" s="134" t="str">
        <f>_xlfn.IFNA(MATCH(I202,Achievements[[#All],[Column112]],0)+10,"")</f>
        <v/>
      </c>
      <c r="AJ202" s="134" t="str">
        <f>_xlfn.IFNA(MATCH(J202,Achievements[[#All],[Column113]],0)+10,"")</f>
        <v/>
      </c>
      <c r="AK202" s="134" t="str">
        <f>_xlfn.IFNA(MATCH(K202,Achievements[[#All],[Column113]],0)+10,"")</f>
        <v/>
      </c>
      <c r="AL202" s="134" t="str">
        <f>_xlfn.IFNA(MATCH(L202,Achievements[[#All],[Column114]],0)+10,"")</f>
        <v/>
      </c>
      <c r="AM202" s="134" t="str">
        <f>_xlfn.IFNA(MATCH(M202,Achievements[[#All],[Column114]],0)+10,"")</f>
        <v/>
      </c>
      <c r="AN202" s="134" t="str">
        <f>_xlfn.IFNA(MATCH(N202,Achievements[[#All],[Column115]],0)+10,"")</f>
        <v/>
      </c>
      <c r="AO202" s="134" t="str">
        <f>_xlfn.IFNA(MATCH(O202,Achievements[[#All],[Column115]],0)+10,"")</f>
        <v/>
      </c>
      <c r="AP202" s="134" t="str">
        <f>_xlfn.IFNA(MATCH(P202,Achievements[[#All],[Column116]],0)+10,"")</f>
        <v/>
      </c>
      <c r="AQ202" s="134" t="str">
        <f>_xlfn.IFNA(MATCH(Q202,Achievements[[#All],[Column116]],0)+10,"")</f>
        <v/>
      </c>
      <c r="AR202" s="134" t="str">
        <f>_xlfn.IFNA(MATCH(R202,Achievements[[#All],[Column117]],0)+10,"")</f>
        <v/>
      </c>
      <c r="AS202" s="134" t="str">
        <f>_xlfn.IFNA(MATCH(S202,Achievements[[#All],[Column117]],0)+10,"")</f>
        <v/>
      </c>
      <c r="AT202" s="134" t="str">
        <f>_xlfn.IFNA(MATCH(T202,Achievements[[#All],[Column118]],0)+10,"")</f>
        <v/>
      </c>
      <c r="AU202" s="134" t="str">
        <f>_xlfn.IFNA(MATCH(U202,Achievements[[#All],[Column118]],0)+10,"")</f>
        <v/>
      </c>
      <c r="AV202" s="134" t="str">
        <f>_xlfn.IFNA(MATCH(V202,Achievements[[#All],[Column119]],0)+10,"")</f>
        <v/>
      </c>
      <c r="AW202" s="134" t="str">
        <f>_xlfn.IFNA(MATCH(W202,Achievements[[#All],[Column119]],0)+10,"")</f>
        <v/>
      </c>
      <c r="AX202" s="134" t="str">
        <f>_xlfn.IFNA(MATCH(X202,Achievements[[#All],[Column120]],0)+10,"")</f>
        <v/>
      </c>
      <c r="AY202" s="134" t="str">
        <f>_xlfn.IFNA(MATCH(Y202,Achievements[[#All],[Column120]],0)+10,"")</f>
        <v/>
      </c>
      <c r="AZ202" s="116" t="e">
        <f t="shared" ca="1" si="4"/>
        <v>#NAME?</v>
      </c>
      <c r="BA202" s="134" t="e" cm="1">
        <f t="array" aca="1" ref="BA202" ca="1">SplitValues("; ",Persons[[#This Row],[Column1]])</f>
        <v>#NAME?</v>
      </c>
      <c r="CA202" s="134" t="e">
        <f ca="1">_xlfn.IFNA(MATCH(BA202,Achievements[[#All],[Column1]],0)+10,"")</f>
        <v>#NAME?</v>
      </c>
      <c r="CB202" s="134" t="str">
        <f>_xlfn.IFNA(MATCH(BB202,Achievements[[#All],[Column1]],0)+10,"")</f>
        <v/>
      </c>
      <c r="CC202" s="134" t="str">
        <f>_xlfn.IFNA(MATCH(BC202,Achievements[[#All],[Column110]],0)+10,"")</f>
        <v/>
      </c>
      <c r="CD202" s="134" t="str">
        <f>_xlfn.IFNA(MATCH(BD202,Achievements[[#All],[Column110]],0)+10,"")</f>
        <v/>
      </c>
      <c r="CE202" s="134" t="str">
        <f>_xlfn.IFNA(MATCH(BE202,Achievements[[#All],[Column111]],0)+10,"")</f>
        <v/>
      </c>
      <c r="CF202" s="134" t="str">
        <f>_xlfn.IFNA(MATCH(BF202,Achievements[[#All],[Column111]],0)+10,"")</f>
        <v/>
      </c>
      <c r="CG202" s="134" t="str">
        <f>_xlfn.IFNA(MATCH(BG202,Achievements[[#All],[Column112]],0)+10,"")</f>
        <v/>
      </c>
      <c r="CH202" s="134" t="str">
        <f>_xlfn.IFNA(MATCH(BH202,Achievements[[#All],[Column112]],0)+10,"")</f>
        <v/>
      </c>
      <c r="CI202" s="134" t="str">
        <f>_xlfn.IFNA(MATCH(BI202,Achievements[[#All],[Column113]],0)+10,"")</f>
        <v/>
      </c>
      <c r="CJ202" s="134" t="str">
        <f>_xlfn.IFNA(MATCH(BJ202,Achievements[[#All],[Column113]],0)+10,"")</f>
        <v/>
      </c>
      <c r="CK202" s="134" t="str">
        <f>_xlfn.IFNA(MATCH(BK202,Achievements[[#All],[Column114]],0)+10,"")</f>
        <v/>
      </c>
      <c r="CL202" s="134" t="str">
        <f>_xlfn.IFNA(MATCH(BL202,Achievements[[#All],[Column114]],0)+10,"")</f>
        <v/>
      </c>
      <c r="CM202" s="134" t="str">
        <f>_xlfn.IFNA(MATCH(BM202,Achievements[[#All],[Column115]],0)+10,"")</f>
        <v/>
      </c>
      <c r="CN202" s="134" t="str">
        <f>_xlfn.IFNA(MATCH(BN202,Achievements[[#All],[Column115]],0)+10,"")</f>
        <v/>
      </c>
      <c r="CO202" s="134" t="str">
        <f>_xlfn.IFNA(MATCH(BO202,Achievements[[#All],[Column116]],0)+10,"")</f>
        <v/>
      </c>
      <c r="CP202" s="134" t="str">
        <f>_xlfn.IFNA(MATCH(BP202,Achievements[[#All],[Column116]],0)+10,"")</f>
        <v/>
      </c>
      <c r="CQ202" s="134" t="str">
        <f>_xlfn.IFNA(MATCH(BQ202,Achievements[[#All],[Column117]],0)+10,"")</f>
        <v/>
      </c>
      <c r="CR202" s="134" t="str">
        <f>_xlfn.IFNA(MATCH(BR202,Achievements[[#All],[Column117]],0)+10,"")</f>
        <v/>
      </c>
      <c r="CS202" s="134" t="str">
        <f>_xlfn.IFNA(MATCH(BS202,Achievements[[#All],[Column118]],0)+10,"")</f>
        <v/>
      </c>
      <c r="CT202" s="134" t="str">
        <f>_xlfn.IFNA(MATCH(BT202,Achievements[[#All],[Column118]],0)+10,"")</f>
        <v/>
      </c>
      <c r="CU202" s="134" t="str">
        <f>_xlfn.IFNA(MATCH(BU202,Achievements[[#All],[Column119]],0)+10,"")</f>
        <v/>
      </c>
      <c r="CV202" s="134" t="str">
        <f>_xlfn.IFNA(MATCH(BV202,Achievements[[#All],[Column119]],0)+10,"")</f>
        <v/>
      </c>
      <c r="CW202" s="134" t="str">
        <f>_xlfn.IFNA(MATCH(BW202,Achievements[[#All],[Column120]],0)+10,"")</f>
        <v/>
      </c>
      <c r="CX202" s="134" t="str">
        <f>_xlfn.IFNA(MATCH(BX202,Achievements[[#All],[Column120]],0)+10,"")</f>
        <v/>
      </c>
      <c r="CY202" s="134" t="str">
        <f>_xlfn.IFNA(MATCH(BY202,Achievements[[#All],[Column121]],0)+10,"")</f>
        <v/>
      </c>
      <c r="CZ202" s="118" t="e">
        <f t="shared" ca="1" si="5"/>
        <v>#NAME?</v>
      </c>
    </row>
    <row r="203" spans="1:104" x14ac:dyDescent="0.25">
      <c r="A203" t="e" cm="1">
        <f t="array" aca="1" ref="A203" ca="1">SplitValues("; ",#REF!)</f>
        <v>#NAME?</v>
      </c>
      <c r="AA203" t="e">
        <f ca="1">_xlfn.IFNA(MATCH(A203,Achievements[[#All],[Column1]],0)+11,"")</f>
        <v>#NAME?</v>
      </c>
      <c r="AB203" s="134" t="str">
        <f>_xlfn.IFNA(MATCH(B203,Achievements[[#All],[Column1]],0)+10,"")</f>
        <v/>
      </c>
      <c r="AC203" s="134" t="str">
        <f>_xlfn.IFNA(MATCH(C203,Achievements[[#All],[Column1]],0)+10,"")</f>
        <v/>
      </c>
      <c r="AD203" s="134" t="str">
        <f>_xlfn.IFNA(MATCH(D203,Achievements[[#All],[Column110]],0)+10,"")</f>
        <v/>
      </c>
      <c r="AE203" s="134" t="str">
        <f>_xlfn.IFNA(MATCH(E203,Achievements[[#All],[Column110]],0)+10,"")</f>
        <v/>
      </c>
      <c r="AF203" s="134" t="str">
        <f>_xlfn.IFNA(MATCH(F203,Achievements[[#All],[Column111]],0)+10,"")</f>
        <v/>
      </c>
      <c r="AG203" s="134" t="str">
        <f>_xlfn.IFNA(MATCH(G203,Achievements[[#All],[Column111]],0)+10,"")</f>
        <v/>
      </c>
      <c r="AH203" s="134" t="str">
        <f>_xlfn.IFNA(MATCH(H203,Achievements[[#All],[Column112]],0)+10,"")</f>
        <v/>
      </c>
      <c r="AI203" s="134" t="str">
        <f>_xlfn.IFNA(MATCH(I203,Achievements[[#All],[Column112]],0)+10,"")</f>
        <v/>
      </c>
      <c r="AJ203" s="134" t="str">
        <f>_xlfn.IFNA(MATCH(J203,Achievements[[#All],[Column113]],0)+10,"")</f>
        <v/>
      </c>
      <c r="AK203" s="134" t="str">
        <f>_xlfn.IFNA(MATCH(K203,Achievements[[#All],[Column113]],0)+10,"")</f>
        <v/>
      </c>
      <c r="AL203" s="134" t="str">
        <f>_xlfn.IFNA(MATCH(L203,Achievements[[#All],[Column114]],0)+10,"")</f>
        <v/>
      </c>
      <c r="AM203" s="134" t="str">
        <f>_xlfn.IFNA(MATCH(M203,Achievements[[#All],[Column114]],0)+10,"")</f>
        <v/>
      </c>
      <c r="AN203" s="134" t="str">
        <f>_xlfn.IFNA(MATCH(N203,Achievements[[#All],[Column115]],0)+10,"")</f>
        <v/>
      </c>
      <c r="AO203" s="134" t="str">
        <f>_xlfn.IFNA(MATCH(O203,Achievements[[#All],[Column115]],0)+10,"")</f>
        <v/>
      </c>
      <c r="AP203" s="134" t="str">
        <f>_xlfn.IFNA(MATCH(P203,Achievements[[#All],[Column116]],0)+10,"")</f>
        <v/>
      </c>
      <c r="AQ203" s="134" t="str">
        <f>_xlfn.IFNA(MATCH(Q203,Achievements[[#All],[Column116]],0)+10,"")</f>
        <v/>
      </c>
      <c r="AR203" s="134" t="str">
        <f>_xlfn.IFNA(MATCH(R203,Achievements[[#All],[Column117]],0)+10,"")</f>
        <v/>
      </c>
      <c r="AS203" s="134" t="str">
        <f>_xlfn.IFNA(MATCH(S203,Achievements[[#All],[Column117]],0)+10,"")</f>
        <v/>
      </c>
      <c r="AT203" s="134" t="str">
        <f>_xlfn.IFNA(MATCH(T203,Achievements[[#All],[Column118]],0)+10,"")</f>
        <v/>
      </c>
      <c r="AU203" s="134" t="str">
        <f>_xlfn.IFNA(MATCH(U203,Achievements[[#All],[Column118]],0)+10,"")</f>
        <v/>
      </c>
      <c r="AV203" s="134" t="str">
        <f>_xlfn.IFNA(MATCH(V203,Achievements[[#All],[Column119]],0)+10,"")</f>
        <v/>
      </c>
      <c r="AW203" s="134" t="str">
        <f>_xlfn.IFNA(MATCH(W203,Achievements[[#All],[Column119]],0)+10,"")</f>
        <v/>
      </c>
      <c r="AX203" s="134" t="str">
        <f>_xlfn.IFNA(MATCH(X203,Achievements[[#All],[Column120]],0)+10,"")</f>
        <v/>
      </c>
      <c r="AY203" s="134" t="str">
        <f>_xlfn.IFNA(MATCH(Y203,Achievements[[#All],[Column120]],0)+10,"")</f>
        <v/>
      </c>
      <c r="AZ203" s="116" t="e">
        <f t="shared" ca="1" si="4"/>
        <v>#NAME?</v>
      </c>
      <c r="BA203" s="134" t="e" cm="1">
        <f t="array" aca="1" ref="BA203" ca="1">SplitValues("; ",Persons[[#This Row],[Column1]])</f>
        <v>#NAME?</v>
      </c>
      <c r="CA203" s="134" t="e">
        <f ca="1">_xlfn.IFNA(MATCH(BA203,Achievements[[#All],[Column1]],0)+10,"")</f>
        <v>#NAME?</v>
      </c>
      <c r="CB203" s="134" t="str">
        <f>_xlfn.IFNA(MATCH(BB203,Achievements[[#All],[Column1]],0)+10,"")</f>
        <v/>
      </c>
      <c r="CC203" s="134" t="str">
        <f>_xlfn.IFNA(MATCH(BC203,Achievements[[#All],[Column110]],0)+10,"")</f>
        <v/>
      </c>
      <c r="CD203" s="134" t="str">
        <f>_xlfn.IFNA(MATCH(BD203,Achievements[[#All],[Column110]],0)+10,"")</f>
        <v/>
      </c>
      <c r="CE203" s="134" t="str">
        <f>_xlfn.IFNA(MATCH(BE203,Achievements[[#All],[Column111]],0)+10,"")</f>
        <v/>
      </c>
      <c r="CF203" s="134" t="str">
        <f>_xlfn.IFNA(MATCH(BF203,Achievements[[#All],[Column111]],0)+10,"")</f>
        <v/>
      </c>
      <c r="CG203" s="134" t="str">
        <f>_xlfn.IFNA(MATCH(BG203,Achievements[[#All],[Column112]],0)+10,"")</f>
        <v/>
      </c>
      <c r="CH203" s="134" t="str">
        <f>_xlfn.IFNA(MATCH(BH203,Achievements[[#All],[Column112]],0)+10,"")</f>
        <v/>
      </c>
      <c r="CI203" s="134" t="str">
        <f>_xlfn.IFNA(MATCH(BI203,Achievements[[#All],[Column113]],0)+10,"")</f>
        <v/>
      </c>
      <c r="CJ203" s="134" t="str">
        <f>_xlfn.IFNA(MATCH(BJ203,Achievements[[#All],[Column113]],0)+10,"")</f>
        <v/>
      </c>
      <c r="CK203" s="134" t="str">
        <f>_xlfn.IFNA(MATCH(BK203,Achievements[[#All],[Column114]],0)+10,"")</f>
        <v/>
      </c>
      <c r="CL203" s="134" t="str">
        <f>_xlfn.IFNA(MATCH(BL203,Achievements[[#All],[Column114]],0)+10,"")</f>
        <v/>
      </c>
      <c r="CM203" s="134" t="str">
        <f>_xlfn.IFNA(MATCH(BM203,Achievements[[#All],[Column115]],0)+10,"")</f>
        <v/>
      </c>
      <c r="CN203" s="134" t="str">
        <f>_xlfn.IFNA(MATCH(BN203,Achievements[[#All],[Column115]],0)+10,"")</f>
        <v/>
      </c>
      <c r="CO203" s="134" t="str">
        <f>_xlfn.IFNA(MATCH(BO203,Achievements[[#All],[Column116]],0)+10,"")</f>
        <v/>
      </c>
      <c r="CP203" s="134" t="str">
        <f>_xlfn.IFNA(MATCH(BP203,Achievements[[#All],[Column116]],0)+10,"")</f>
        <v/>
      </c>
      <c r="CQ203" s="134" t="str">
        <f>_xlfn.IFNA(MATCH(BQ203,Achievements[[#All],[Column117]],0)+10,"")</f>
        <v/>
      </c>
      <c r="CR203" s="134" t="str">
        <f>_xlfn.IFNA(MATCH(BR203,Achievements[[#All],[Column117]],0)+10,"")</f>
        <v/>
      </c>
      <c r="CS203" s="134" t="str">
        <f>_xlfn.IFNA(MATCH(BS203,Achievements[[#All],[Column118]],0)+10,"")</f>
        <v/>
      </c>
      <c r="CT203" s="134" t="str">
        <f>_xlfn.IFNA(MATCH(BT203,Achievements[[#All],[Column118]],0)+10,"")</f>
        <v/>
      </c>
      <c r="CU203" s="134" t="str">
        <f>_xlfn.IFNA(MATCH(BU203,Achievements[[#All],[Column119]],0)+10,"")</f>
        <v/>
      </c>
      <c r="CV203" s="134" t="str">
        <f>_xlfn.IFNA(MATCH(BV203,Achievements[[#All],[Column119]],0)+10,"")</f>
        <v/>
      </c>
      <c r="CW203" s="134" t="str">
        <f>_xlfn.IFNA(MATCH(BW203,Achievements[[#All],[Column120]],0)+10,"")</f>
        <v/>
      </c>
      <c r="CX203" s="134" t="str">
        <f>_xlfn.IFNA(MATCH(BX203,Achievements[[#All],[Column120]],0)+10,"")</f>
        <v/>
      </c>
      <c r="CY203" s="134" t="str">
        <f>_xlfn.IFNA(MATCH(BY203,Achievements[[#All],[Column121]],0)+10,"")</f>
        <v/>
      </c>
      <c r="CZ203" s="118" t="e">
        <f t="shared" ca="1" si="5"/>
        <v>#NAME?</v>
      </c>
    </row>
    <row r="204" spans="1:104" x14ac:dyDescent="0.25">
      <c r="A204" t="e" cm="1">
        <f t="array" aca="1" ref="A204" ca="1">SplitValues("; ",#REF!)</f>
        <v>#NAME?</v>
      </c>
      <c r="AA204" t="e">
        <f ca="1">_xlfn.IFNA(MATCH(A204,Achievements[[#All],[Column1]],0)+11,"")</f>
        <v>#NAME?</v>
      </c>
      <c r="AB204" s="134" t="str">
        <f>_xlfn.IFNA(MATCH(B204,Achievements[[#All],[Column1]],0)+10,"")</f>
        <v/>
      </c>
      <c r="AC204" s="134" t="str">
        <f>_xlfn.IFNA(MATCH(C204,Achievements[[#All],[Column1]],0)+10,"")</f>
        <v/>
      </c>
      <c r="AD204" s="134" t="str">
        <f>_xlfn.IFNA(MATCH(D204,Achievements[[#All],[Column110]],0)+10,"")</f>
        <v/>
      </c>
      <c r="AE204" s="134" t="str">
        <f>_xlfn.IFNA(MATCH(E204,Achievements[[#All],[Column110]],0)+10,"")</f>
        <v/>
      </c>
      <c r="AF204" s="134" t="str">
        <f>_xlfn.IFNA(MATCH(F204,Achievements[[#All],[Column111]],0)+10,"")</f>
        <v/>
      </c>
      <c r="AG204" s="134" t="str">
        <f>_xlfn.IFNA(MATCH(G204,Achievements[[#All],[Column111]],0)+10,"")</f>
        <v/>
      </c>
      <c r="AH204" s="134" t="str">
        <f>_xlfn.IFNA(MATCH(H204,Achievements[[#All],[Column112]],0)+10,"")</f>
        <v/>
      </c>
      <c r="AI204" s="134" t="str">
        <f>_xlfn.IFNA(MATCH(I204,Achievements[[#All],[Column112]],0)+10,"")</f>
        <v/>
      </c>
      <c r="AJ204" s="134" t="str">
        <f>_xlfn.IFNA(MATCH(J204,Achievements[[#All],[Column113]],0)+10,"")</f>
        <v/>
      </c>
      <c r="AK204" s="134" t="str">
        <f>_xlfn.IFNA(MATCH(K204,Achievements[[#All],[Column113]],0)+10,"")</f>
        <v/>
      </c>
      <c r="AL204" s="134" t="str">
        <f>_xlfn.IFNA(MATCH(L204,Achievements[[#All],[Column114]],0)+10,"")</f>
        <v/>
      </c>
      <c r="AM204" s="134" t="str">
        <f>_xlfn.IFNA(MATCH(M204,Achievements[[#All],[Column114]],0)+10,"")</f>
        <v/>
      </c>
      <c r="AN204" s="134" t="str">
        <f>_xlfn.IFNA(MATCH(N204,Achievements[[#All],[Column115]],0)+10,"")</f>
        <v/>
      </c>
      <c r="AO204" s="134" t="str">
        <f>_xlfn.IFNA(MATCH(O204,Achievements[[#All],[Column115]],0)+10,"")</f>
        <v/>
      </c>
      <c r="AP204" s="134" t="str">
        <f>_xlfn.IFNA(MATCH(P204,Achievements[[#All],[Column116]],0)+10,"")</f>
        <v/>
      </c>
      <c r="AQ204" s="134" t="str">
        <f>_xlfn.IFNA(MATCH(Q204,Achievements[[#All],[Column116]],0)+10,"")</f>
        <v/>
      </c>
      <c r="AR204" s="134" t="str">
        <f>_xlfn.IFNA(MATCH(R204,Achievements[[#All],[Column117]],0)+10,"")</f>
        <v/>
      </c>
      <c r="AS204" s="134" t="str">
        <f>_xlfn.IFNA(MATCH(S204,Achievements[[#All],[Column117]],0)+10,"")</f>
        <v/>
      </c>
      <c r="AT204" s="134" t="str">
        <f>_xlfn.IFNA(MATCH(T204,Achievements[[#All],[Column118]],0)+10,"")</f>
        <v/>
      </c>
      <c r="AU204" s="134" t="str">
        <f>_xlfn.IFNA(MATCH(U204,Achievements[[#All],[Column118]],0)+10,"")</f>
        <v/>
      </c>
      <c r="AV204" s="134" t="str">
        <f>_xlfn.IFNA(MATCH(V204,Achievements[[#All],[Column119]],0)+10,"")</f>
        <v/>
      </c>
      <c r="AW204" s="134" t="str">
        <f>_xlfn.IFNA(MATCH(W204,Achievements[[#All],[Column119]],0)+10,"")</f>
        <v/>
      </c>
      <c r="AX204" s="134" t="str">
        <f>_xlfn.IFNA(MATCH(X204,Achievements[[#All],[Column120]],0)+10,"")</f>
        <v/>
      </c>
      <c r="AY204" s="134" t="str">
        <f>_xlfn.IFNA(MATCH(Y204,Achievements[[#All],[Column120]],0)+10,"")</f>
        <v/>
      </c>
      <c r="AZ204" s="116" t="e">
        <f t="shared" ca="1" si="4"/>
        <v>#NAME?</v>
      </c>
      <c r="BA204" s="134" t="e" cm="1">
        <f t="array" aca="1" ref="BA204" ca="1">SplitValues("; ",Persons[[#This Row],[Column1]])</f>
        <v>#NAME?</v>
      </c>
      <c r="CA204" s="134" t="e">
        <f ca="1">_xlfn.IFNA(MATCH(BA204,Achievements[[#All],[Column1]],0)+10,"")</f>
        <v>#NAME?</v>
      </c>
      <c r="CB204" s="134" t="str">
        <f>_xlfn.IFNA(MATCH(BB204,Achievements[[#All],[Column1]],0)+10,"")</f>
        <v/>
      </c>
      <c r="CC204" s="134" t="str">
        <f>_xlfn.IFNA(MATCH(BC204,Achievements[[#All],[Column110]],0)+10,"")</f>
        <v/>
      </c>
      <c r="CD204" s="134" t="str">
        <f>_xlfn.IFNA(MATCH(BD204,Achievements[[#All],[Column110]],0)+10,"")</f>
        <v/>
      </c>
      <c r="CE204" s="134" t="str">
        <f>_xlfn.IFNA(MATCH(BE204,Achievements[[#All],[Column111]],0)+10,"")</f>
        <v/>
      </c>
      <c r="CF204" s="134" t="str">
        <f>_xlfn.IFNA(MATCH(BF204,Achievements[[#All],[Column111]],0)+10,"")</f>
        <v/>
      </c>
      <c r="CG204" s="134" t="str">
        <f>_xlfn.IFNA(MATCH(BG204,Achievements[[#All],[Column112]],0)+10,"")</f>
        <v/>
      </c>
      <c r="CH204" s="134" t="str">
        <f>_xlfn.IFNA(MATCH(BH204,Achievements[[#All],[Column112]],0)+10,"")</f>
        <v/>
      </c>
      <c r="CI204" s="134" t="str">
        <f>_xlfn.IFNA(MATCH(BI204,Achievements[[#All],[Column113]],0)+10,"")</f>
        <v/>
      </c>
      <c r="CJ204" s="134" t="str">
        <f>_xlfn.IFNA(MATCH(BJ204,Achievements[[#All],[Column113]],0)+10,"")</f>
        <v/>
      </c>
      <c r="CK204" s="134" t="str">
        <f>_xlfn.IFNA(MATCH(BK204,Achievements[[#All],[Column114]],0)+10,"")</f>
        <v/>
      </c>
      <c r="CL204" s="134" t="str">
        <f>_xlfn.IFNA(MATCH(BL204,Achievements[[#All],[Column114]],0)+10,"")</f>
        <v/>
      </c>
      <c r="CM204" s="134" t="str">
        <f>_xlfn.IFNA(MATCH(BM204,Achievements[[#All],[Column115]],0)+10,"")</f>
        <v/>
      </c>
      <c r="CN204" s="134" t="str">
        <f>_xlfn.IFNA(MATCH(BN204,Achievements[[#All],[Column115]],0)+10,"")</f>
        <v/>
      </c>
      <c r="CO204" s="134" t="str">
        <f>_xlfn.IFNA(MATCH(BO204,Achievements[[#All],[Column116]],0)+10,"")</f>
        <v/>
      </c>
      <c r="CP204" s="134" t="str">
        <f>_xlfn.IFNA(MATCH(BP204,Achievements[[#All],[Column116]],0)+10,"")</f>
        <v/>
      </c>
      <c r="CQ204" s="134" t="str">
        <f>_xlfn.IFNA(MATCH(BQ204,Achievements[[#All],[Column117]],0)+10,"")</f>
        <v/>
      </c>
      <c r="CR204" s="134" t="str">
        <f>_xlfn.IFNA(MATCH(BR204,Achievements[[#All],[Column117]],0)+10,"")</f>
        <v/>
      </c>
      <c r="CS204" s="134" t="str">
        <f>_xlfn.IFNA(MATCH(BS204,Achievements[[#All],[Column118]],0)+10,"")</f>
        <v/>
      </c>
      <c r="CT204" s="134" t="str">
        <f>_xlfn.IFNA(MATCH(BT204,Achievements[[#All],[Column118]],0)+10,"")</f>
        <v/>
      </c>
      <c r="CU204" s="134" t="str">
        <f>_xlfn.IFNA(MATCH(BU204,Achievements[[#All],[Column119]],0)+10,"")</f>
        <v/>
      </c>
      <c r="CV204" s="134" t="str">
        <f>_xlfn.IFNA(MATCH(BV204,Achievements[[#All],[Column119]],0)+10,"")</f>
        <v/>
      </c>
      <c r="CW204" s="134" t="str">
        <f>_xlfn.IFNA(MATCH(BW204,Achievements[[#All],[Column120]],0)+10,"")</f>
        <v/>
      </c>
      <c r="CX204" s="134" t="str">
        <f>_xlfn.IFNA(MATCH(BX204,Achievements[[#All],[Column120]],0)+10,"")</f>
        <v/>
      </c>
      <c r="CY204" s="134" t="str">
        <f>_xlfn.IFNA(MATCH(BY204,Achievements[[#All],[Column121]],0)+10,"")</f>
        <v/>
      </c>
      <c r="CZ204" s="118" t="e">
        <f t="shared" ca="1" si="5"/>
        <v>#NAME?</v>
      </c>
    </row>
    <row r="205" spans="1:104" x14ac:dyDescent="0.25">
      <c r="A205" t="e" cm="1">
        <f t="array" aca="1" ref="A205" ca="1">SplitValues("; ",#REF!)</f>
        <v>#NAME?</v>
      </c>
      <c r="AA205" t="e">
        <f ca="1">_xlfn.IFNA(MATCH(A205,Achievements[[#All],[Column1]],0)+11,"")</f>
        <v>#NAME?</v>
      </c>
      <c r="AB205" s="134" t="str">
        <f>_xlfn.IFNA(MATCH(B205,Achievements[[#All],[Column1]],0)+10,"")</f>
        <v/>
      </c>
      <c r="AC205" s="134" t="str">
        <f>_xlfn.IFNA(MATCH(C205,Achievements[[#All],[Column1]],0)+10,"")</f>
        <v/>
      </c>
      <c r="AD205" s="134" t="str">
        <f>_xlfn.IFNA(MATCH(D205,Achievements[[#All],[Column110]],0)+10,"")</f>
        <v/>
      </c>
      <c r="AE205" s="134" t="str">
        <f>_xlfn.IFNA(MATCH(E205,Achievements[[#All],[Column110]],0)+10,"")</f>
        <v/>
      </c>
      <c r="AF205" s="134" t="str">
        <f>_xlfn.IFNA(MATCH(F205,Achievements[[#All],[Column111]],0)+10,"")</f>
        <v/>
      </c>
      <c r="AG205" s="134" t="str">
        <f>_xlfn.IFNA(MATCH(G205,Achievements[[#All],[Column111]],0)+10,"")</f>
        <v/>
      </c>
      <c r="AH205" s="134" t="str">
        <f>_xlfn.IFNA(MATCH(H205,Achievements[[#All],[Column112]],0)+10,"")</f>
        <v/>
      </c>
      <c r="AI205" s="134" t="str">
        <f>_xlfn.IFNA(MATCH(I205,Achievements[[#All],[Column112]],0)+10,"")</f>
        <v/>
      </c>
      <c r="AJ205" s="134" t="str">
        <f>_xlfn.IFNA(MATCH(J205,Achievements[[#All],[Column113]],0)+10,"")</f>
        <v/>
      </c>
      <c r="AK205" s="134" t="str">
        <f>_xlfn.IFNA(MATCH(K205,Achievements[[#All],[Column113]],0)+10,"")</f>
        <v/>
      </c>
      <c r="AL205" s="134" t="str">
        <f>_xlfn.IFNA(MATCH(L205,Achievements[[#All],[Column114]],0)+10,"")</f>
        <v/>
      </c>
      <c r="AM205" s="134" t="str">
        <f>_xlfn.IFNA(MATCH(M205,Achievements[[#All],[Column114]],0)+10,"")</f>
        <v/>
      </c>
      <c r="AN205" s="134" t="str">
        <f>_xlfn.IFNA(MATCH(N205,Achievements[[#All],[Column115]],0)+10,"")</f>
        <v/>
      </c>
      <c r="AO205" s="134" t="str">
        <f>_xlfn.IFNA(MATCH(O205,Achievements[[#All],[Column115]],0)+10,"")</f>
        <v/>
      </c>
      <c r="AP205" s="134" t="str">
        <f>_xlfn.IFNA(MATCH(P205,Achievements[[#All],[Column116]],0)+10,"")</f>
        <v/>
      </c>
      <c r="AQ205" s="134" t="str">
        <f>_xlfn.IFNA(MATCH(Q205,Achievements[[#All],[Column116]],0)+10,"")</f>
        <v/>
      </c>
      <c r="AR205" s="134" t="str">
        <f>_xlfn.IFNA(MATCH(R205,Achievements[[#All],[Column117]],0)+10,"")</f>
        <v/>
      </c>
      <c r="AS205" s="134" t="str">
        <f>_xlfn.IFNA(MATCH(S205,Achievements[[#All],[Column117]],0)+10,"")</f>
        <v/>
      </c>
      <c r="AT205" s="134" t="str">
        <f>_xlfn.IFNA(MATCH(T205,Achievements[[#All],[Column118]],0)+10,"")</f>
        <v/>
      </c>
      <c r="AU205" s="134" t="str">
        <f>_xlfn.IFNA(MATCH(U205,Achievements[[#All],[Column118]],0)+10,"")</f>
        <v/>
      </c>
      <c r="AV205" s="134" t="str">
        <f>_xlfn.IFNA(MATCH(V205,Achievements[[#All],[Column119]],0)+10,"")</f>
        <v/>
      </c>
      <c r="AW205" s="134" t="str">
        <f>_xlfn.IFNA(MATCH(W205,Achievements[[#All],[Column119]],0)+10,"")</f>
        <v/>
      </c>
      <c r="AX205" s="134" t="str">
        <f>_xlfn.IFNA(MATCH(X205,Achievements[[#All],[Column120]],0)+10,"")</f>
        <v/>
      </c>
      <c r="AY205" s="134" t="str">
        <f>_xlfn.IFNA(MATCH(Y205,Achievements[[#All],[Column120]],0)+10,"")</f>
        <v/>
      </c>
      <c r="AZ205" s="116" t="e">
        <f t="shared" ref="AZ205:AZ268" ca="1" si="6">SUBSTITUTE(TRIM(AA205&amp;" "&amp;AB205&amp;" "&amp;AC205&amp;" "&amp;AD205&amp;" "&amp;AE205&amp;" "&amp;AF205&amp;" "&amp;AG205&amp;" "&amp;AH205&amp;" "&amp;AI205&amp;" "&amp;AJ205&amp;" "&amp;AK205&amp;" "&amp;AL205&amp;" "&amp;AM205&amp;" "&amp;AN205&amp;" "&amp;AO205&amp;" "&amp;AP205&amp;" "&amp;AQ205&amp;" "&amp;AR205&amp;" "&amp;AS205&amp;" "&amp;AT205&amp;" "&amp;AU205&amp;" "&amp;AV205&amp;" "&amp;AW205&amp;" "&amp;AX205&amp;" "&amp;AY205)," ",", ")</f>
        <v>#NAME?</v>
      </c>
      <c r="BA205" s="134" t="e" cm="1">
        <f t="array" aca="1" ref="BA205" ca="1">SplitValues("; ",Persons[[#This Row],[Column1]])</f>
        <v>#NAME?</v>
      </c>
      <c r="CA205" s="134" t="e">
        <f ca="1">_xlfn.IFNA(MATCH(BA205,Achievements[[#All],[Column1]],0)+10,"")</f>
        <v>#NAME?</v>
      </c>
      <c r="CB205" s="134" t="str">
        <f>_xlfn.IFNA(MATCH(BB205,Achievements[[#All],[Column1]],0)+10,"")</f>
        <v/>
      </c>
      <c r="CC205" s="134" t="str">
        <f>_xlfn.IFNA(MATCH(BC205,Achievements[[#All],[Column110]],0)+10,"")</f>
        <v/>
      </c>
      <c r="CD205" s="134" t="str">
        <f>_xlfn.IFNA(MATCH(BD205,Achievements[[#All],[Column110]],0)+10,"")</f>
        <v/>
      </c>
      <c r="CE205" s="134" t="str">
        <f>_xlfn.IFNA(MATCH(BE205,Achievements[[#All],[Column111]],0)+10,"")</f>
        <v/>
      </c>
      <c r="CF205" s="134" t="str">
        <f>_xlfn.IFNA(MATCH(BF205,Achievements[[#All],[Column111]],0)+10,"")</f>
        <v/>
      </c>
      <c r="CG205" s="134" t="str">
        <f>_xlfn.IFNA(MATCH(BG205,Achievements[[#All],[Column112]],0)+10,"")</f>
        <v/>
      </c>
      <c r="CH205" s="134" t="str">
        <f>_xlfn.IFNA(MATCH(BH205,Achievements[[#All],[Column112]],0)+10,"")</f>
        <v/>
      </c>
      <c r="CI205" s="134" t="str">
        <f>_xlfn.IFNA(MATCH(BI205,Achievements[[#All],[Column113]],0)+10,"")</f>
        <v/>
      </c>
      <c r="CJ205" s="134" t="str">
        <f>_xlfn.IFNA(MATCH(BJ205,Achievements[[#All],[Column113]],0)+10,"")</f>
        <v/>
      </c>
      <c r="CK205" s="134" t="str">
        <f>_xlfn.IFNA(MATCH(BK205,Achievements[[#All],[Column114]],0)+10,"")</f>
        <v/>
      </c>
      <c r="CL205" s="134" t="str">
        <f>_xlfn.IFNA(MATCH(BL205,Achievements[[#All],[Column114]],0)+10,"")</f>
        <v/>
      </c>
      <c r="CM205" s="134" t="str">
        <f>_xlfn.IFNA(MATCH(BM205,Achievements[[#All],[Column115]],0)+10,"")</f>
        <v/>
      </c>
      <c r="CN205" s="134" t="str">
        <f>_xlfn.IFNA(MATCH(BN205,Achievements[[#All],[Column115]],0)+10,"")</f>
        <v/>
      </c>
      <c r="CO205" s="134" t="str">
        <f>_xlfn.IFNA(MATCH(BO205,Achievements[[#All],[Column116]],0)+10,"")</f>
        <v/>
      </c>
      <c r="CP205" s="134" t="str">
        <f>_xlfn.IFNA(MATCH(BP205,Achievements[[#All],[Column116]],0)+10,"")</f>
        <v/>
      </c>
      <c r="CQ205" s="134" t="str">
        <f>_xlfn.IFNA(MATCH(BQ205,Achievements[[#All],[Column117]],0)+10,"")</f>
        <v/>
      </c>
      <c r="CR205" s="134" t="str">
        <f>_xlfn.IFNA(MATCH(BR205,Achievements[[#All],[Column117]],0)+10,"")</f>
        <v/>
      </c>
      <c r="CS205" s="134" t="str">
        <f>_xlfn.IFNA(MATCH(BS205,Achievements[[#All],[Column118]],0)+10,"")</f>
        <v/>
      </c>
      <c r="CT205" s="134" t="str">
        <f>_xlfn.IFNA(MATCH(BT205,Achievements[[#All],[Column118]],0)+10,"")</f>
        <v/>
      </c>
      <c r="CU205" s="134" t="str">
        <f>_xlfn.IFNA(MATCH(BU205,Achievements[[#All],[Column119]],0)+10,"")</f>
        <v/>
      </c>
      <c r="CV205" s="134" t="str">
        <f>_xlfn.IFNA(MATCH(BV205,Achievements[[#All],[Column119]],0)+10,"")</f>
        <v/>
      </c>
      <c r="CW205" s="134" t="str">
        <f>_xlfn.IFNA(MATCH(BW205,Achievements[[#All],[Column120]],0)+10,"")</f>
        <v/>
      </c>
      <c r="CX205" s="134" t="str">
        <f>_xlfn.IFNA(MATCH(BX205,Achievements[[#All],[Column120]],0)+10,"")</f>
        <v/>
      </c>
      <c r="CY205" s="134" t="str">
        <f>_xlfn.IFNA(MATCH(BY205,Achievements[[#All],[Column121]],0)+10,"")</f>
        <v/>
      </c>
      <c r="CZ205" s="118" t="e">
        <f t="shared" ref="CZ205:CZ268" ca="1" si="7">SUBSTITUTE(TRIM(CA205&amp;" "&amp;CB205&amp;" "&amp;CC205&amp;" "&amp;CD205&amp;" "&amp;CE205&amp;" "&amp;CF205&amp;" "&amp;CG205&amp;" "&amp;CH205&amp;" "&amp;CI205&amp;" "&amp;CJ205&amp;" "&amp;CK205&amp;" "&amp;CL205&amp;" "&amp;CM205&amp;" "&amp;CN205&amp;" "&amp;CO205&amp;" "&amp;CP205&amp;" "&amp;CQ205&amp;" "&amp;CR205&amp;" "&amp;CS205&amp;" "&amp;CT205&amp;" "&amp;CU205&amp;" "&amp;CV205&amp;" "&amp;CW205&amp;" "&amp;CX205&amp;" "&amp;CY205)," ",", ")</f>
        <v>#NAME?</v>
      </c>
    </row>
    <row r="206" spans="1:104" x14ac:dyDescent="0.25">
      <c r="A206" t="e" cm="1">
        <f t="array" aca="1" ref="A206" ca="1">SplitValues("; ",#REF!)</f>
        <v>#NAME?</v>
      </c>
      <c r="AA206" t="e">
        <f ca="1">_xlfn.IFNA(MATCH(A206,Achievements[[#All],[Column1]],0)+11,"")</f>
        <v>#NAME?</v>
      </c>
      <c r="AB206" s="134" t="str">
        <f>_xlfn.IFNA(MATCH(B206,Achievements[[#All],[Column1]],0)+10,"")</f>
        <v/>
      </c>
      <c r="AC206" s="134" t="str">
        <f>_xlfn.IFNA(MATCH(C206,Achievements[[#All],[Column1]],0)+10,"")</f>
        <v/>
      </c>
      <c r="AD206" s="134" t="str">
        <f>_xlfn.IFNA(MATCH(D206,Achievements[[#All],[Column110]],0)+10,"")</f>
        <v/>
      </c>
      <c r="AE206" s="134" t="str">
        <f>_xlfn.IFNA(MATCH(E206,Achievements[[#All],[Column110]],0)+10,"")</f>
        <v/>
      </c>
      <c r="AF206" s="134" t="str">
        <f>_xlfn.IFNA(MATCH(F206,Achievements[[#All],[Column111]],0)+10,"")</f>
        <v/>
      </c>
      <c r="AG206" s="134" t="str">
        <f>_xlfn.IFNA(MATCH(G206,Achievements[[#All],[Column111]],0)+10,"")</f>
        <v/>
      </c>
      <c r="AH206" s="134" t="str">
        <f>_xlfn.IFNA(MATCH(H206,Achievements[[#All],[Column112]],0)+10,"")</f>
        <v/>
      </c>
      <c r="AI206" s="134" t="str">
        <f>_xlfn.IFNA(MATCH(I206,Achievements[[#All],[Column112]],0)+10,"")</f>
        <v/>
      </c>
      <c r="AJ206" s="134" t="str">
        <f>_xlfn.IFNA(MATCH(J206,Achievements[[#All],[Column113]],0)+10,"")</f>
        <v/>
      </c>
      <c r="AK206" s="134" t="str">
        <f>_xlfn.IFNA(MATCH(K206,Achievements[[#All],[Column113]],0)+10,"")</f>
        <v/>
      </c>
      <c r="AL206" s="134" t="str">
        <f>_xlfn.IFNA(MATCH(L206,Achievements[[#All],[Column114]],0)+10,"")</f>
        <v/>
      </c>
      <c r="AM206" s="134" t="str">
        <f>_xlfn.IFNA(MATCH(M206,Achievements[[#All],[Column114]],0)+10,"")</f>
        <v/>
      </c>
      <c r="AN206" s="134" t="str">
        <f>_xlfn.IFNA(MATCH(N206,Achievements[[#All],[Column115]],0)+10,"")</f>
        <v/>
      </c>
      <c r="AO206" s="134" t="str">
        <f>_xlfn.IFNA(MATCH(O206,Achievements[[#All],[Column115]],0)+10,"")</f>
        <v/>
      </c>
      <c r="AP206" s="134" t="str">
        <f>_xlfn.IFNA(MATCH(P206,Achievements[[#All],[Column116]],0)+10,"")</f>
        <v/>
      </c>
      <c r="AQ206" s="134" t="str">
        <f>_xlfn.IFNA(MATCH(Q206,Achievements[[#All],[Column116]],0)+10,"")</f>
        <v/>
      </c>
      <c r="AR206" s="134" t="str">
        <f>_xlfn.IFNA(MATCH(R206,Achievements[[#All],[Column117]],0)+10,"")</f>
        <v/>
      </c>
      <c r="AS206" s="134" t="str">
        <f>_xlfn.IFNA(MATCH(S206,Achievements[[#All],[Column117]],0)+10,"")</f>
        <v/>
      </c>
      <c r="AT206" s="134" t="str">
        <f>_xlfn.IFNA(MATCH(T206,Achievements[[#All],[Column118]],0)+10,"")</f>
        <v/>
      </c>
      <c r="AU206" s="134" t="str">
        <f>_xlfn.IFNA(MATCH(U206,Achievements[[#All],[Column118]],0)+10,"")</f>
        <v/>
      </c>
      <c r="AV206" s="134" t="str">
        <f>_xlfn.IFNA(MATCH(V206,Achievements[[#All],[Column119]],0)+10,"")</f>
        <v/>
      </c>
      <c r="AW206" s="134" t="str">
        <f>_xlfn.IFNA(MATCH(W206,Achievements[[#All],[Column119]],0)+10,"")</f>
        <v/>
      </c>
      <c r="AX206" s="134" t="str">
        <f>_xlfn.IFNA(MATCH(X206,Achievements[[#All],[Column120]],0)+10,"")</f>
        <v/>
      </c>
      <c r="AY206" s="134" t="str">
        <f>_xlfn.IFNA(MATCH(Y206,Achievements[[#All],[Column120]],0)+10,"")</f>
        <v/>
      </c>
      <c r="AZ206" s="116" t="e">
        <f t="shared" ca="1" si="6"/>
        <v>#NAME?</v>
      </c>
      <c r="BA206" s="134" t="e" cm="1">
        <f t="array" aca="1" ref="BA206" ca="1">SplitValues("; ",Persons[[#This Row],[Column1]])</f>
        <v>#NAME?</v>
      </c>
      <c r="CA206" s="134" t="e">
        <f ca="1">_xlfn.IFNA(MATCH(BA206,Achievements[[#All],[Column1]],0)+10,"")</f>
        <v>#NAME?</v>
      </c>
      <c r="CB206" s="134" t="str">
        <f>_xlfn.IFNA(MATCH(BB206,Achievements[[#All],[Column1]],0)+10,"")</f>
        <v/>
      </c>
      <c r="CC206" s="134" t="str">
        <f>_xlfn.IFNA(MATCH(BC206,Achievements[[#All],[Column110]],0)+10,"")</f>
        <v/>
      </c>
      <c r="CD206" s="134" t="str">
        <f>_xlfn.IFNA(MATCH(BD206,Achievements[[#All],[Column110]],0)+10,"")</f>
        <v/>
      </c>
      <c r="CE206" s="134" t="str">
        <f>_xlfn.IFNA(MATCH(BE206,Achievements[[#All],[Column111]],0)+10,"")</f>
        <v/>
      </c>
      <c r="CF206" s="134" t="str">
        <f>_xlfn.IFNA(MATCH(BF206,Achievements[[#All],[Column111]],0)+10,"")</f>
        <v/>
      </c>
      <c r="CG206" s="134" t="str">
        <f>_xlfn.IFNA(MATCH(BG206,Achievements[[#All],[Column112]],0)+10,"")</f>
        <v/>
      </c>
      <c r="CH206" s="134" t="str">
        <f>_xlfn.IFNA(MATCH(BH206,Achievements[[#All],[Column112]],0)+10,"")</f>
        <v/>
      </c>
      <c r="CI206" s="134" t="str">
        <f>_xlfn.IFNA(MATCH(BI206,Achievements[[#All],[Column113]],0)+10,"")</f>
        <v/>
      </c>
      <c r="CJ206" s="134" t="str">
        <f>_xlfn.IFNA(MATCH(BJ206,Achievements[[#All],[Column113]],0)+10,"")</f>
        <v/>
      </c>
      <c r="CK206" s="134" t="str">
        <f>_xlfn.IFNA(MATCH(BK206,Achievements[[#All],[Column114]],0)+10,"")</f>
        <v/>
      </c>
      <c r="CL206" s="134" t="str">
        <f>_xlfn.IFNA(MATCH(BL206,Achievements[[#All],[Column114]],0)+10,"")</f>
        <v/>
      </c>
      <c r="CM206" s="134" t="str">
        <f>_xlfn.IFNA(MATCH(BM206,Achievements[[#All],[Column115]],0)+10,"")</f>
        <v/>
      </c>
      <c r="CN206" s="134" t="str">
        <f>_xlfn.IFNA(MATCH(BN206,Achievements[[#All],[Column115]],0)+10,"")</f>
        <v/>
      </c>
      <c r="CO206" s="134" t="str">
        <f>_xlfn.IFNA(MATCH(BO206,Achievements[[#All],[Column116]],0)+10,"")</f>
        <v/>
      </c>
      <c r="CP206" s="134" t="str">
        <f>_xlfn.IFNA(MATCH(BP206,Achievements[[#All],[Column116]],0)+10,"")</f>
        <v/>
      </c>
      <c r="CQ206" s="134" t="str">
        <f>_xlfn.IFNA(MATCH(BQ206,Achievements[[#All],[Column117]],0)+10,"")</f>
        <v/>
      </c>
      <c r="CR206" s="134" t="str">
        <f>_xlfn.IFNA(MATCH(BR206,Achievements[[#All],[Column117]],0)+10,"")</f>
        <v/>
      </c>
      <c r="CS206" s="134" t="str">
        <f>_xlfn.IFNA(MATCH(BS206,Achievements[[#All],[Column118]],0)+10,"")</f>
        <v/>
      </c>
      <c r="CT206" s="134" t="str">
        <f>_xlfn.IFNA(MATCH(BT206,Achievements[[#All],[Column118]],0)+10,"")</f>
        <v/>
      </c>
      <c r="CU206" s="134" t="str">
        <f>_xlfn.IFNA(MATCH(BU206,Achievements[[#All],[Column119]],0)+10,"")</f>
        <v/>
      </c>
      <c r="CV206" s="134" t="str">
        <f>_xlfn.IFNA(MATCH(BV206,Achievements[[#All],[Column119]],0)+10,"")</f>
        <v/>
      </c>
      <c r="CW206" s="134" t="str">
        <f>_xlfn.IFNA(MATCH(BW206,Achievements[[#All],[Column120]],0)+10,"")</f>
        <v/>
      </c>
      <c r="CX206" s="134" t="str">
        <f>_xlfn.IFNA(MATCH(BX206,Achievements[[#All],[Column120]],0)+10,"")</f>
        <v/>
      </c>
      <c r="CY206" s="134" t="str">
        <f>_xlfn.IFNA(MATCH(BY206,Achievements[[#All],[Column121]],0)+10,"")</f>
        <v/>
      </c>
      <c r="CZ206" s="118" t="e">
        <f t="shared" ca="1" si="7"/>
        <v>#NAME?</v>
      </c>
    </row>
    <row r="207" spans="1:104" x14ac:dyDescent="0.25">
      <c r="A207" t="e" cm="1">
        <f t="array" aca="1" ref="A207" ca="1">SplitValues("; ",#REF!)</f>
        <v>#NAME?</v>
      </c>
      <c r="AA207" t="e">
        <f ca="1">_xlfn.IFNA(MATCH(A207,Achievements[[#All],[Column1]],0)+11,"")</f>
        <v>#NAME?</v>
      </c>
      <c r="AB207" s="134" t="str">
        <f>_xlfn.IFNA(MATCH(B207,Achievements[[#All],[Column1]],0)+10,"")</f>
        <v/>
      </c>
      <c r="AC207" s="134" t="str">
        <f>_xlfn.IFNA(MATCH(C207,Achievements[[#All],[Column1]],0)+10,"")</f>
        <v/>
      </c>
      <c r="AD207" s="134" t="str">
        <f>_xlfn.IFNA(MATCH(D207,Achievements[[#All],[Column110]],0)+10,"")</f>
        <v/>
      </c>
      <c r="AE207" s="134" t="str">
        <f>_xlfn.IFNA(MATCH(E207,Achievements[[#All],[Column110]],0)+10,"")</f>
        <v/>
      </c>
      <c r="AF207" s="134" t="str">
        <f>_xlfn.IFNA(MATCH(F207,Achievements[[#All],[Column111]],0)+10,"")</f>
        <v/>
      </c>
      <c r="AG207" s="134" t="str">
        <f>_xlfn.IFNA(MATCH(G207,Achievements[[#All],[Column111]],0)+10,"")</f>
        <v/>
      </c>
      <c r="AH207" s="134" t="str">
        <f>_xlfn.IFNA(MATCH(H207,Achievements[[#All],[Column112]],0)+10,"")</f>
        <v/>
      </c>
      <c r="AI207" s="134" t="str">
        <f>_xlfn.IFNA(MATCH(I207,Achievements[[#All],[Column112]],0)+10,"")</f>
        <v/>
      </c>
      <c r="AJ207" s="134" t="str">
        <f>_xlfn.IFNA(MATCH(J207,Achievements[[#All],[Column113]],0)+10,"")</f>
        <v/>
      </c>
      <c r="AK207" s="134" t="str">
        <f>_xlfn.IFNA(MATCH(K207,Achievements[[#All],[Column113]],0)+10,"")</f>
        <v/>
      </c>
      <c r="AL207" s="134" t="str">
        <f>_xlfn.IFNA(MATCH(L207,Achievements[[#All],[Column114]],0)+10,"")</f>
        <v/>
      </c>
      <c r="AM207" s="134" t="str">
        <f>_xlfn.IFNA(MATCH(M207,Achievements[[#All],[Column114]],0)+10,"")</f>
        <v/>
      </c>
      <c r="AN207" s="134" t="str">
        <f>_xlfn.IFNA(MATCH(N207,Achievements[[#All],[Column115]],0)+10,"")</f>
        <v/>
      </c>
      <c r="AO207" s="134" t="str">
        <f>_xlfn.IFNA(MATCH(O207,Achievements[[#All],[Column115]],0)+10,"")</f>
        <v/>
      </c>
      <c r="AP207" s="134" t="str">
        <f>_xlfn.IFNA(MATCH(P207,Achievements[[#All],[Column116]],0)+10,"")</f>
        <v/>
      </c>
      <c r="AQ207" s="134" t="str">
        <f>_xlfn.IFNA(MATCH(Q207,Achievements[[#All],[Column116]],0)+10,"")</f>
        <v/>
      </c>
      <c r="AR207" s="134" t="str">
        <f>_xlfn.IFNA(MATCH(R207,Achievements[[#All],[Column117]],0)+10,"")</f>
        <v/>
      </c>
      <c r="AS207" s="134" t="str">
        <f>_xlfn.IFNA(MATCH(S207,Achievements[[#All],[Column117]],0)+10,"")</f>
        <v/>
      </c>
      <c r="AT207" s="134" t="str">
        <f>_xlfn.IFNA(MATCH(T207,Achievements[[#All],[Column118]],0)+10,"")</f>
        <v/>
      </c>
      <c r="AU207" s="134" t="str">
        <f>_xlfn.IFNA(MATCH(U207,Achievements[[#All],[Column118]],0)+10,"")</f>
        <v/>
      </c>
      <c r="AV207" s="134" t="str">
        <f>_xlfn.IFNA(MATCH(V207,Achievements[[#All],[Column119]],0)+10,"")</f>
        <v/>
      </c>
      <c r="AW207" s="134" t="str">
        <f>_xlfn.IFNA(MATCH(W207,Achievements[[#All],[Column119]],0)+10,"")</f>
        <v/>
      </c>
      <c r="AX207" s="134" t="str">
        <f>_xlfn.IFNA(MATCH(X207,Achievements[[#All],[Column120]],0)+10,"")</f>
        <v/>
      </c>
      <c r="AY207" s="134" t="str">
        <f>_xlfn.IFNA(MATCH(Y207,Achievements[[#All],[Column120]],0)+10,"")</f>
        <v/>
      </c>
      <c r="AZ207" s="116" t="e">
        <f t="shared" ca="1" si="6"/>
        <v>#NAME?</v>
      </c>
      <c r="BA207" s="134" t="e" cm="1">
        <f t="array" aca="1" ref="BA207" ca="1">SplitValues("; ",Persons[[#This Row],[Column1]])</f>
        <v>#NAME?</v>
      </c>
      <c r="CA207" s="134" t="e">
        <f ca="1">_xlfn.IFNA(MATCH(BA207,Achievements[[#All],[Column1]],0)+10,"")</f>
        <v>#NAME?</v>
      </c>
      <c r="CB207" s="134" t="str">
        <f>_xlfn.IFNA(MATCH(BB207,Achievements[[#All],[Column1]],0)+10,"")</f>
        <v/>
      </c>
      <c r="CC207" s="134" t="str">
        <f>_xlfn.IFNA(MATCH(BC207,Achievements[[#All],[Column110]],0)+10,"")</f>
        <v/>
      </c>
      <c r="CD207" s="134" t="str">
        <f>_xlfn.IFNA(MATCH(BD207,Achievements[[#All],[Column110]],0)+10,"")</f>
        <v/>
      </c>
      <c r="CE207" s="134" t="str">
        <f>_xlfn.IFNA(MATCH(BE207,Achievements[[#All],[Column111]],0)+10,"")</f>
        <v/>
      </c>
      <c r="CF207" s="134" t="str">
        <f>_xlfn.IFNA(MATCH(BF207,Achievements[[#All],[Column111]],0)+10,"")</f>
        <v/>
      </c>
      <c r="CG207" s="134" t="str">
        <f>_xlfn.IFNA(MATCH(BG207,Achievements[[#All],[Column112]],0)+10,"")</f>
        <v/>
      </c>
      <c r="CH207" s="134" t="str">
        <f>_xlfn.IFNA(MATCH(BH207,Achievements[[#All],[Column112]],0)+10,"")</f>
        <v/>
      </c>
      <c r="CI207" s="134" t="str">
        <f>_xlfn.IFNA(MATCH(BI207,Achievements[[#All],[Column113]],0)+10,"")</f>
        <v/>
      </c>
      <c r="CJ207" s="134" t="str">
        <f>_xlfn.IFNA(MATCH(BJ207,Achievements[[#All],[Column113]],0)+10,"")</f>
        <v/>
      </c>
      <c r="CK207" s="134" t="str">
        <f>_xlfn.IFNA(MATCH(BK207,Achievements[[#All],[Column114]],0)+10,"")</f>
        <v/>
      </c>
      <c r="CL207" s="134" t="str">
        <f>_xlfn.IFNA(MATCH(BL207,Achievements[[#All],[Column114]],0)+10,"")</f>
        <v/>
      </c>
      <c r="CM207" s="134" t="str">
        <f>_xlfn.IFNA(MATCH(BM207,Achievements[[#All],[Column115]],0)+10,"")</f>
        <v/>
      </c>
      <c r="CN207" s="134" t="str">
        <f>_xlfn.IFNA(MATCH(BN207,Achievements[[#All],[Column115]],0)+10,"")</f>
        <v/>
      </c>
      <c r="CO207" s="134" t="str">
        <f>_xlfn.IFNA(MATCH(BO207,Achievements[[#All],[Column116]],0)+10,"")</f>
        <v/>
      </c>
      <c r="CP207" s="134" t="str">
        <f>_xlfn.IFNA(MATCH(BP207,Achievements[[#All],[Column116]],0)+10,"")</f>
        <v/>
      </c>
      <c r="CQ207" s="134" t="str">
        <f>_xlfn.IFNA(MATCH(BQ207,Achievements[[#All],[Column117]],0)+10,"")</f>
        <v/>
      </c>
      <c r="CR207" s="134" t="str">
        <f>_xlfn.IFNA(MATCH(BR207,Achievements[[#All],[Column117]],0)+10,"")</f>
        <v/>
      </c>
      <c r="CS207" s="134" t="str">
        <f>_xlfn.IFNA(MATCH(BS207,Achievements[[#All],[Column118]],0)+10,"")</f>
        <v/>
      </c>
      <c r="CT207" s="134" t="str">
        <f>_xlfn.IFNA(MATCH(BT207,Achievements[[#All],[Column118]],0)+10,"")</f>
        <v/>
      </c>
      <c r="CU207" s="134" t="str">
        <f>_xlfn.IFNA(MATCH(BU207,Achievements[[#All],[Column119]],0)+10,"")</f>
        <v/>
      </c>
      <c r="CV207" s="134" t="str">
        <f>_xlfn.IFNA(MATCH(BV207,Achievements[[#All],[Column119]],0)+10,"")</f>
        <v/>
      </c>
      <c r="CW207" s="134" t="str">
        <f>_xlfn.IFNA(MATCH(BW207,Achievements[[#All],[Column120]],0)+10,"")</f>
        <v/>
      </c>
      <c r="CX207" s="134" t="str">
        <f>_xlfn.IFNA(MATCH(BX207,Achievements[[#All],[Column120]],0)+10,"")</f>
        <v/>
      </c>
      <c r="CY207" s="134" t="str">
        <f>_xlfn.IFNA(MATCH(BY207,Achievements[[#All],[Column121]],0)+10,"")</f>
        <v/>
      </c>
      <c r="CZ207" s="118" t="e">
        <f t="shared" ca="1" si="7"/>
        <v>#NAME?</v>
      </c>
    </row>
    <row r="208" spans="1:104" x14ac:dyDescent="0.25">
      <c r="A208" t="e" cm="1">
        <f t="array" aca="1" ref="A208" ca="1">SplitValues("; ",#REF!)</f>
        <v>#NAME?</v>
      </c>
      <c r="AA208" t="e">
        <f ca="1">_xlfn.IFNA(MATCH(A208,Achievements[[#All],[Column1]],0)+11,"")</f>
        <v>#NAME?</v>
      </c>
      <c r="AB208" s="134" t="str">
        <f>_xlfn.IFNA(MATCH(B208,Achievements[[#All],[Column1]],0)+10,"")</f>
        <v/>
      </c>
      <c r="AC208" s="134" t="str">
        <f>_xlfn.IFNA(MATCH(C208,Achievements[[#All],[Column1]],0)+10,"")</f>
        <v/>
      </c>
      <c r="AD208" s="134" t="str">
        <f>_xlfn.IFNA(MATCH(D208,Achievements[[#All],[Column110]],0)+10,"")</f>
        <v/>
      </c>
      <c r="AE208" s="134" t="str">
        <f>_xlfn.IFNA(MATCH(E208,Achievements[[#All],[Column110]],0)+10,"")</f>
        <v/>
      </c>
      <c r="AF208" s="134" t="str">
        <f>_xlfn.IFNA(MATCH(F208,Achievements[[#All],[Column111]],0)+10,"")</f>
        <v/>
      </c>
      <c r="AG208" s="134" t="str">
        <f>_xlfn.IFNA(MATCH(G208,Achievements[[#All],[Column111]],0)+10,"")</f>
        <v/>
      </c>
      <c r="AH208" s="134" t="str">
        <f>_xlfn.IFNA(MATCH(H208,Achievements[[#All],[Column112]],0)+10,"")</f>
        <v/>
      </c>
      <c r="AI208" s="134" t="str">
        <f>_xlfn.IFNA(MATCH(I208,Achievements[[#All],[Column112]],0)+10,"")</f>
        <v/>
      </c>
      <c r="AJ208" s="134" t="str">
        <f>_xlfn.IFNA(MATCH(J208,Achievements[[#All],[Column113]],0)+10,"")</f>
        <v/>
      </c>
      <c r="AK208" s="134" t="str">
        <f>_xlfn.IFNA(MATCH(K208,Achievements[[#All],[Column113]],0)+10,"")</f>
        <v/>
      </c>
      <c r="AL208" s="134" t="str">
        <f>_xlfn.IFNA(MATCH(L208,Achievements[[#All],[Column114]],0)+10,"")</f>
        <v/>
      </c>
      <c r="AM208" s="134" t="str">
        <f>_xlfn.IFNA(MATCH(M208,Achievements[[#All],[Column114]],0)+10,"")</f>
        <v/>
      </c>
      <c r="AN208" s="134" t="str">
        <f>_xlfn.IFNA(MATCH(N208,Achievements[[#All],[Column115]],0)+10,"")</f>
        <v/>
      </c>
      <c r="AO208" s="134" t="str">
        <f>_xlfn.IFNA(MATCH(O208,Achievements[[#All],[Column115]],0)+10,"")</f>
        <v/>
      </c>
      <c r="AP208" s="134" t="str">
        <f>_xlfn.IFNA(MATCH(P208,Achievements[[#All],[Column116]],0)+10,"")</f>
        <v/>
      </c>
      <c r="AQ208" s="134" t="str">
        <f>_xlfn.IFNA(MATCH(Q208,Achievements[[#All],[Column116]],0)+10,"")</f>
        <v/>
      </c>
      <c r="AR208" s="134" t="str">
        <f>_xlfn.IFNA(MATCH(R208,Achievements[[#All],[Column117]],0)+10,"")</f>
        <v/>
      </c>
      <c r="AS208" s="134" t="str">
        <f>_xlfn.IFNA(MATCH(S208,Achievements[[#All],[Column117]],0)+10,"")</f>
        <v/>
      </c>
      <c r="AT208" s="134" t="str">
        <f>_xlfn.IFNA(MATCH(T208,Achievements[[#All],[Column118]],0)+10,"")</f>
        <v/>
      </c>
      <c r="AU208" s="134" t="str">
        <f>_xlfn.IFNA(MATCH(U208,Achievements[[#All],[Column118]],0)+10,"")</f>
        <v/>
      </c>
      <c r="AV208" s="134" t="str">
        <f>_xlfn.IFNA(MATCH(V208,Achievements[[#All],[Column119]],0)+10,"")</f>
        <v/>
      </c>
      <c r="AW208" s="134" t="str">
        <f>_xlfn.IFNA(MATCH(W208,Achievements[[#All],[Column119]],0)+10,"")</f>
        <v/>
      </c>
      <c r="AX208" s="134" t="str">
        <f>_xlfn.IFNA(MATCH(X208,Achievements[[#All],[Column120]],0)+10,"")</f>
        <v/>
      </c>
      <c r="AY208" s="134" t="str">
        <f>_xlfn.IFNA(MATCH(Y208,Achievements[[#All],[Column120]],0)+10,"")</f>
        <v/>
      </c>
      <c r="AZ208" s="116" t="e">
        <f t="shared" ca="1" si="6"/>
        <v>#NAME?</v>
      </c>
      <c r="BA208" s="134" t="e" cm="1">
        <f t="array" aca="1" ref="BA208" ca="1">SplitValues("; ",Persons[[#This Row],[Column1]])</f>
        <v>#NAME?</v>
      </c>
      <c r="CA208" s="134" t="e">
        <f ca="1">_xlfn.IFNA(MATCH(BA208,Achievements[[#All],[Column1]],0)+10,"")</f>
        <v>#NAME?</v>
      </c>
      <c r="CB208" s="134" t="str">
        <f>_xlfn.IFNA(MATCH(BB208,Achievements[[#All],[Column1]],0)+10,"")</f>
        <v/>
      </c>
      <c r="CC208" s="134" t="str">
        <f>_xlfn.IFNA(MATCH(BC208,Achievements[[#All],[Column110]],0)+10,"")</f>
        <v/>
      </c>
      <c r="CD208" s="134" t="str">
        <f>_xlfn.IFNA(MATCH(BD208,Achievements[[#All],[Column110]],0)+10,"")</f>
        <v/>
      </c>
      <c r="CE208" s="134" t="str">
        <f>_xlfn.IFNA(MATCH(BE208,Achievements[[#All],[Column111]],0)+10,"")</f>
        <v/>
      </c>
      <c r="CF208" s="134" t="str">
        <f>_xlfn.IFNA(MATCH(BF208,Achievements[[#All],[Column111]],0)+10,"")</f>
        <v/>
      </c>
      <c r="CG208" s="134" t="str">
        <f>_xlfn.IFNA(MATCH(BG208,Achievements[[#All],[Column112]],0)+10,"")</f>
        <v/>
      </c>
      <c r="CH208" s="134" t="str">
        <f>_xlfn.IFNA(MATCH(BH208,Achievements[[#All],[Column112]],0)+10,"")</f>
        <v/>
      </c>
      <c r="CI208" s="134" t="str">
        <f>_xlfn.IFNA(MATCH(BI208,Achievements[[#All],[Column113]],0)+10,"")</f>
        <v/>
      </c>
      <c r="CJ208" s="134" t="str">
        <f>_xlfn.IFNA(MATCH(BJ208,Achievements[[#All],[Column113]],0)+10,"")</f>
        <v/>
      </c>
      <c r="CK208" s="134" t="str">
        <f>_xlfn.IFNA(MATCH(BK208,Achievements[[#All],[Column114]],0)+10,"")</f>
        <v/>
      </c>
      <c r="CL208" s="134" t="str">
        <f>_xlfn.IFNA(MATCH(BL208,Achievements[[#All],[Column114]],0)+10,"")</f>
        <v/>
      </c>
      <c r="CM208" s="134" t="str">
        <f>_xlfn.IFNA(MATCH(BM208,Achievements[[#All],[Column115]],0)+10,"")</f>
        <v/>
      </c>
      <c r="CN208" s="134" t="str">
        <f>_xlfn.IFNA(MATCH(BN208,Achievements[[#All],[Column115]],0)+10,"")</f>
        <v/>
      </c>
      <c r="CO208" s="134" t="str">
        <f>_xlfn.IFNA(MATCH(BO208,Achievements[[#All],[Column116]],0)+10,"")</f>
        <v/>
      </c>
      <c r="CP208" s="134" t="str">
        <f>_xlfn.IFNA(MATCH(BP208,Achievements[[#All],[Column116]],0)+10,"")</f>
        <v/>
      </c>
      <c r="CQ208" s="134" t="str">
        <f>_xlfn.IFNA(MATCH(BQ208,Achievements[[#All],[Column117]],0)+10,"")</f>
        <v/>
      </c>
      <c r="CR208" s="134" t="str">
        <f>_xlfn.IFNA(MATCH(BR208,Achievements[[#All],[Column117]],0)+10,"")</f>
        <v/>
      </c>
      <c r="CS208" s="134" t="str">
        <f>_xlfn.IFNA(MATCH(BS208,Achievements[[#All],[Column118]],0)+10,"")</f>
        <v/>
      </c>
      <c r="CT208" s="134" t="str">
        <f>_xlfn.IFNA(MATCH(BT208,Achievements[[#All],[Column118]],0)+10,"")</f>
        <v/>
      </c>
      <c r="CU208" s="134" t="str">
        <f>_xlfn.IFNA(MATCH(BU208,Achievements[[#All],[Column119]],0)+10,"")</f>
        <v/>
      </c>
      <c r="CV208" s="134" t="str">
        <f>_xlfn.IFNA(MATCH(BV208,Achievements[[#All],[Column119]],0)+10,"")</f>
        <v/>
      </c>
      <c r="CW208" s="134" t="str">
        <f>_xlfn.IFNA(MATCH(BW208,Achievements[[#All],[Column120]],0)+10,"")</f>
        <v/>
      </c>
      <c r="CX208" s="134" t="str">
        <f>_xlfn.IFNA(MATCH(BX208,Achievements[[#All],[Column120]],0)+10,"")</f>
        <v/>
      </c>
      <c r="CY208" s="134" t="str">
        <f>_xlfn.IFNA(MATCH(BY208,Achievements[[#All],[Column121]],0)+10,"")</f>
        <v/>
      </c>
      <c r="CZ208" s="118" t="e">
        <f t="shared" ca="1" si="7"/>
        <v>#NAME?</v>
      </c>
    </row>
    <row r="209" spans="1:104" x14ac:dyDescent="0.25">
      <c r="A209" t="e" cm="1">
        <f t="array" aca="1" ref="A209" ca="1">SplitValues("; ",#REF!)</f>
        <v>#NAME?</v>
      </c>
      <c r="AA209" t="e">
        <f ca="1">_xlfn.IFNA(MATCH(A209,Achievements[[#All],[Column1]],0)+11,"")</f>
        <v>#NAME?</v>
      </c>
      <c r="AB209" s="134" t="str">
        <f>_xlfn.IFNA(MATCH(B209,Achievements[[#All],[Column1]],0)+10,"")</f>
        <v/>
      </c>
      <c r="AC209" s="134" t="str">
        <f>_xlfn.IFNA(MATCH(C209,Achievements[[#All],[Column1]],0)+10,"")</f>
        <v/>
      </c>
      <c r="AD209" s="134" t="str">
        <f>_xlfn.IFNA(MATCH(D209,Achievements[[#All],[Column110]],0)+10,"")</f>
        <v/>
      </c>
      <c r="AE209" s="134" t="str">
        <f>_xlfn.IFNA(MATCH(E209,Achievements[[#All],[Column110]],0)+10,"")</f>
        <v/>
      </c>
      <c r="AF209" s="134" t="str">
        <f>_xlfn.IFNA(MATCH(F209,Achievements[[#All],[Column111]],0)+10,"")</f>
        <v/>
      </c>
      <c r="AG209" s="134" t="str">
        <f>_xlfn.IFNA(MATCH(G209,Achievements[[#All],[Column111]],0)+10,"")</f>
        <v/>
      </c>
      <c r="AH209" s="134" t="str">
        <f>_xlfn.IFNA(MATCH(H209,Achievements[[#All],[Column112]],0)+10,"")</f>
        <v/>
      </c>
      <c r="AI209" s="134" t="str">
        <f>_xlfn.IFNA(MATCH(I209,Achievements[[#All],[Column112]],0)+10,"")</f>
        <v/>
      </c>
      <c r="AJ209" s="134" t="str">
        <f>_xlfn.IFNA(MATCH(J209,Achievements[[#All],[Column113]],0)+10,"")</f>
        <v/>
      </c>
      <c r="AK209" s="134" t="str">
        <f>_xlfn.IFNA(MATCH(K209,Achievements[[#All],[Column113]],0)+10,"")</f>
        <v/>
      </c>
      <c r="AL209" s="134" t="str">
        <f>_xlfn.IFNA(MATCH(L209,Achievements[[#All],[Column114]],0)+10,"")</f>
        <v/>
      </c>
      <c r="AM209" s="134" t="str">
        <f>_xlfn.IFNA(MATCH(M209,Achievements[[#All],[Column114]],0)+10,"")</f>
        <v/>
      </c>
      <c r="AN209" s="134" t="str">
        <f>_xlfn.IFNA(MATCH(N209,Achievements[[#All],[Column115]],0)+10,"")</f>
        <v/>
      </c>
      <c r="AO209" s="134" t="str">
        <f>_xlfn.IFNA(MATCH(O209,Achievements[[#All],[Column115]],0)+10,"")</f>
        <v/>
      </c>
      <c r="AP209" s="134" t="str">
        <f>_xlfn.IFNA(MATCH(P209,Achievements[[#All],[Column116]],0)+10,"")</f>
        <v/>
      </c>
      <c r="AQ209" s="134" t="str">
        <f>_xlfn.IFNA(MATCH(Q209,Achievements[[#All],[Column116]],0)+10,"")</f>
        <v/>
      </c>
      <c r="AR209" s="134" t="str">
        <f>_xlfn.IFNA(MATCH(R209,Achievements[[#All],[Column117]],0)+10,"")</f>
        <v/>
      </c>
      <c r="AS209" s="134" t="str">
        <f>_xlfn.IFNA(MATCH(S209,Achievements[[#All],[Column117]],0)+10,"")</f>
        <v/>
      </c>
      <c r="AT209" s="134" t="str">
        <f>_xlfn.IFNA(MATCH(T209,Achievements[[#All],[Column118]],0)+10,"")</f>
        <v/>
      </c>
      <c r="AU209" s="134" t="str">
        <f>_xlfn.IFNA(MATCH(U209,Achievements[[#All],[Column118]],0)+10,"")</f>
        <v/>
      </c>
      <c r="AV209" s="134" t="str">
        <f>_xlfn.IFNA(MATCH(V209,Achievements[[#All],[Column119]],0)+10,"")</f>
        <v/>
      </c>
      <c r="AW209" s="134" t="str">
        <f>_xlfn.IFNA(MATCH(W209,Achievements[[#All],[Column119]],0)+10,"")</f>
        <v/>
      </c>
      <c r="AX209" s="134" t="str">
        <f>_xlfn.IFNA(MATCH(X209,Achievements[[#All],[Column120]],0)+10,"")</f>
        <v/>
      </c>
      <c r="AY209" s="134" t="str">
        <f>_xlfn.IFNA(MATCH(Y209,Achievements[[#All],[Column120]],0)+10,"")</f>
        <v/>
      </c>
      <c r="AZ209" s="116" t="e">
        <f t="shared" ca="1" si="6"/>
        <v>#NAME?</v>
      </c>
      <c r="BA209" s="134" t="e" cm="1">
        <f t="array" aca="1" ref="BA209" ca="1">SplitValues("; ",Persons[[#This Row],[Column1]])</f>
        <v>#NAME?</v>
      </c>
      <c r="CA209" s="134" t="e">
        <f ca="1">_xlfn.IFNA(MATCH(BA209,Achievements[[#All],[Column1]],0)+10,"")</f>
        <v>#NAME?</v>
      </c>
      <c r="CB209" s="134" t="str">
        <f>_xlfn.IFNA(MATCH(BB209,Achievements[[#All],[Column1]],0)+10,"")</f>
        <v/>
      </c>
      <c r="CC209" s="134" t="str">
        <f>_xlfn.IFNA(MATCH(BC209,Achievements[[#All],[Column110]],0)+10,"")</f>
        <v/>
      </c>
      <c r="CD209" s="134" t="str">
        <f>_xlfn.IFNA(MATCH(BD209,Achievements[[#All],[Column110]],0)+10,"")</f>
        <v/>
      </c>
      <c r="CE209" s="134" t="str">
        <f>_xlfn.IFNA(MATCH(BE209,Achievements[[#All],[Column111]],0)+10,"")</f>
        <v/>
      </c>
      <c r="CF209" s="134" t="str">
        <f>_xlfn.IFNA(MATCH(BF209,Achievements[[#All],[Column111]],0)+10,"")</f>
        <v/>
      </c>
      <c r="CG209" s="134" t="str">
        <f>_xlfn.IFNA(MATCH(BG209,Achievements[[#All],[Column112]],0)+10,"")</f>
        <v/>
      </c>
      <c r="CH209" s="134" t="str">
        <f>_xlfn.IFNA(MATCH(BH209,Achievements[[#All],[Column112]],0)+10,"")</f>
        <v/>
      </c>
      <c r="CI209" s="134" t="str">
        <f>_xlfn.IFNA(MATCH(BI209,Achievements[[#All],[Column113]],0)+10,"")</f>
        <v/>
      </c>
      <c r="CJ209" s="134" t="str">
        <f>_xlfn.IFNA(MATCH(BJ209,Achievements[[#All],[Column113]],0)+10,"")</f>
        <v/>
      </c>
      <c r="CK209" s="134" t="str">
        <f>_xlfn.IFNA(MATCH(BK209,Achievements[[#All],[Column114]],0)+10,"")</f>
        <v/>
      </c>
      <c r="CL209" s="134" t="str">
        <f>_xlfn.IFNA(MATCH(BL209,Achievements[[#All],[Column114]],0)+10,"")</f>
        <v/>
      </c>
      <c r="CM209" s="134" t="str">
        <f>_xlfn.IFNA(MATCH(BM209,Achievements[[#All],[Column115]],0)+10,"")</f>
        <v/>
      </c>
      <c r="CN209" s="134" t="str">
        <f>_xlfn.IFNA(MATCH(BN209,Achievements[[#All],[Column115]],0)+10,"")</f>
        <v/>
      </c>
      <c r="CO209" s="134" t="str">
        <f>_xlfn.IFNA(MATCH(BO209,Achievements[[#All],[Column116]],0)+10,"")</f>
        <v/>
      </c>
      <c r="CP209" s="134" t="str">
        <f>_xlfn.IFNA(MATCH(BP209,Achievements[[#All],[Column116]],0)+10,"")</f>
        <v/>
      </c>
      <c r="CQ209" s="134" t="str">
        <f>_xlfn.IFNA(MATCH(BQ209,Achievements[[#All],[Column117]],0)+10,"")</f>
        <v/>
      </c>
      <c r="CR209" s="134" t="str">
        <f>_xlfn.IFNA(MATCH(BR209,Achievements[[#All],[Column117]],0)+10,"")</f>
        <v/>
      </c>
      <c r="CS209" s="134" t="str">
        <f>_xlfn.IFNA(MATCH(BS209,Achievements[[#All],[Column118]],0)+10,"")</f>
        <v/>
      </c>
      <c r="CT209" s="134" t="str">
        <f>_xlfn.IFNA(MATCH(BT209,Achievements[[#All],[Column118]],0)+10,"")</f>
        <v/>
      </c>
      <c r="CU209" s="134" t="str">
        <f>_xlfn.IFNA(MATCH(BU209,Achievements[[#All],[Column119]],0)+10,"")</f>
        <v/>
      </c>
      <c r="CV209" s="134" t="str">
        <f>_xlfn.IFNA(MATCH(BV209,Achievements[[#All],[Column119]],0)+10,"")</f>
        <v/>
      </c>
      <c r="CW209" s="134" t="str">
        <f>_xlfn.IFNA(MATCH(BW209,Achievements[[#All],[Column120]],0)+10,"")</f>
        <v/>
      </c>
      <c r="CX209" s="134" t="str">
        <f>_xlfn.IFNA(MATCH(BX209,Achievements[[#All],[Column120]],0)+10,"")</f>
        <v/>
      </c>
      <c r="CY209" s="134" t="str">
        <f>_xlfn.IFNA(MATCH(BY209,Achievements[[#All],[Column121]],0)+10,"")</f>
        <v/>
      </c>
      <c r="CZ209" s="118" t="e">
        <f t="shared" ca="1" si="7"/>
        <v>#NAME?</v>
      </c>
    </row>
    <row r="210" spans="1:104" x14ac:dyDescent="0.25">
      <c r="A210" t="e" cm="1">
        <f t="array" aca="1" ref="A210" ca="1">SplitValues("; ",#REF!)</f>
        <v>#NAME?</v>
      </c>
      <c r="AA210" t="e">
        <f ca="1">_xlfn.IFNA(MATCH(A210,Achievements[[#All],[Column1]],0)+11,"")</f>
        <v>#NAME?</v>
      </c>
      <c r="AB210" s="134" t="str">
        <f>_xlfn.IFNA(MATCH(B210,Achievements[[#All],[Column1]],0)+10,"")</f>
        <v/>
      </c>
      <c r="AC210" s="134" t="str">
        <f>_xlfn.IFNA(MATCH(C210,Achievements[[#All],[Column1]],0)+10,"")</f>
        <v/>
      </c>
      <c r="AD210" s="134" t="str">
        <f>_xlfn.IFNA(MATCH(D210,Achievements[[#All],[Column110]],0)+10,"")</f>
        <v/>
      </c>
      <c r="AE210" s="134" t="str">
        <f>_xlfn.IFNA(MATCH(E210,Achievements[[#All],[Column110]],0)+10,"")</f>
        <v/>
      </c>
      <c r="AF210" s="134" t="str">
        <f>_xlfn.IFNA(MATCH(F210,Achievements[[#All],[Column111]],0)+10,"")</f>
        <v/>
      </c>
      <c r="AG210" s="134" t="str">
        <f>_xlfn.IFNA(MATCH(G210,Achievements[[#All],[Column111]],0)+10,"")</f>
        <v/>
      </c>
      <c r="AH210" s="134" t="str">
        <f>_xlfn.IFNA(MATCH(H210,Achievements[[#All],[Column112]],0)+10,"")</f>
        <v/>
      </c>
      <c r="AI210" s="134" t="str">
        <f>_xlfn.IFNA(MATCH(I210,Achievements[[#All],[Column112]],0)+10,"")</f>
        <v/>
      </c>
      <c r="AJ210" s="134" t="str">
        <f>_xlfn.IFNA(MATCH(J210,Achievements[[#All],[Column113]],0)+10,"")</f>
        <v/>
      </c>
      <c r="AK210" s="134" t="str">
        <f>_xlfn.IFNA(MATCH(K210,Achievements[[#All],[Column113]],0)+10,"")</f>
        <v/>
      </c>
      <c r="AL210" s="134" t="str">
        <f>_xlfn.IFNA(MATCH(L210,Achievements[[#All],[Column114]],0)+10,"")</f>
        <v/>
      </c>
      <c r="AM210" s="134" t="str">
        <f>_xlfn.IFNA(MATCH(M210,Achievements[[#All],[Column114]],0)+10,"")</f>
        <v/>
      </c>
      <c r="AN210" s="134" t="str">
        <f>_xlfn.IFNA(MATCH(N210,Achievements[[#All],[Column115]],0)+10,"")</f>
        <v/>
      </c>
      <c r="AO210" s="134" t="str">
        <f>_xlfn.IFNA(MATCH(O210,Achievements[[#All],[Column115]],0)+10,"")</f>
        <v/>
      </c>
      <c r="AP210" s="134" t="str">
        <f>_xlfn.IFNA(MATCH(P210,Achievements[[#All],[Column116]],0)+10,"")</f>
        <v/>
      </c>
      <c r="AQ210" s="134" t="str">
        <f>_xlfn.IFNA(MATCH(Q210,Achievements[[#All],[Column116]],0)+10,"")</f>
        <v/>
      </c>
      <c r="AR210" s="134" t="str">
        <f>_xlfn.IFNA(MATCH(R210,Achievements[[#All],[Column117]],0)+10,"")</f>
        <v/>
      </c>
      <c r="AS210" s="134" t="str">
        <f>_xlfn.IFNA(MATCH(S210,Achievements[[#All],[Column117]],0)+10,"")</f>
        <v/>
      </c>
      <c r="AT210" s="134" t="str">
        <f>_xlfn.IFNA(MATCH(T210,Achievements[[#All],[Column118]],0)+10,"")</f>
        <v/>
      </c>
      <c r="AU210" s="134" t="str">
        <f>_xlfn.IFNA(MATCH(U210,Achievements[[#All],[Column118]],0)+10,"")</f>
        <v/>
      </c>
      <c r="AV210" s="134" t="str">
        <f>_xlfn.IFNA(MATCH(V210,Achievements[[#All],[Column119]],0)+10,"")</f>
        <v/>
      </c>
      <c r="AW210" s="134" t="str">
        <f>_xlfn.IFNA(MATCH(W210,Achievements[[#All],[Column119]],0)+10,"")</f>
        <v/>
      </c>
      <c r="AX210" s="134" t="str">
        <f>_xlfn.IFNA(MATCH(X210,Achievements[[#All],[Column120]],0)+10,"")</f>
        <v/>
      </c>
      <c r="AY210" s="134" t="str">
        <f>_xlfn.IFNA(MATCH(Y210,Achievements[[#All],[Column120]],0)+10,"")</f>
        <v/>
      </c>
      <c r="AZ210" s="116" t="e">
        <f t="shared" ca="1" si="6"/>
        <v>#NAME?</v>
      </c>
      <c r="BA210" s="134" t="e" cm="1">
        <f t="array" aca="1" ref="BA210" ca="1">SplitValues("; ",Persons[[#This Row],[Column1]])</f>
        <v>#NAME?</v>
      </c>
      <c r="CA210" s="134" t="e">
        <f ca="1">_xlfn.IFNA(MATCH(BA210,Achievements[[#All],[Column1]],0)+10,"")</f>
        <v>#NAME?</v>
      </c>
      <c r="CB210" s="134" t="str">
        <f>_xlfn.IFNA(MATCH(BB210,Achievements[[#All],[Column1]],0)+10,"")</f>
        <v/>
      </c>
      <c r="CC210" s="134" t="str">
        <f>_xlfn.IFNA(MATCH(BC210,Achievements[[#All],[Column110]],0)+10,"")</f>
        <v/>
      </c>
      <c r="CD210" s="134" t="str">
        <f>_xlfn.IFNA(MATCH(BD210,Achievements[[#All],[Column110]],0)+10,"")</f>
        <v/>
      </c>
      <c r="CE210" s="134" t="str">
        <f>_xlfn.IFNA(MATCH(BE210,Achievements[[#All],[Column111]],0)+10,"")</f>
        <v/>
      </c>
      <c r="CF210" s="134" t="str">
        <f>_xlfn.IFNA(MATCH(BF210,Achievements[[#All],[Column111]],0)+10,"")</f>
        <v/>
      </c>
      <c r="CG210" s="134" t="str">
        <f>_xlfn.IFNA(MATCH(BG210,Achievements[[#All],[Column112]],0)+10,"")</f>
        <v/>
      </c>
      <c r="CH210" s="134" t="str">
        <f>_xlfn.IFNA(MATCH(BH210,Achievements[[#All],[Column112]],0)+10,"")</f>
        <v/>
      </c>
      <c r="CI210" s="134" t="str">
        <f>_xlfn.IFNA(MATCH(BI210,Achievements[[#All],[Column113]],0)+10,"")</f>
        <v/>
      </c>
      <c r="CJ210" s="134" t="str">
        <f>_xlfn.IFNA(MATCH(BJ210,Achievements[[#All],[Column113]],0)+10,"")</f>
        <v/>
      </c>
      <c r="CK210" s="134" t="str">
        <f>_xlfn.IFNA(MATCH(BK210,Achievements[[#All],[Column114]],0)+10,"")</f>
        <v/>
      </c>
      <c r="CL210" s="134" t="str">
        <f>_xlfn.IFNA(MATCH(BL210,Achievements[[#All],[Column114]],0)+10,"")</f>
        <v/>
      </c>
      <c r="CM210" s="134" t="str">
        <f>_xlfn.IFNA(MATCH(BM210,Achievements[[#All],[Column115]],0)+10,"")</f>
        <v/>
      </c>
      <c r="CN210" s="134" t="str">
        <f>_xlfn.IFNA(MATCH(BN210,Achievements[[#All],[Column115]],0)+10,"")</f>
        <v/>
      </c>
      <c r="CO210" s="134" t="str">
        <f>_xlfn.IFNA(MATCH(BO210,Achievements[[#All],[Column116]],0)+10,"")</f>
        <v/>
      </c>
      <c r="CP210" s="134" t="str">
        <f>_xlfn.IFNA(MATCH(BP210,Achievements[[#All],[Column116]],0)+10,"")</f>
        <v/>
      </c>
      <c r="CQ210" s="134" t="str">
        <f>_xlfn.IFNA(MATCH(BQ210,Achievements[[#All],[Column117]],0)+10,"")</f>
        <v/>
      </c>
      <c r="CR210" s="134" t="str">
        <f>_xlfn.IFNA(MATCH(BR210,Achievements[[#All],[Column117]],0)+10,"")</f>
        <v/>
      </c>
      <c r="CS210" s="134" t="str">
        <f>_xlfn.IFNA(MATCH(BS210,Achievements[[#All],[Column118]],0)+10,"")</f>
        <v/>
      </c>
      <c r="CT210" s="134" t="str">
        <f>_xlfn.IFNA(MATCH(BT210,Achievements[[#All],[Column118]],0)+10,"")</f>
        <v/>
      </c>
      <c r="CU210" s="134" t="str">
        <f>_xlfn.IFNA(MATCH(BU210,Achievements[[#All],[Column119]],0)+10,"")</f>
        <v/>
      </c>
      <c r="CV210" s="134" t="str">
        <f>_xlfn.IFNA(MATCH(BV210,Achievements[[#All],[Column119]],0)+10,"")</f>
        <v/>
      </c>
      <c r="CW210" s="134" t="str">
        <f>_xlfn.IFNA(MATCH(BW210,Achievements[[#All],[Column120]],0)+10,"")</f>
        <v/>
      </c>
      <c r="CX210" s="134" t="str">
        <f>_xlfn.IFNA(MATCH(BX210,Achievements[[#All],[Column120]],0)+10,"")</f>
        <v/>
      </c>
      <c r="CY210" s="134" t="str">
        <f>_xlfn.IFNA(MATCH(BY210,Achievements[[#All],[Column121]],0)+10,"")</f>
        <v/>
      </c>
      <c r="CZ210" s="118" t="e">
        <f t="shared" ca="1" si="7"/>
        <v>#NAME?</v>
      </c>
    </row>
    <row r="211" spans="1:104" x14ac:dyDescent="0.25">
      <c r="A211" t="e" cm="1">
        <f t="array" aca="1" ref="A211" ca="1">SplitValues("; ",#REF!)</f>
        <v>#NAME?</v>
      </c>
      <c r="AA211" t="e">
        <f ca="1">_xlfn.IFNA(MATCH(A211,Achievements[[#All],[Column1]],0)+11,"")</f>
        <v>#NAME?</v>
      </c>
      <c r="AB211" s="134" t="str">
        <f>_xlfn.IFNA(MATCH(B211,Achievements[[#All],[Column1]],0)+10,"")</f>
        <v/>
      </c>
      <c r="AC211" s="134" t="str">
        <f>_xlfn.IFNA(MATCH(C211,Achievements[[#All],[Column1]],0)+10,"")</f>
        <v/>
      </c>
      <c r="AD211" s="134" t="str">
        <f>_xlfn.IFNA(MATCH(D211,Achievements[[#All],[Column110]],0)+10,"")</f>
        <v/>
      </c>
      <c r="AE211" s="134" t="str">
        <f>_xlfn.IFNA(MATCH(E211,Achievements[[#All],[Column110]],0)+10,"")</f>
        <v/>
      </c>
      <c r="AF211" s="134" t="str">
        <f>_xlfn.IFNA(MATCH(F211,Achievements[[#All],[Column111]],0)+10,"")</f>
        <v/>
      </c>
      <c r="AG211" s="134" t="str">
        <f>_xlfn.IFNA(MATCH(G211,Achievements[[#All],[Column111]],0)+10,"")</f>
        <v/>
      </c>
      <c r="AH211" s="134" t="str">
        <f>_xlfn.IFNA(MATCH(H211,Achievements[[#All],[Column112]],0)+10,"")</f>
        <v/>
      </c>
      <c r="AI211" s="134" t="str">
        <f>_xlfn.IFNA(MATCH(I211,Achievements[[#All],[Column112]],0)+10,"")</f>
        <v/>
      </c>
      <c r="AJ211" s="134" t="str">
        <f>_xlfn.IFNA(MATCH(J211,Achievements[[#All],[Column113]],0)+10,"")</f>
        <v/>
      </c>
      <c r="AK211" s="134" t="str">
        <f>_xlfn.IFNA(MATCH(K211,Achievements[[#All],[Column113]],0)+10,"")</f>
        <v/>
      </c>
      <c r="AL211" s="134" t="str">
        <f>_xlfn.IFNA(MATCH(L211,Achievements[[#All],[Column114]],0)+10,"")</f>
        <v/>
      </c>
      <c r="AM211" s="134" t="str">
        <f>_xlfn.IFNA(MATCH(M211,Achievements[[#All],[Column114]],0)+10,"")</f>
        <v/>
      </c>
      <c r="AN211" s="134" t="str">
        <f>_xlfn.IFNA(MATCH(N211,Achievements[[#All],[Column115]],0)+10,"")</f>
        <v/>
      </c>
      <c r="AO211" s="134" t="str">
        <f>_xlfn.IFNA(MATCH(O211,Achievements[[#All],[Column115]],0)+10,"")</f>
        <v/>
      </c>
      <c r="AP211" s="134" t="str">
        <f>_xlfn.IFNA(MATCH(P211,Achievements[[#All],[Column116]],0)+10,"")</f>
        <v/>
      </c>
      <c r="AQ211" s="134" t="str">
        <f>_xlfn.IFNA(MATCH(Q211,Achievements[[#All],[Column116]],0)+10,"")</f>
        <v/>
      </c>
      <c r="AR211" s="134" t="str">
        <f>_xlfn.IFNA(MATCH(R211,Achievements[[#All],[Column117]],0)+10,"")</f>
        <v/>
      </c>
      <c r="AS211" s="134" t="str">
        <f>_xlfn.IFNA(MATCH(S211,Achievements[[#All],[Column117]],0)+10,"")</f>
        <v/>
      </c>
      <c r="AT211" s="134" t="str">
        <f>_xlfn.IFNA(MATCH(T211,Achievements[[#All],[Column118]],0)+10,"")</f>
        <v/>
      </c>
      <c r="AU211" s="134" t="str">
        <f>_xlfn.IFNA(MATCH(U211,Achievements[[#All],[Column118]],0)+10,"")</f>
        <v/>
      </c>
      <c r="AV211" s="134" t="str">
        <f>_xlfn.IFNA(MATCH(V211,Achievements[[#All],[Column119]],0)+10,"")</f>
        <v/>
      </c>
      <c r="AW211" s="134" t="str">
        <f>_xlfn.IFNA(MATCH(W211,Achievements[[#All],[Column119]],0)+10,"")</f>
        <v/>
      </c>
      <c r="AX211" s="134" t="str">
        <f>_xlfn.IFNA(MATCH(X211,Achievements[[#All],[Column120]],0)+10,"")</f>
        <v/>
      </c>
      <c r="AY211" s="134" t="str">
        <f>_xlfn.IFNA(MATCH(Y211,Achievements[[#All],[Column120]],0)+10,"")</f>
        <v/>
      </c>
      <c r="AZ211" s="116" t="e">
        <f t="shared" ca="1" si="6"/>
        <v>#NAME?</v>
      </c>
      <c r="BA211" s="134" t="e" cm="1">
        <f t="array" aca="1" ref="BA211" ca="1">SplitValues("; ",Persons[[#This Row],[Column1]])</f>
        <v>#NAME?</v>
      </c>
      <c r="CA211" s="134" t="e">
        <f ca="1">_xlfn.IFNA(MATCH(BA211,Achievements[[#All],[Column1]],0)+10,"")</f>
        <v>#NAME?</v>
      </c>
      <c r="CB211" s="134" t="str">
        <f>_xlfn.IFNA(MATCH(BB211,Achievements[[#All],[Column1]],0)+10,"")</f>
        <v/>
      </c>
      <c r="CC211" s="134" t="str">
        <f>_xlfn.IFNA(MATCH(BC211,Achievements[[#All],[Column110]],0)+10,"")</f>
        <v/>
      </c>
      <c r="CD211" s="134" t="str">
        <f>_xlfn.IFNA(MATCH(BD211,Achievements[[#All],[Column110]],0)+10,"")</f>
        <v/>
      </c>
      <c r="CE211" s="134" t="str">
        <f>_xlfn.IFNA(MATCH(BE211,Achievements[[#All],[Column111]],0)+10,"")</f>
        <v/>
      </c>
      <c r="CF211" s="134" t="str">
        <f>_xlfn.IFNA(MATCH(BF211,Achievements[[#All],[Column111]],0)+10,"")</f>
        <v/>
      </c>
      <c r="CG211" s="134" t="str">
        <f>_xlfn.IFNA(MATCH(BG211,Achievements[[#All],[Column112]],0)+10,"")</f>
        <v/>
      </c>
      <c r="CH211" s="134" t="str">
        <f>_xlfn.IFNA(MATCH(BH211,Achievements[[#All],[Column112]],0)+10,"")</f>
        <v/>
      </c>
      <c r="CI211" s="134" t="str">
        <f>_xlfn.IFNA(MATCH(BI211,Achievements[[#All],[Column113]],0)+10,"")</f>
        <v/>
      </c>
      <c r="CJ211" s="134" t="str">
        <f>_xlfn.IFNA(MATCH(BJ211,Achievements[[#All],[Column113]],0)+10,"")</f>
        <v/>
      </c>
      <c r="CK211" s="134" t="str">
        <f>_xlfn.IFNA(MATCH(BK211,Achievements[[#All],[Column114]],0)+10,"")</f>
        <v/>
      </c>
      <c r="CL211" s="134" t="str">
        <f>_xlfn.IFNA(MATCH(BL211,Achievements[[#All],[Column114]],0)+10,"")</f>
        <v/>
      </c>
      <c r="CM211" s="134" t="str">
        <f>_xlfn.IFNA(MATCH(BM211,Achievements[[#All],[Column115]],0)+10,"")</f>
        <v/>
      </c>
      <c r="CN211" s="134" t="str">
        <f>_xlfn.IFNA(MATCH(BN211,Achievements[[#All],[Column115]],0)+10,"")</f>
        <v/>
      </c>
      <c r="CO211" s="134" t="str">
        <f>_xlfn.IFNA(MATCH(BO211,Achievements[[#All],[Column116]],0)+10,"")</f>
        <v/>
      </c>
      <c r="CP211" s="134" t="str">
        <f>_xlfn.IFNA(MATCH(BP211,Achievements[[#All],[Column116]],0)+10,"")</f>
        <v/>
      </c>
      <c r="CQ211" s="134" t="str">
        <f>_xlfn.IFNA(MATCH(BQ211,Achievements[[#All],[Column117]],0)+10,"")</f>
        <v/>
      </c>
      <c r="CR211" s="134" t="str">
        <f>_xlfn.IFNA(MATCH(BR211,Achievements[[#All],[Column117]],0)+10,"")</f>
        <v/>
      </c>
      <c r="CS211" s="134" t="str">
        <f>_xlfn.IFNA(MATCH(BS211,Achievements[[#All],[Column118]],0)+10,"")</f>
        <v/>
      </c>
      <c r="CT211" s="134" t="str">
        <f>_xlfn.IFNA(MATCH(BT211,Achievements[[#All],[Column118]],0)+10,"")</f>
        <v/>
      </c>
      <c r="CU211" s="134" t="str">
        <f>_xlfn.IFNA(MATCH(BU211,Achievements[[#All],[Column119]],0)+10,"")</f>
        <v/>
      </c>
      <c r="CV211" s="134" t="str">
        <f>_xlfn.IFNA(MATCH(BV211,Achievements[[#All],[Column119]],0)+10,"")</f>
        <v/>
      </c>
      <c r="CW211" s="134" t="str">
        <f>_xlfn.IFNA(MATCH(BW211,Achievements[[#All],[Column120]],0)+10,"")</f>
        <v/>
      </c>
      <c r="CX211" s="134" t="str">
        <f>_xlfn.IFNA(MATCH(BX211,Achievements[[#All],[Column120]],0)+10,"")</f>
        <v/>
      </c>
      <c r="CY211" s="134" t="str">
        <f>_xlfn.IFNA(MATCH(BY211,Achievements[[#All],[Column121]],0)+10,"")</f>
        <v/>
      </c>
      <c r="CZ211" s="118" t="e">
        <f t="shared" ca="1" si="7"/>
        <v>#NAME?</v>
      </c>
    </row>
    <row r="212" spans="1:104" x14ac:dyDescent="0.25">
      <c r="A212" t="e" cm="1">
        <f t="array" aca="1" ref="A212" ca="1">SplitValues("; ",#REF!)</f>
        <v>#NAME?</v>
      </c>
      <c r="AA212" t="e">
        <f ca="1">_xlfn.IFNA(MATCH(A212,Achievements[[#All],[Column1]],0)+11,"")</f>
        <v>#NAME?</v>
      </c>
      <c r="AB212" s="134" t="str">
        <f>_xlfn.IFNA(MATCH(B212,Achievements[[#All],[Column1]],0)+10,"")</f>
        <v/>
      </c>
      <c r="AC212" s="134" t="str">
        <f>_xlfn.IFNA(MATCH(C212,Achievements[[#All],[Column1]],0)+10,"")</f>
        <v/>
      </c>
      <c r="AD212" s="134" t="str">
        <f>_xlfn.IFNA(MATCH(D212,Achievements[[#All],[Column110]],0)+10,"")</f>
        <v/>
      </c>
      <c r="AE212" s="134" t="str">
        <f>_xlfn.IFNA(MATCH(E212,Achievements[[#All],[Column110]],0)+10,"")</f>
        <v/>
      </c>
      <c r="AF212" s="134" t="str">
        <f>_xlfn.IFNA(MATCH(F212,Achievements[[#All],[Column111]],0)+10,"")</f>
        <v/>
      </c>
      <c r="AG212" s="134" t="str">
        <f>_xlfn.IFNA(MATCH(G212,Achievements[[#All],[Column111]],0)+10,"")</f>
        <v/>
      </c>
      <c r="AH212" s="134" t="str">
        <f>_xlfn.IFNA(MATCH(H212,Achievements[[#All],[Column112]],0)+10,"")</f>
        <v/>
      </c>
      <c r="AI212" s="134" t="str">
        <f>_xlfn.IFNA(MATCH(I212,Achievements[[#All],[Column112]],0)+10,"")</f>
        <v/>
      </c>
      <c r="AJ212" s="134" t="str">
        <f>_xlfn.IFNA(MATCH(J212,Achievements[[#All],[Column113]],0)+10,"")</f>
        <v/>
      </c>
      <c r="AK212" s="134" t="str">
        <f>_xlfn.IFNA(MATCH(K212,Achievements[[#All],[Column113]],0)+10,"")</f>
        <v/>
      </c>
      <c r="AL212" s="134" t="str">
        <f>_xlfn.IFNA(MATCH(L212,Achievements[[#All],[Column114]],0)+10,"")</f>
        <v/>
      </c>
      <c r="AM212" s="134" t="str">
        <f>_xlfn.IFNA(MATCH(M212,Achievements[[#All],[Column114]],0)+10,"")</f>
        <v/>
      </c>
      <c r="AN212" s="134" t="str">
        <f>_xlfn.IFNA(MATCH(N212,Achievements[[#All],[Column115]],0)+10,"")</f>
        <v/>
      </c>
      <c r="AO212" s="134" t="str">
        <f>_xlfn.IFNA(MATCH(O212,Achievements[[#All],[Column115]],0)+10,"")</f>
        <v/>
      </c>
      <c r="AP212" s="134" t="str">
        <f>_xlfn.IFNA(MATCH(P212,Achievements[[#All],[Column116]],0)+10,"")</f>
        <v/>
      </c>
      <c r="AQ212" s="134" t="str">
        <f>_xlfn.IFNA(MATCH(Q212,Achievements[[#All],[Column116]],0)+10,"")</f>
        <v/>
      </c>
      <c r="AR212" s="134" t="str">
        <f>_xlfn.IFNA(MATCH(R212,Achievements[[#All],[Column117]],0)+10,"")</f>
        <v/>
      </c>
      <c r="AS212" s="134" t="str">
        <f>_xlfn.IFNA(MATCH(S212,Achievements[[#All],[Column117]],0)+10,"")</f>
        <v/>
      </c>
      <c r="AT212" s="134" t="str">
        <f>_xlfn.IFNA(MATCH(T212,Achievements[[#All],[Column118]],0)+10,"")</f>
        <v/>
      </c>
      <c r="AU212" s="134" t="str">
        <f>_xlfn.IFNA(MATCH(U212,Achievements[[#All],[Column118]],0)+10,"")</f>
        <v/>
      </c>
      <c r="AV212" s="134" t="str">
        <f>_xlfn.IFNA(MATCH(V212,Achievements[[#All],[Column119]],0)+10,"")</f>
        <v/>
      </c>
      <c r="AW212" s="134" t="str">
        <f>_xlfn.IFNA(MATCH(W212,Achievements[[#All],[Column119]],0)+10,"")</f>
        <v/>
      </c>
      <c r="AX212" s="134" t="str">
        <f>_xlfn.IFNA(MATCH(X212,Achievements[[#All],[Column120]],0)+10,"")</f>
        <v/>
      </c>
      <c r="AY212" s="134" t="str">
        <f>_xlfn.IFNA(MATCH(Y212,Achievements[[#All],[Column120]],0)+10,"")</f>
        <v/>
      </c>
      <c r="AZ212" s="116" t="e">
        <f t="shared" ca="1" si="6"/>
        <v>#NAME?</v>
      </c>
      <c r="BA212" s="134" t="e" cm="1">
        <f t="array" aca="1" ref="BA212" ca="1">SplitValues("; ",Persons[[#This Row],[Column1]])</f>
        <v>#NAME?</v>
      </c>
      <c r="CA212" s="134" t="e">
        <f ca="1">_xlfn.IFNA(MATCH(BA212,Achievements[[#All],[Column1]],0)+10,"")</f>
        <v>#NAME?</v>
      </c>
      <c r="CB212" s="134" t="str">
        <f>_xlfn.IFNA(MATCH(BB212,Achievements[[#All],[Column1]],0)+10,"")</f>
        <v/>
      </c>
      <c r="CC212" s="134" t="str">
        <f>_xlfn.IFNA(MATCH(BC212,Achievements[[#All],[Column110]],0)+10,"")</f>
        <v/>
      </c>
      <c r="CD212" s="134" t="str">
        <f>_xlfn.IFNA(MATCH(BD212,Achievements[[#All],[Column110]],0)+10,"")</f>
        <v/>
      </c>
      <c r="CE212" s="134" t="str">
        <f>_xlfn.IFNA(MATCH(BE212,Achievements[[#All],[Column111]],0)+10,"")</f>
        <v/>
      </c>
      <c r="CF212" s="134" t="str">
        <f>_xlfn.IFNA(MATCH(BF212,Achievements[[#All],[Column111]],0)+10,"")</f>
        <v/>
      </c>
      <c r="CG212" s="134" t="str">
        <f>_xlfn.IFNA(MATCH(BG212,Achievements[[#All],[Column112]],0)+10,"")</f>
        <v/>
      </c>
      <c r="CH212" s="134" t="str">
        <f>_xlfn.IFNA(MATCH(BH212,Achievements[[#All],[Column112]],0)+10,"")</f>
        <v/>
      </c>
      <c r="CI212" s="134" t="str">
        <f>_xlfn.IFNA(MATCH(BI212,Achievements[[#All],[Column113]],0)+10,"")</f>
        <v/>
      </c>
      <c r="CJ212" s="134" t="str">
        <f>_xlfn.IFNA(MATCH(BJ212,Achievements[[#All],[Column113]],0)+10,"")</f>
        <v/>
      </c>
      <c r="CK212" s="134" t="str">
        <f>_xlfn.IFNA(MATCH(BK212,Achievements[[#All],[Column114]],0)+10,"")</f>
        <v/>
      </c>
      <c r="CL212" s="134" t="str">
        <f>_xlfn.IFNA(MATCH(BL212,Achievements[[#All],[Column114]],0)+10,"")</f>
        <v/>
      </c>
      <c r="CM212" s="134" t="str">
        <f>_xlfn.IFNA(MATCH(BM212,Achievements[[#All],[Column115]],0)+10,"")</f>
        <v/>
      </c>
      <c r="CN212" s="134" t="str">
        <f>_xlfn.IFNA(MATCH(BN212,Achievements[[#All],[Column115]],0)+10,"")</f>
        <v/>
      </c>
      <c r="CO212" s="134" t="str">
        <f>_xlfn.IFNA(MATCH(BO212,Achievements[[#All],[Column116]],0)+10,"")</f>
        <v/>
      </c>
      <c r="CP212" s="134" t="str">
        <f>_xlfn.IFNA(MATCH(BP212,Achievements[[#All],[Column116]],0)+10,"")</f>
        <v/>
      </c>
      <c r="CQ212" s="134" t="str">
        <f>_xlfn.IFNA(MATCH(BQ212,Achievements[[#All],[Column117]],0)+10,"")</f>
        <v/>
      </c>
      <c r="CR212" s="134" t="str">
        <f>_xlfn.IFNA(MATCH(BR212,Achievements[[#All],[Column117]],0)+10,"")</f>
        <v/>
      </c>
      <c r="CS212" s="134" t="str">
        <f>_xlfn.IFNA(MATCH(BS212,Achievements[[#All],[Column118]],0)+10,"")</f>
        <v/>
      </c>
      <c r="CT212" s="134" t="str">
        <f>_xlfn.IFNA(MATCH(BT212,Achievements[[#All],[Column118]],0)+10,"")</f>
        <v/>
      </c>
      <c r="CU212" s="134" t="str">
        <f>_xlfn.IFNA(MATCH(BU212,Achievements[[#All],[Column119]],0)+10,"")</f>
        <v/>
      </c>
      <c r="CV212" s="134" t="str">
        <f>_xlfn.IFNA(MATCH(BV212,Achievements[[#All],[Column119]],0)+10,"")</f>
        <v/>
      </c>
      <c r="CW212" s="134" t="str">
        <f>_xlfn.IFNA(MATCH(BW212,Achievements[[#All],[Column120]],0)+10,"")</f>
        <v/>
      </c>
      <c r="CX212" s="134" t="str">
        <f>_xlfn.IFNA(MATCH(BX212,Achievements[[#All],[Column120]],0)+10,"")</f>
        <v/>
      </c>
      <c r="CY212" s="134" t="str">
        <f>_xlfn.IFNA(MATCH(BY212,Achievements[[#All],[Column121]],0)+10,"")</f>
        <v/>
      </c>
      <c r="CZ212" s="118" t="e">
        <f t="shared" ca="1" si="7"/>
        <v>#NAME?</v>
      </c>
    </row>
    <row r="213" spans="1:104" x14ac:dyDescent="0.25">
      <c r="A213" t="e" cm="1">
        <f t="array" aca="1" ref="A213" ca="1">SplitValues("; ",#REF!)</f>
        <v>#NAME?</v>
      </c>
      <c r="AA213" t="e">
        <f ca="1">_xlfn.IFNA(MATCH(A213,Achievements[[#All],[Column1]],0)+11,"")</f>
        <v>#NAME?</v>
      </c>
      <c r="AB213" s="134" t="str">
        <f>_xlfn.IFNA(MATCH(B213,Achievements[[#All],[Column1]],0)+10,"")</f>
        <v/>
      </c>
      <c r="AC213" s="134" t="str">
        <f>_xlfn.IFNA(MATCH(C213,Achievements[[#All],[Column1]],0)+10,"")</f>
        <v/>
      </c>
      <c r="AD213" s="134" t="str">
        <f>_xlfn.IFNA(MATCH(D213,Achievements[[#All],[Column110]],0)+10,"")</f>
        <v/>
      </c>
      <c r="AE213" s="134" t="str">
        <f>_xlfn.IFNA(MATCH(E213,Achievements[[#All],[Column110]],0)+10,"")</f>
        <v/>
      </c>
      <c r="AF213" s="134" t="str">
        <f>_xlfn.IFNA(MATCH(F213,Achievements[[#All],[Column111]],0)+10,"")</f>
        <v/>
      </c>
      <c r="AG213" s="134" t="str">
        <f>_xlfn.IFNA(MATCH(G213,Achievements[[#All],[Column111]],0)+10,"")</f>
        <v/>
      </c>
      <c r="AH213" s="134" t="str">
        <f>_xlfn.IFNA(MATCH(H213,Achievements[[#All],[Column112]],0)+10,"")</f>
        <v/>
      </c>
      <c r="AI213" s="134" t="str">
        <f>_xlfn.IFNA(MATCH(I213,Achievements[[#All],[Column112]],0)+10,"")</f>
        <v/>
      </c>
      <c r="AJ213" s="134" t="str">
        <f>_xlfn.IFNA(MATCH(J213,Achievements[[#All],[Column113]],0)+10,"")</f>
        <v/>
      </c>
      <c r="AK213" s="134" t="str">
        <f>_xlfn.IFNA(MATCH(K213,Achievements[[#All],[Column113]],0)+10,"")</f>
        <v/>
      </c>
      <c r="AL213" s="134" t="str">
        <f>_xlfn.IFNA(MATCH(L213,Achievements[[#All],[Column114]],0)+10,"")</f>
        <v/>
      </c>
      <c r="AM213" s="134" t="str">
        <f>_xlfn.IFNA(MATCH(M213,Achievements[[#All],[Column114]],0)+10,"")</f>
        <v/>
      </c>
      <c r="AN213" s="134" t="str">
        <f>_xlfn.IFNA(MATCH(N213,Achievements[[#All],[Column115]],0)+10,"")</f>
        <v/>
      </c>
      <c r="AO213" s="134" t="str">
        <f>_xlfn.IFNA(MATCH(O213,Achievements[[#All],[Column115]],0)+10,"")</f>
        <v/>
      </c>
      <c r="AP213" s="134" t="str">
        <f>_xlfn.IFNA(MATCH(P213,Achievements[[#All],[Column116]],0)+10,"")</f>
        <v/>
      </c>
      <c r="AQ213" s="134" t="str">
        <f>_xlfn.IFNA(MATCH(Q213,Achievements[[#All],[Column116]],0)+10,"")</f>
        <v/>
      </c>
      <c r="AR213" s="134" t="str">
        <f>_xlfn.IFNA(MATCH(R213,Achievements[[#All],[Column117]],0)+10,"")</f>
        <v/>
      </c>
      <c r="AS213" s="134" t="str">
        <f>_xlfn.IFNA(MATCH(S213,Achievements[[#All],[Column117]],0)+10,"")</f>
        <v/>
      </c>
      <c r="AT213" s="134" t="str">
        <f>_xlfn.IFNA(MATCH(T213,Achievements[[#All],[Column118]],0)+10,"")</f>
        <v/>
      </c>
      <c r="AU213" s="134" t="str">
        <f>_xlfn.IFNA(MATCH(U213,Achievements[[#All],[Column118]],0)+10,"")</f>
        <v/>
      </c>
      <c r="AV213" s="134" t="str">
        <f>_xlfn.IFNA(MATCH(V213,Achievements[[#All],[Column119]],0)+10,"")</f>
        <v/>
      </c>
      <c r="AW213" s="134" t="str">
        <f>_xlfn.IFNA(MATCH(W213,Achievements[[#All],[Column119]],0)+10,"")</f>
        <v/>
      </c>
      <c r="AX213" s="134" t="str">
        <f>_xlfn.IFNA(MATCH(X213,Achievements[[#All],[Column120]],0)+10,"")</f>
        <v/>
      </c>
      <c r="AY213" s="134" t="str">
        <f>_xlfn.IFNA(MATCH(Y213,Achievements[[#All],[Column120]],0)+10,"")</f>
        <v/>
      </c>
      <c r="AZ213" s="116" t="e">
        <f t="shared" ca="1" si="6"/>
        <v>#NAME?</v>
      </c>
      <c r="BA213" s="134" t="e" cm="1">
        <f t="array" aca="1" ref="BA213" ca="1">SplitValues("; ",Persons[[#This Row],[Column1]])</f>
        <v>#NAME?</v>
      </c>
      <c r="CA213" s="134" t="e">
        <f ca="1">_xlfn.IFNA(MATCH(BA213,Achievements[[#All],[Column1]],0)+10,"")</f>
        <v>#NAME?</v>
      </c>
      <c r="CB213" s="134" t="str">
        <f>_xlfn.IFNA(MATCH(BB213,Achievements[[#All],[Column1]],0)+10,"")</f>
        <v/>
      </c>
      <c r="CC213" s="134" t="str">
        <f>_xlfn.IFNA(MATCH(BC213,Achievements[[#All],[Column110]],0)+10,"")</f>
        <v/>
      </c>
      <c r="CD213" s="134" t="str">
        <f>_xlfn.IFNA(MATCH(BD213,Achievements[[#All],[Column110]],0)+10,"")</f>
        <v/>
      </c>
      <c r="CE213" s="134" t="str">
        <f>_xlfn.IFNA(MATCH(BE213,Achievements[[#All],[Column111]],0)+10,"")</f>
        <v/>
      </c>
      <c r="CF213" s="134" t="str">
        <f>_xlfn.IFNA(MATCH(BF213,Achievements[[#All],[Column111]],0)+10,"")</f>
        <v/>
      </c>
      <c r="CG213" s="134" t="str">
        <f>_xlfn.IFNA(MATCH(BG213,Achievements[[#All],[Column112]],0)+10,"")</f>
        <v/>
      </c>
      <c r="CH213" s="134" t="str">
        <f>_xlfn.IFNA(MATCH(BH213,Achievements[[#All],[Column112]],0)+10,"")</f>
        <v/>
      </c>
      <c r="CI213" s="134" t="str">
        <f>_xlfn.IFNA(MATCH(BI213,Achievements[[#All],[Column113]],0)+10,"")</f>
        <v/>
      </c>
      <c r="CJ213" s="134" t="str">
        <f>_xlfn.IFNA(MATCH(BJ213,Achievements[[#All],[Column113]],0)+10,"")</f>
        <v/>
      </c>
      <c r="CK213" s="134" t="str">
        <f>_xlfn.IFNA(MATCH(BK213,Achievements[[#All],[Column114]],0)+10,"")</f>
        <v/>
      </c>
      <c r="CL213" s="134" t="str">
        <f>_xlfn.IFNA(MATCH(BL213,Achievements[[#All],[Column114]],0)+10,"")</f>
        <v/>
      </c>
      <c r="CM213" s="134" t="str">
        <f>_xlfn.IFNA(MATCH(BM213,Achievements[[#All],[Column115]],0)+10,"")</f>
        <v/>
      </c>
      <c r="CN213" s="134" t="str">
        <f>_xlfn.IFNA(MATCH(BN213,Achievements[[#All],[Column115]],0)+10,"")</f>
        <v/>
      </c>
      <c r="CO213" s="134" t="str">
        <f>_xlfn.IFNA(MATCH(BO213,Achievements[[#All],[Column116]],0)+10,"")</f>
        <v/>
      </c>
      <c r="CP213" s="134" t="str">
        <f>_xlfn.IFNA(MATCH(BP213,Achievements[[#All],[Column116]],0)+10,"")</f>
        <v/>
      </c>
      <c r="CQ213" s="134" t="str">
        <f>_xlfn.IFNA(MATCH(BQ213,Achievements[[#All],[Column117]],0)+10,"")</f>
        <v/>
      </c>
      <c r="CR213" s="134" t="str">
        <f>_xlfn.IFNA(MATCH(BR213,Achievements[[#All],[Column117]],0)+10,"")</f>
        <v/>
      </c>
      <c r="CS213" s="134" t="str">
        <f>_xlfn.IFNA(MATCH(BS213,Achievements[[#All],[Column118]],0)+10,"")</f>
        <v/>
      </c>
      <c r="CT213" s="134" t="str">
        <f>_xlfn.IFNA(MATCH(BT213,Achievements[[#All],[Column118]],0)+10,"")</f>
        <v/>
      </c>
      <c r="CU213" s="134" t="str">
        <f>_xlfn.IFNA(MATCH(BU213,Achievements[[#All],[Column119]],0)+10,"")</f>
        <v/>
      </c>
      <c r="CV213" s="134" t="str">
        <f>_xlfn.IFNA(MATCH(BV213,Achievements[[#All],[Column119]],0)+10,"")</f>
        <v/>
      </c>
      <c r="CW213" s="134" t="str">
        <f>_xlfn.IFNA(MATCH(BW213,Achievements[[#All],[Column120]],0)+10,"")</f>
        <v/>
      </c>
      <c r="CX213" s="134" t="str">
        <f>_xlfn.IFNA(MATCH(BX213,Achievements[[#All],[Column120]],0)+10,"")</f>
        <v/>
      </c>
      <c r="CY213" s="134" t="str">
        <f>_xlfn.IFNA(MATCH(BY213,Achievements[[#All],[Column121]],0)+10,"")</f>
        <v/>
      </c>
      <c r="CZ213" s="118" t="e">
        <f t="shared" ca="1" si="7"/>
        <v>#NAME?</v>
      </c>
    </row>
    <row r="214" spans="1:104" x14ac:dyDescent="0.25">
      <c r="A214" t="e" cm="1">
        <f t="array" aca="1" ref="A214" ca="1">SplitValues("; ",#REF!)</f>
        <v>#NAME?</v>
      </c>
      <c r="AA214" t="e">
        <f ca="1">_xlfn.IFNA(MATCH(A214,Achievements[[#All],[Column1]],0)+11,"")</f>
        <v>#NAME?</v>
      </c>
      <c r="AB214" s="134" t="str">
        <f>_xlfn.IFNA(MATCH(B214,Achievements[[#All],[Column1]],0)+10,"")</f>
        <v/>
      </c>
      <c r="AC214" s="134" t="str">
        <f>_xlfn.IFNA(MATCH(C214,Achievements[[#All],[Column1]],0)+10,"")</f>
        <v/>
      </c>
      <c r="AD214" s="134" t="str">
        <f>_xlfn.IFNA(MATCH(D214,Achievements[[#All],[Column110]],0)+10,"")</f>
        <v/>
      </c>
      <c r="AE214" s="134" t="str">
        <f>_xlfn.IFNA(MATCH(E214,Achievements[[#All],[Column110]],0)+10,"")</f>
        <v/>
      </c>
      <c r="AF214" s="134" t="str">
        <f>_xlfn.IFNA(MATCH(F214,Achievements[[#All],[Column111]],0)+10,"")</f>
        <v/>
      </c>
      <c r="AG214" s="134" t="str">
        <f>_xlfn.IFNA(MATCH(G214,Achievements[[#All],[Column111]],0)+10,"")</f>
        <v/>
      </c>
      <c r="AH214" s="134" t="str">
        <f>_xlfn.IFNA(MATCH(H214,Achievements[[#All],[Column112]],0)+10,"")</f>
        <v/>
      </c>
      <c r="AI214" s="134" t="str">
        <f>_xlfn.IFNA(MATCH(I214,Achievements[[#All],[Column112]],0)+10,"")</f>
        <v/>
      </c>
      <c r="AJ214" s="134" t="str">
        <f>_xlfn.IFNA(MATCH(J214,Achievements[[#All],[Column113]],0)+10,"")</f>
        <v/>
      </c>
      <c r="AK214" s="134" t="str">
        <f>_xlfn.IFNA(MATCH(K214,Achievements[[#All],[Column113]],0)+10,"")</f>
        <v/>
      </c>
      <c r="AL214" s="134" t="str">
        <f>_xlfn.IFNA(MATCH(L214,Achievements[[#All],[Column114]],0)+10,"")</f>
        <v/>
      </c>
      <c r="AM214" s="134" t="str">
        <f>_xlfn.IFNA(MATCH(M214,Achievements[[#All],[Column114]],0)+10,"")</f>
        <v/>
      </c>
      <c r="AN214" s="134" t="str">
        <f>_xlfn.IFNA(MATCH(N214,Achievements[[#All],[Column115]],0)+10,"")</f>
        <v/>
      </c>
      <c r="AO214" s="134" t="str">
        <f>_xlfn.IFNA(MATCH(O214,Achievements[[#All],[Column115]],0)+10,"")</f>
        <v/>
      </c>
      <c r="AP214" s="134" t="str">
        <f>_xlfn.IFNA(MATCH(P214,Achievements[[#All],[Column116]],0)+10,"")</f>
        <v/>
      </c>
      <c r="AQ214" s="134" t="str">
        <f>_xlfn.IFNA(MATCH(Q214,Achievements[[#All],[Column116]],0)+10,"")</f>
        <v/>
      </c>
      <c r="AR214" s="134" t="str">
        <f>_xlfn.IFNA(MATCH(R214,Achievements[[#All],[Column117]],0)+10,"")</f>
        <v/>
      </c>
      <c r="AS214" s="134" t="str">
        <f>_xlfn.IFNA(MATCH(S214,Achievements[[#All],[Column117]],0)+10,"")</f>
        <v/>
      </c>
      <c r="AT214" s="134" t="str">
        <f>_xlfn.IFNA(MATCH(T214,Achievements[[#All],[Column118]],0)+10,"")</f>
        <v/>
      </c>
      <c r="AU214" s="134" t="str">
        <f>_xlfn.IFNA(MATCH(U214,Achievements[[#All],[Column118]],0)+10,"")</f>
        <v/>
      </c>
      <c r="AV214" s="134" t="str">
        <f>_xlfn.IFNA(MATCH(V214,Achievements[[#All],[Column119]],0)+10,"")</f>
        <v/>
      </c>
      <c r="AW214" s="134" t="str">
        <f>_xlfn.IFNA(MATCH(W214,Achievements[[#All],[Column119]],0)+10,"")</f>
        <v/>
      </c>
      <c r="AX214" s="134" t="str">
        <f>_xlfn.IFNA(MATCH(X214,Achievements[[#All],[Column120]],0)+10,"")</f>
        <v/>
      </c>
      <c r="AY214" s="134" t="str">
        <f>_xlfn.IFNA(MATCH(Y214,Achievements[[#All],[Column120]],0)+10,"")</f>
        <v/>
      </c>
      <c r="AZ214" s="116" t="e">
        <f t="shared" ca="1" si="6"/>
        <v>#NAME?</v>
      </c>
      <c r="BA214" s="134" t="e" cm="1">
        <f t="array" aca="1" ref="BA214" ca="1">SplitValues("; ",Persons[[#This Row],[Column1]])</f>
        <v>#NAME?</v>
      </c>
      <c r="CA214" s="134" t="e">
        <f ca="1">_xlfn.IFNA(MATCH(BA214,Achievements[[#All],[Column1]],0)+10,"")</f>
        <v>#NAME?</v>
      </c>
      <c r="CB214" s="134" t="str">
        <f>_xlfn.IFNA(MATCH(BB214,Achievements[[#All],[Column1]],0)+10,"")</f>
        <v/>
      </c>
      <c r="CC214" s="134" t="str">
        <f>_xlfn.IFNA(MATCH(BC214,Achievements[[#All],[Column110]],0)+10,"")</f>
        <v/>
      </c>
      <c r="CD214" s="134" t="str">
        <f>_xlfn.IFNA(MATCH(BD214,Achievements[[#All],[Column110]],0)+10,"")</f>
        <v/>
      </c>
      <c r="CE214" s="134" t="str">
        <f>_xlfn.IFNA(MATCH(BE214,Achievements[[#All],[Column111]],0)+10,"")</f>
        <v/>
      </c>
      <c r="CF214" s="134" t="str">
        <f>_xlfn.IFNA(MATCH(BF214,Achievements[[#All],[Column111]],0)+10,"")</f>
        <v/>
      </c>
      <c r="CG214" s="134" t="str">
        <f>_xlfn.IFNA(MATCH(BG214,Achievements[[#All],[Column112]],0)+10,"")</f>
        <v/>
      </c>
      <c r="CH214" s="134" t="str">
        <f>_xlfn.IFNA(MATCH(BH214,Achievements[[#All],[Column112]],0)+10,"")</f>
        <v/>
      </c>
      <c r="CI214" s="134" t="str">
        <f>_xlfn.IFNA(MATCH(BI214,Achievements[[#All],[Column113]],0)+10,"")</f>
        <v/>
      </c>
      <c r="CJ214" s="134" t="str">
        <f>_xlfn.IFNA(MATCH(BJ214,Achievements[[#All],[Column113]],0)+10,"")</f>
        <v/>
      </c>
      <c r="CK214" s="134" t="str">
        <f>_xlfn.IFNA(MATCH(BK214,Achievements[[#All],[Column114]],0)+10,"")</f>
        <v/>
      </c>
      <c r="CL214" s="134" t="str">
        <f>_xlfn.IFNA(MATCH(BL214,Achievements[[#All],[Column114]],0)+10,"")</f>
        <v/>
      </c>
      <c r="CM214" s="134" t="str">
        <f>_xlfn.IFNA(MATCH(BM214,Achievements[[#All],[Column115]],0)+10,"")</f>
        <v/>
      </c>
      <c r="CN214" s="134" t="str">
        <f>_xlfn.IFNA(MATCH(BN214,Achievements[[#All],[Column115]],0)+10,"")</f>
        <v/>
      </c>
      <c r="CO214" s="134" t="str">
        <f>_xlfn.IFNA(MATCH(BO214,Achievements[[#All],[Column116]],0)+10,"")</f>
        <v/>
      </c>
      <c r="CP214" s="134" t="str">
        <f>_xlfn.IFNA(MATCH(BP214,Achievements[[#All],[Column116]],0)+10,"")</f>
        <v/>
      </c>
      <c r="CQ214" s="134" t="str">
        <f>_xlfn.IFNA(MATCH(BQ214,Achievements[[#All],[Column117]],0)+10,"")</f>
        <v/>
      </c>
      <c r="CR214" s="134" t="str">
        <f>_xlfn.IFNA(MATCH(BR214,Achievements[[#All],[Column117]],0)+10,"")</f>
        <v/>
      </c>
      <c r="CS214" s="134" t="str">
        <f>_xlfn.IFNA(MATCH(BS214,Achievements[[#All],[Column118]],0)+10,"")</f>
        <v/>
      </c>
      <c r="CT214" s="134" t="str">
        <f>_xlfn.IFNA(MATCH(BT214,Achievements[[#All],[Column118]],0)+10,"")</f>
        <v/>
      </c>
      <c r="CU214" s="134" t="str">
        <f>_xlfn.IFNA(MATCH(BU214,Achievements[[#All],[Column119]],0)+10,"")</f>
        <v/>
      </c>
      <c r="CV214" s="134" t="str">
        <f>_xlfn.IFNA(MATCH(BV214,Achievements[[#All],[Column119]],0)+10,"")</f>
        <v/>
      </c>
      <c r="CW214" s="134" t="str">
        <f>_xlfn.IFNA(MATCH(BW214,Achievements[[#All],[Column120]],0)+10,"")</f>
        <v/>
      </c>
      <c r="CX214" s="134" t="str">
        <f>_xlfn.IFNA(MATCH(BX214,Achievements[[#All],[Column120]],0)+10,"")</f>
        <v/>
      </c>
      <c r="CY214" s="134" t="str">
        <f>_xlfn.IFNA(MATCH(BY214,Achievements[[#All],[Column121]],0)+10,"")</f>
        <v/>
      </c>
      <c r="CZ214" s="118" t="e">
        <f t="shared" ca="1" si="7"/>
        <v>#NAME?</v>
      </c>
    </row>
    <row r="215" spans="1:104" x14ac:dyDescent="0.25">
      <c r="A215" t="e" cm="1">
        <f t="array" aca="1" ref="A215" ca="1">SplitValues("; ",#REF!)</f>
        <v>#NAME?</v>
      </c>
      <c r="AA215" t="e">
        <f ca="1">_xlfn.IFNA(MATCH(A215,Achievements[[#All],[Column1]],0)+11,"")</f>
        <v>#NAME?</v>
      </c>
      <c r="AB215" s="134" t="str">
        <f>_xlfn.IFNA(MATCH(B215,Achievements[[#All],[Column1]],0)+10,"")</f>
        <v/>
      </c>
      <c r="AC215" s="134" t="str">
        <f>_xlfn.IFNA(MATCH(C215,Achievements[[#All],[Column1]],0)+10,"")</f>
        <v/>
      </c>
      <c r="AD215" s="134" t="str">
        <f>_xlfn.IFNA(MATCH(D215,Achievements[[#All],[Column110]],0)+10,"")</f>
        <v/>
      </c>
      <c r="AE215" s="134" t="str">
        <f>_xlfn.IFNA(MATCH(E215,Achievements[[#All],[Column110]],0)+10,"")</f>
        <v/>
      </c>
      <c r="AF215" s="134" t="str">
        <f>_xlfn.IFNA(MATCH(F215,Achievements[[#All],[Column111]],0)+10,"")</f>
        <v/>
      </c>
      <c r="AG215" s="134" t="str">
        <f>_xlfn.IFNA(MATCH(G215,Achievements[[#All],[Column111]],0)+10,"")</f>
        <v/>
      </c>
      <c r="AH215" s="134" t="str">
        <f>_xlfn.IFNA(MATCH(H215,Achievements[[#All],[Column112]],0)+10,"")</f>
        <v/>
      </c>
      <c r="AI215" s="134" t="str">
        <f>_xlfn.IFNA(MATCH(I215,Achievements[[#All],[Column112]],0)+10,"")</f>
        <v/>
      </c>
      <c r="AJ215" s="134" t="str">
        <f>_xlfn.IFNA(MATCH(J215,Achievements[[#All],[Column113]],0)+10,"")</f>
        <v/>
      </c>
      <c r="AK215" s="134" t="str">
        <f>_xlfn.IFNA(MATCH(K215,Achievements[[#All],[Column113]],0)+10,"")</f>
        <v/>
      </c>
      <c r="AL215" s="134" t="str">
        <f>_xlfn.IFNA(MATCH(L215,Achievements[[#All],[Column114]],0)+10,"")</f>
        <v/>
      </c>
      <c r="AM215" s="134" t="str">
        <f>_xlfn.IFNA(MATCH(M215,Achievements[[#All],[Column114]],0)+10,"")</f>
        <v/>
      </c>
      <c r="AN215" s="134" t="str">
        <f>_xlfn.IFNA(MATCH(N215,Achievements[[#All],[Column115]],0)+10,"")</f>
        <v/>
      </c>
      <c r="AO215" s="134" t="str">
        <f>_xlfn.IFNA(MATCH(O215,Achievements[[#All],[Column115]],0)+10,"")</f>
        <v/>
      </c>
      <c r="AP215" s="134" t="str">
        <f>_xlfn.IFNA(MATCH(P215,Achievements[[#All],[Column116]],0)+10,"")</f>
        <v/>
      </c>
      <c r="AQ215" s="134" t="str">
        <f>_xlfn.IFNA(MATCH(Q215,Achievements[[#All],[Column116]],0)+10,"")</f>
        <v/>
      </c>
      <c r="AR215" s="134" t="str">
        <f>_xlfn.IFNA(MATCH(R215,Achievements[[#All],[Column117]],0)+10,"")</f>
        <v/>
      </c>
      <c r="AS215" s="134" t="str">
        <f>_xlfn.IFNA(MATCH(S215,Achievements[[#All],[Column117]],0)+10,"")</f>
        <v/>
      </c>
      <c r="AT215" s="134" t="str">
        <f>_xlfn.IFNA(MATCH(T215,Achievements[[#All],[Column118]],0)+10,"")</f>
        <v/>
      </c>
      <c r="AU215" s="134" t="str">
        <f>_xlfn.IFNA(MATCH(U215,Achievements[[#All],[Column118]],0)+10,"")</f>
        <v/>
      </c>
      <c r="AV215" s="134" t="str">
        <f>_xlfn.IFNA(MATCH(V215,Achievements[[#All],[Column119]],0)+10,"")</f>
        <v/>
      </c>
      <c r="AW215" s="134" t="str">
        <f>_xlfn.IFNA(MATCH(W215,Achievements[[#All],[Column119]],0)+10,"")</f>
        <v/>
      </c>
      <c r="AX215" s="134" t="str">
        <f>_xlfn.IFNA(MATCH(X215,Achievements[[#All],[Column120]],0)+10,"")</f>
        <v/>
      </c>
      <c r="AY215" s="134" t="str">
        <f>_xlfn.IFNA(MATCH(Y215,Achievements[[#All],[Column120]],0)+10,"")</f>
        <v/>
      </c>
      <c r="AZ215" s="116" t="e">
        <f t="shared" ca="1" si="6"/>
        <v>#NAME?</v>
      </c>
      <c r="BA215" s="134" t="e" cm="1">
        <f t="array" aca="1" ref="BA215" ca="1">SplitValues("; ",Persons[[#This Row],[Column1]])</f>
        <v>#NAME?</v>
      </c>
      <c r="CA215" s="134" t="e">
        <f ca="1">_xlfn.IFNA(MATCH(BA215,Achievements[[#All],[Column1]],0)+10,"")</f>
        <v>#NAME?</v>
      </c>
      <c r="CB215" s="134" t="str">
        <f>_xlfn.IFNA(MATCH(BB215,Achievements[[#All],[Column1]],0)+10,"")</f>
        <v/>
      </c>
      <c r="CC215" s="134" t="str">
        <f>_xlfn.IFNA(MATCH(BC215,Achievements[[#All],[Column110]],0)+10,"")</f>
        <v/>
      </c>
      <c r="CD215" s="134" t="str">
        <f>_xlfn.IFNA(MATCH(BD215,Achievements[[#All],[Column110]],0)+10,"")</f>
        <v/>
      </c>
      <c r="CE215" s="134" t="str">
        <f>_xlfn.IFNA(MATCH(BE215,Achievements[[#All],[Column111]],0)+10,"")</f>
        <v/>
      </c>
      <c r="CF215" s="134" t="str">
        <f>_xlfn.IFNA(MATCH(BF215,Achievements[[#All],[Column111]],0)+10,"")</f>
        <v/>
      </c>
      <c r="CG215" s="134" t="str">
        <f>_xlfn.IFNA(MATCH(BG215,Achievements[[#All],[Column112]],0)+10,"")</f>
        <v/>
      </c>
      <c r="CH215" s="134" t="str">
        <f>_xlfn.IFNA(MATCH(BH215,Achievements[[#All],[Column112]],0)+10,"")</f>
        <v/>
      </c>
      <c r="CI215" s="134" t="str">
        <f>_xlfn.IFNA(MATCH(BI215,Achievements[[#All],[Column113]],0)+10,"")</f>
        <v/>
      </c>
      <c r="CJ215" s="134" t="str">
        <f>_xlfn.IFNA(MATCH(BJ215,Achievements[[#All],[Column113]],0)+10,"")</f>
        <v/>
      </c>
      <c r="CK215" s="134" t="str">
        <f>_xlfn.IFNA(MATCH(BK215,Achievements[[#All],[Column114]],0)+10,"")</f>
        <v/>
      </c>
      <c r="CL215" s="134" t="str">
        <f>_xlfn.IFNA(MATCH(BL215,Achievements[[#All],[Column114]],0)+10,"")</f>
        <v/>
      </c>
      <c r="CM215" s="134" t="str">
        <f>_xlfn.IFNA(MATCH(BM215,Achievements[[#All],[Column115]],0)+10,"")</f>
        <v/>
      </c>
      <c r="CN215" s="134" t="str">
        <f>_xlfn.IFNA(MATCH(BN215,Achievements[[#All],[Column115]],0)+10,"")</f>
        <v/>
      </c>
      <c r="CO215" s="134" t="str">
        <f>_xlfn.IFNA(MATCH(BO215,Achievements[[#All],[Column116]],0)+10,"")</f>
        <v/>
      </c>
      <c r="CP215" s="134" t="str">
        <f>_xlfn.IFNA(MATCH(BP215,Achievements[[#All],[Column116]],0)+10,"")</f>
        <v/>
      </c>
      <c r="CQ215" s="134" t="str">
        <f>_xlfn.IFNA(MATCH(BQ215,Achievements[[#All],[Column117]],0)+10,"")</f>
        <v/>
      </c>
      <c r="CR215" s="134" t="str">
        <f>_xlfn.IFNA(MATCH(BR215,Achievements[[#All],[Column117]],0)+10,"")</f>
        <v/>
      </c>
      <c r="CS215" s="134" t="str">
        <f>_xlfn.IFNA(MATCH(BS215,Achievements[[#All],[Column118]],0)+10,"")</f>
        <v/>
      </c>
      <c r="CT215" s="134" t="str">
        <f>_xlfn.IFNA(MATCH(BT215,Achievements[[#All],[Column118]],0)+10,"")</f>
        <v/>
      </c>
      <c r="CU215" s="134" t="str">
        <f>_xlfn.IFNA(MATCH(BU215,Achievements[[#All],[Column119]],0)+10,"")</f>
        <v/>
      </c>
      <c r="CV215" s="134" t="str">
        <f>_xlfn.IFNA(MATCH(BV215,Achievements[[#All],[Column119]],0)+10,"")</f>
        <v/>
      </c>
      <c r="CW215" s="134" t="str">
        <f>_xlfn.IFNA(MATCH(BW215,Achievements[[#All],[Column120]],0)+10,"")</f>
        <v/>
      </c>
      <c r="CX215" s="134" t="str">
        <f>_xlfn.IFNA(MATCH(BX215,Achievements[[#All],[Column120]],0)+10,"")</f>
        <v/>
      </c>
      <c r="CY215" s="134" t="str">
        <f>_xlfn.IFNA(MATCH(BY215,Achievements[[#All],[Column121]],0)+10,"")</f>
        <v/>
      </c>
      <c r="CZ215" s="118" t="e">
        <f t="shared" ca="1" si="7"/>
        <v>#NAME?</v>
      </c>
    </row>
    <row r="216" spans="1:104" x14ac:dyDescent="0.25">
      <c r="A216" t="e" cm="1">
        <f t="array" aca="1" ref="A216" ca="1">SplitValues("; ",#REF!)</f>
        <v>#NAME?</v>
      </c>
      <c r="AA216" t="e">
        <f ca="1">_xlfn.IFNA(MATCH(A216,Achievements[[#All],[Column1]],0)+11,"")</f>
        <v>#NAME?</v>
      </c>
      <c r="AB216" s="134" t="str">
        <f>_xlfn.IFNA(MATCH(B216,Achievements[[#All],[Column1]],0)+10,"")</f>
        <v/>
      </c>
      <c r="AC216" s="134" t="str">
        <f>_xlfn.IFNA(MATCH(C216,Achievements[[#All],[Column1]],0)+10,"")</f>
        <v/>
      </c>
      <c r="AD216" s="134" t="str">
        <f>_xlfn.IFNA(MATCH(D216,Achievements[[#All],[Column110]],0)+10,"")</f>
        <v/>
      </c>
      <c r="AE216" s="134" t="str">
        <f>_xlfn.IFNA(MATCH(E216,Achievements[[#All],[Column110]],0)+10,"")</f>
        <v/>
      </c>
      <c r="AF216" s="134" t="str">
        <f>_xlfn.IFNA(MATCH(F216,Achievements[[#All],[Column111]],0)+10,"")</f>
        <v/>
      </c>
      <c r="AG216" s="134" t="str">
        <f>_xlfn.IFNA(MATCH(G216,Achievements[[#All],[Column111]],0)+10,"")</f>
        <v/>
      </c>
      <c r="AH216" s="134" t="str">
        <f>_xlfn.IFNA(MATCH(H216,Achievements[[#All],[Column112]],0)+10,"")</f>
        <v/>
      </c>
      <c r="AI216" s="134" t="str">
        <f>_xlfn.IFNA(MATCH(I216,Achievements[[#All],[Column112]],0)+10,"")</f>
        <v/>
      </c>
      <c r="AJ216" s="134" t="str">
        <f>_xlfn.IFNA(MATCH(J216,Achievements[[#All],[Column113]],0)+10,"")</f>
        <v/>
      </c>
      <c r="AK216" s="134" t="str">
        <f>_xlfn.IFNA(MATCH(K216,Achievements[[#All],[Column113]],0)+10,"")</f>
        <v/>
      </c>
      <c r="AL216" s="134" t="str">
        <f>_xlfn.IFNA(MATCH(L216,Achievements[[#All],[Column114]],0)+10,"")</f>
        <v/>
      </c>
      <c r="AM216" s="134" t="str">
        <f>_xlfn.IFNA(MATCH(M216,Achievements[[#All],[Column114]],0)+10,"")</f>
        <v/>
      </c>
      <c r="AN216" s="134" t="str">
        <f>_xlfn.IFNA(MATCH(N216,Achievements[[#All],[Column115]],0)+10,"")</f>
        <v/>
      </c>
      <c r="AO216" s="134" t="str">
        <f>_xlfn.IFNA(MATCH(O216,Achievements[[#All],[Column115]],0)+10,"")</f>
        <v/>
      </c>
      <c r="AP216" s="134" t="str">
        <f>_xlfn.IFNA(MATCH(P216,Achievements[[#All],[Column116]],0)+10,"")</f>
        <v/>
      </c>
      <c r="AQ216" s="134" t="str">
        <f>_xlfn.IFNA(MATCH(Q216,Achievements[[#All],[Column116]],0)+10,"")</f>
        <v/>
      </c>
      <c r="AR216" s="134" t="str">
        <f>_xlfn.IFNA(MATCH(R216,Achievements[[#All],[Column117]],0)+10,"")</f>
        <v/>
      </c>
      <c r="AS216" s="134" t="str">
        <f>_xlfn.IFNA(MATCH(S216,Achievements[[#All],[Column117]],0)+10,"")</f>
        <v/>
      </c>
      <c r="AT216" s="134" t="str">
        <f>_xlfn.IFNA(MATCH(T216,Achievements[[#All],[Column118]],0)+10,"")</f>
        <v/>
      </c>
      <c r="AU216" s="134" t="str">
        <f>_xlfn.IFNA(MATCH(U216,Achievements[[#All],[Column118]],0)+10,"")</f>
        <v/>
      </c>
      <c r="AV216" s="134" t="str">
        <f>_xlfn.IFNA(MATCH(V216,Achievements[[#All],[Column119]],0)+10,"")</f>
        <v/>
      </c>
      <c r="AW216" s="134" t="str">
        <f>_xlfn.IFNA(MATCH(W216,Achievements[[#All],[Column119]],0)+10,"")</f>
        <v/>
      </c>
      <c r="AX216" s="134" t="str">
        <f>_xlfn.IFNA(MATCH(X216,Achievements[[#All],[Column120]],0)+10,"")</f>
        <v/>
      </c>
      <c r="AY216" s="134" t="str">
        <f>_xlfn.IFNA(MATCH(Y216,Achievements[[#All],[Column120]],0)+10,"")</f>
        <v/>
      </c>
      <c r="AZ216" s="116" t="e">
        <f t="shared" ca="1" si="6"/>
        <v>#NAME?</v>
      </c>
      <c r="BA216" s="134" t="e" cm="1">
        <f t="array" aca="1" ref="BA216" ca="1">SplitValues("; ",Persons[[#This Row],[Column1]])</f>
        <v>#NAME?</v>
      </c>
      <c r="CA216" s="134" t="e">
        <f ca="1">_xlfn.IFNA(MATCH(BA216,Achievements[[#All],[Column1]],0)+10,"")</f>
        <v>#NAME?</v>
      </c>
      <c r="CB216" s="134" t="str">
        <f>_xlfn.IFNA(MATCH(BB216,Achievements[[#All],[Column1]],0)+10,"")</f>
        <v/>
      </c>
      <c r="CC216" s="134" t="str">
        <f>_xlfn.IFNA(MATCH(BC216,Achievements[[#All],[Column110]],0)+10,"")</f>
        <v/>
      </c>
      <c r="CD216" s="134" t="str">
        <f>_xlfn.IFNA(MATCH(BD216,Achievements[[#All],[Column110]],0)+10,"")</f>
        <v/>
      </c>
      <c r="CE216" s="134" t="str">
        <f>_xlfn.IFNA(MATCH(BE216,Achievements[[#All],[Column111]],0)+10,"")</f>
        <v/>
      </c>
      <c r="CF216" s="134" t="str">
        <f>_xlfn.IFNA(MATCH(BF216,Achievements[[#All],[Column111]],0)+10,"")</f>
        <v/>
      </c>
      <c r="CG216" s="134" t="str">
        <f>_xlfn.IFNA(MATCH(BG216,Achievements[[#All],[Column112]],0)+10,"")</f>
        <v/>
      </c>
      <c r="CH216" s="134" t="str">
        <f>_xlfn.IFNA(MATCH(BH216,Achievements[[#All],[Column112]],0)+10,"")</f>
        <v/>
      </c>
      <c r="CI216" s="134" t="str">
        <f>_xlfn.IFNA(MATCH(BI216,Achievements[[#All],[Column113]],0)+10,"")</f>
        <v/>
      </c>
      <c r="CJ216" s="134" t="str">
        <f>_xlfn.IFNA(MATCH(BJ216,Achievements[[#All],[Column113]],0)+10,"")</f>
        <v/>
      </c>
      <c r="CK216" s="134" t="str">
        <f>_xlfn.IFNA(MATCH(BK216,Achievements[[#All],[Column114]],0)+10,"")</f>
        <v/>
      </c>
      <c r="CL216" s="134" t="str">
        <f>_xlfn.IFNA(MATCH(BL216,Achievements[[#All],[Column114]],0)+10,"")</f>
        <v/>
      </c>
      <c r="CM216" s="134" t="str">
        <f>_xlfn.IFNA(MATCH(BM216,Achievements[[#All],[Column115]],0)+10,"")</f>
        <v/>
      </c>
      <c r="CN216" s="134" t="str">
        <f>_xlfn.IFNA(MATCH(BN216,Achievements[[#All],[Column115]],0)+10,"")</f>
        <v/>
      </c>
      <c r="CO216" s="134" t="str">
        <f>_xlfn.IFNA(MATCH(BO216,Achievements[[#All],[Column116]],0)+10,"")</f>
        <v/>
      </c>
      <c r="CP216" s="134" t="str">
        <f>_xlfn.IFNA(MATCH(BP216,Achievements[[#All],[Column116]],0)+10,"")</f>
        <v/>
      </c>
      <c r="CQ216" s="134" t="str">
        <f>_xlfn.IFNA(MATCH(BQ216,Achievements[[#All],[Column117]],0)+10,"")</f>
        <v/>
      </c>
      <c r="CR216" s="134" t="str">
        <f>_xlfn.IFNA(MATCH(BR216,Achievements[[#All],[Column117]],0)+10,"")</f>
        <v/>
      </c>
      <c r="CS216" s="134" t="str">
        <f>_xlfn.IFNA(MATCH(BS216,Achievements[[#All],[Column118]],0)+10,"")</f>
        <v/>
      </c>
      <c r="CT216" s="134" t="str">
        <f>_xlfn.IFNA(MATCH(BT216,Achievements[[#All],[Column118]],0)+10,"")</f>
        <v/>
      </c>
      <c r="CU216" s="134" t="str">
        <f>_xlfn.IFNA(MATCH(BU216,Achievements[[#All],[Column119]],0)+10,"")</f>
        <v/>
      </c>
      <c r="CV216" s="134" t="str">
        <f>_xlfn.IFNA(MATCH(BV216,Achievements[[#All],[Column119]],0)+10,"")</f>
        <v/>
      </c>
      <c r="CW216" s="134" t="str">
        <f>_xlfn.IFNA(MATCH(BW216,Achievements[[#All],[Column120]],0)+10,"")</f>
        <v/>
      </c>
      <c r="CX216" s="134" t="str">
        <f>_xlfn.IFNA(MATCH(BX216,Achievements[[#All],[Column120]],0)+10,"")</f>
        <v/>
      </c>
      <c r="CY216" s="134" t="str">
        <f>_xlfn.IFNA(MATCH(BY216,Achievements[[#All],[Column121]],0)+10,"")</f>
        <v/>
      </c>
      <c r="CZ216" s="118" t="e">
        <f t="shared" ca="1" si="7"/>
        <v>#NAME?</v>
      </c>
    </row>
    <row r="217" spans="1:104" x14ac:dyDescent="0.25">
      <c r="A217" t="e" cm="1">
        <f t="array" aca="1" ref="A217" ca="1">SplitValues("; ",#REF!)</f>
        <v>#NAME?</v>
      </c>
      <c r="AA217" t="e">
        <f ca="1">_xlfn.IFNA(MATCH(A217,Achievements[[#All],[Column1]],0)+11,"")</f>
        <v>#NAME?</v>
      </c>
      <c r="AB217" s="134" t="str">
        <f>_xlfn.IFNA(MATCH(B217,Achievements[[#All],[Column1]],0)+10,"")</f>
        <v/>
      </c>
      <c r="AC217" s="134" t="str">
        <f>_xlfn.IFNA(MATCH(C217,Achievements[[#All],[Column1]],0)+10,"")</f>
        <v/>
      </c>
      <c r="AD217" s="134" t="str">
        <f>_xlfn.IFNA(MATCH(D217,Achievements[[#All],[Column110]],0)+10,"")</f>
        <v/>
      </c>
      <c r="AE217" s="134" t="str">
        <f>_xlfn.IFNA(MATCH(E217,Achievements[[#All],[Column110]],0)+10,"")</f>
        <v/>
      </c>
      <c r="AF217" s="134" t="str">
        <f>_xlfn.IFNA(MATCH(F217,Achievements[[#All],[Column111]],0)+10,"")</f>
        <v/>
      </c>
      <c r="AG217" s="134" t="str">
        <f>_xlfn.IFNA(MATCH(G217,Achievements[[#All],[Column111]],0)+10,"")</f>
        <v/>
      </c>
      <c r="AH217" s="134" t="str">
        <f>_xlfn.IFNA(MATCH(H217,Achievements[[#All],[Column112]],0)+10,"")</f>
        <v/>
      </c>
      <c r="AI217" s="134" t="str">
        <f>_xlfn.IFNA(MATCH(I217,Achievements[[#All],[Column112]],0)+10,"")</f>
        <v/>
      </c>
      <c r="AJ217" s="134" t="str">
        <f>_xlfn.IFNA(MATCH(J217,Achievements[[#All],[Column113]],0)+10,"")</f>
        <v/>
      </c>
      <c r="AK217" s="134" t="str">
        <f>_xlfn.IFNA(MATCH(K217,Achievements[[#All],[Column113]],0)+10,"")</f>
        <v/>
      </c>
      <c r="AL217" s="134" t="str">
        <f>_xlfn.IFNA(MATCH(L217,Achievements[[#All],[Column114]],0)+10,"")</f>
        <v/>
      </c>
      <c r="AM217" s="134" t="str">
        <f>_xlfn.IFNA(MATCH(M217,Achievements[[#All],[Column114]],0)+10,"")</f>
        <v/>
      </c>
      <c r="AN217" s="134" t="str">
        <f>_xlfn.IFNA(MATCH(N217,Achievements[[#All],[Column115]],0)+10,"")</f>
        <v/>
      </c>
      <c r="AO217" s="134" t="str">
        <f>_xlfn.IFNA(MATCH(O217,Achievements[[#All],[Column115]],0)+10,"")</f>
        <v/>
      </c>
      <c r="AP217" s="134" t="str">
        <f>_xlfn.IFNA(MATCH(P217,Achievements[[#All],[Column116]],0)+10,"")</f>
        <v/>
      </c>
      <c r="AQ217" s="134" t="str">
        <f>_xlfn.IFNA(MATCH(Q217,Achievements[[#All],[Column116]],0)+10,"")</f>
        <v/>
      </c>
      <c r="AR217" s="134" t="str">
        <f>_xlfn.IFNA(MATCH(R217,Achievements[[#All],[Column117]],0)+10,"")</f>
        <v/>
      </c>
      <c r="AS217" s="134" t="str">
        <f>_xlfn.IFNA(MATCH(S217,Achievements[[#All],[Column117]],0)+10,"")</f>
        <v/>
      </c>
      <c r="AT217" s="134" t="str">
        <f>_xlfn.IFNA(MATCH(T217,Achievements[[#All],[Column118]],0)+10,"")</f>
        <v/>
      </c>
      <c r="AU217" s="134" t="str">
        <f>_xlfn.IFNA(MATCH(U217,Achievements[[#All],[Column118]],0)+10,"")</f>
        <v/>
      </c>
      <c r="AV217" s="134" t="str">
        <f>_xlfn.IFNA(MATCH(V217,Achievements[[#All],[Column119]],0)+10,"")</f>
        <v/>
      </c>
      <c r="AW217" s="134" t="str">
        <f>_xlfn.IFNA(MATCH(W217,Achievements[[#All],[Column119]],0)+10,"")</f>
        <v/>
      </c>
      <c r="AX217" s="134" t="str">
        <f>_xlfn.IFNA(MATCH(X217,Achievements[[#All],[Column120]],0)+10,"")</f>
        <v/>
      </c>
      <c r="AY217" s="134" t="str">
        <f>_xlfn.IFNA(MATCH(Y217,Achievements[[#All],[Column120]],0)+10,"")</f>
        <v/>
      </c>
      <c r="AZ217" s="116" t="e">
        <f t="shared" ca="1" si="6"/>
        <v>#NAME?</v>
      </c>
      <c r="BA217" s="134" t="e" cm="1">
        <f t="array" aca="1" ref="BA217" ca="1">SplitValues("; ",Persons[[#This Row],[Column1]])</f>
        <v>#NAME?</v>
      </c>
      <c r="CA217" s="134" t="e">
        <f ca="1">_xlfn.IFNA(MATCH(BA217,Achievements[[#All],[Column1]],0)+10,"")</f>
        <v>#NAME?</v>
      </c>
      <c r="CB217" s="134" t="str">
        <f>_xlfn.IFNA(MATCH(BB217,Achievements[[#All],[Column1]],0)+10,"")</f>
        <v/>
      </c>
      <c r="CC217" s="134" t="str">
        <f>_xlfn.IFNA(MATCH(BC217,Achievements[[#All],[Column110]],0)+10,"")</f>
        <v/>
      </c>
      <c r="CD217" s="134" t="str">
        <f>_xlfn.IFNA(MATCH(BD217,Achievements[[#All],[Column110]],0)+10,"")</f>
        <v/>
      </c>
      <c r="CE217" s="134" t="str">
        <f>_xlfn.IFNA(MATCH(BE217,Achievements[[#All],[Column111]],0)+10,"")</f>
        <v/>
      </c>
      <c r="CF217" s="134" t="str">
        <f>_xlfn.IFNA(MATCH(BF217,Achievements[[#All],[Column111]],0)+10,"")</f>
        <v/>
      </c>
      <c r="CG217" s="134" t="str">
        <f>_xlfn.IFNA(MATCH(BG217,Achievements[[#All],[Column112]],0)+10,"")</f>
        <v/>
      </c>
      <c r="CH217" s="134" t="str">
        <f>_xlfn.IFNA(MATCH(BH217,Achievements[[#All],[Column112]],0)+10,"")</f>
        <v/>
      </c>
      <c r="CI217" s="134" t="str">
        <f>_xlfn.IFNA(MATCH(BI217,Achievements[[#All],[Column113]],0)+10,"")</f>
        <v/>
      </c>
      <c r="CJ217" s="134" t="str">
        <f>_xlfn.IFNA(MATCH(BJ217,Achievements[[#All],[Column113]],0)+10,"")</f>
        <v/>
      </c>
      <c r="CK217" s="134" t="str">
        <f>_xlfn.IFNA(MATCH(BK217,Achievements[[#All],[Column114]],0)+10,"")</f>
        <v/>
      </c>
      <c r="CL217" s="134" t="str">
        <f>_xlfn.IFNA(MATCH(BL217,Achievements[[#All],[Column114]],0)+10,"")</f>
        <v/>
      </c>
      <c r="CM217" s="134" t="str">
        <f>_xlfn.IFNA(MATCH(BM217,Achievements[[#All],[Column115]],0)+10,"")</f>
        <v/>
      </c>
      <c r="CN217" s="134" t="str">
        <f>_xlfn.IFNA(MATCH(BN217,Achievements[[#All],[Column115]],0)+10,"")</f>
        <v/>
      </c>
      <c r="CO217" s="134" t="str">
        <f>_xlfn.IFNA(MATCH(BO217,Achievements[[#All],[Column116]],0)+10,"")</f>
        <v/>
      </c>
      <c r="CP217" s="134" t="str">
        <f>_xlfn.IFNA(MATCH(BP217,Achievements[[#All],[Column116]],0)+10,"")</f>
        <v/>
      </c>
      <c r="CQ217" s="134" t="str">
        <f>_xlfn.IFNA(MATCH(BQ217,Achievements[[#All],[Column117]],0)+10,"")</f>
        <v/>
      </c>
      <c r="CR217" s="134" t="str">
        <f>_xlfn.IFNA(MATCH(BR217,Achievements[[#All],[Column117]],0)+10,"")</f>
        <v/>
      </c>
      <c r="CS217" s="134" t="str">
        <f>_xlfn.IFNA(MATCH(BS217,Achievements[[#All],[Column118]],0)+10,"")</f>
        <v/>
      </c>
      <c r="CT217" s="134" t="str">
        <f>_xlfn.IFNA(MATCH(BT217,Achievements[[#All],[Column118]],0)+10,"")</f>
        <v/>
      </c>
      <c r="CU217" s="134" t="str">
        <f>_xlfn.IFNA(MATCH(BU217,Achievements[[#All],[Column119]],0)+10,"")</f>
        <v/>
      </c>
      <c r="CV217" s="134" t="str">
        <f>_xlfn.IFNA(MATCH(BV217,Achievements[[#All],[Column119]],0)+10,"")</f>
        <v/>
      </c>
      <c r="CW217" s="134" t="str">
        <f>_xlfn.IFNA(MATCH(BW217,Achievements[[#All],[Column120]],0)+10,"")</f>
        <v/>
      </c>
      <c r="CX217" s="134" t="str">
        <f>_xlfn.IFNA(MATCH(BX217,Achievements[[#All],[Column120]],0)+10,"")</f>
        <v/>
      </c>
      <c r="CY217" s="134" t="str">
        <f>_xlfn.IFNA(MATCH(BY217,Achievements[[#All],[Column121]],0)+10,"")</f>
        <v/>
      </c>
      <c r="CZ217" s="118" t="e">
        <f t="shared" ca="1" si="7"/>
        <v>#NAME?</v>
      </c>
    </row>
    <row r="218" spans="1:104" x14ac:dyDescent="0.25">
      <c r="A218" t="e" cm="1">
        <f t="array" aca="1" ref="A218" ca="1">SplitValues("; ",#REF!)</f>
        <v>#NAME?</v>
      </c>
      <c r="AA218" t="e">
        <f ca="1">_xlfn.IFNA(MATCH(A218,Achievements[[#All],[Column1]],0)+11,"")</f>
        <v>#NAME?</v>
      </c>
      <c r="AB218" s="134" t="str">
        <f>_xlfn.IFNA(MATCH(B218,Achievements[[#All],[Column1]],0)+10,"")</f>
        <v/>
      </c>
      <c r="AC218" s="134" t="str">
        <f>_xlfn.IFNA(MATCH(C218,Achievements[[#All],[Column1]],0)+10,"")</f>
        <v/>
      </c>
      <c r="AD218" s="134" t="str">
        <f>_xlfn.IFNA(MATCH(D218,Achievements[[#All],[Column110]],0)+10,"")</f>
        <v/>
      </c>
      <c r="AE218" s="134" t="str">
        <f>_xlfn.IFNA(MATCH(E218,Achievements[[#All],[Column110]],0)+10,"")</f>
        <v/>
      </c>
      <c r="AF218" s="134" t="str">
        <f>_xlfn.IFNA(MATCH(F218,Achievements[[#All],[Column111]],0)+10,"")</f>
        <v/>
      </c>
      <c r="AG218" s="134" t="str">
        <f>_xlfn.IFNA(MATCH(G218,Achievements[[#All],[Column111]],0)+10,"")</f>
        <v/>
      </c>
      <c r="AH218" s="134" t="str">
        <f>_xlfn.IFNA(MATCH(H218,Achievements[[#All],[Column112]],0)+10,"")</f>
        <v/>
      </c>
      <c r="AI218" s="134" t="str">
        <f>_xlfn.IFNA(MATCH(I218,Achievements[[#All],[Column112]],0)+10,"")</f>
        <v/>
      </c>
      <c r="AJ218" s="134" t="str">
        <f>_xlfn.IFNA(MATCH(J218,Achievements[[#All],[Column113]],0)+10,"")</f>
        <v/>
      </c>
      <c r="AK218" s="134" t="str">
        <f>_xlfn.IFNA(MATCH(K218,Achievements[[#All],[Column113]],0)+10,"")</f>
        <v/>
      </c>
      <c r="AL218" s="134" t="str">
        <f>_xlfn.IFNA(MATCH(L218,Achievements[[#All],[Column114]],0)+10,"")</f>
        <v/>
      </c>
      <c r="AM218" s="134" t="str">
        <f>_xlfn.IFNA(MATCH(M218,Achievements[[#All],[Column114]],0)+10,"")</f>
        <v/>
      </c>
      <c r="AN218" s="134" t="str">
        <f>_xlfn.IFNA(MATCH(N218,Achievements[[#All],[Column115]],0)+10,"")</f>
        <v/>
      </c>
      <c r="AO218" s="134" t="str">
        <f>_xlfn.IFNA(MATCH(O218,Achievements[[#All],[Column115]],0)+10,"")</f>
        <v/>
      </c>
      <c r="AP218" s="134" t="str">
        <f>_xlfn.IFNA(MATCH(P218,Achievements[[#All],[Column116]],0)+10,"")</f>
        <v/>
      </c>
      <c r="AQ218" s="134" t="str">
        <f>_xlfn.IFNA(MATCH(Q218,Achievements[[#All],[Column116]],0)+10,"")</f>
        <v/>
      </c>
      <c r="AR218" s="134" t="str">
        <f>_xlfn.IFNA(MATCH(R218,Achievements[[#All],[Column117]],0)+10,"")</f>
        <v/>
      </c>
      <c r="AS218" s="134" t="str">
        <f>_xlfn.IFNA(MATCH(S218,Achievements[[#All],[Column117]],0)+10,"")</f>
        <v/>
      </c>
      <c r="AT218" s="134" t="str">
        <f>_xlfn.IFNA(MATCH(T218,Achievements[[#All],[Column118]],0)+10,"")</f>
        <v/>
      </c>
      <c r="AU218" s="134" t="str">
        <f>_xlfn.IFNA(MATCH(U218,Achievements[[#All],[Column118]],0)+10,"")</f>
        <v/>
      </c>
      <c r="AV218" s="134" t="str">
        <f>_xlfn.IFNA(MATCH(V218,Achievements[[#All],[Column119]],0)+10,"")</f>
        <v/>
      </c>
      <c r="AW218" s="134" t="str">
        <f>_xlfn.IFNA(MATCH(W218,Achievements[[#All],[Column119]],0)+10,"")</f>
        <v/>
      </c>
      <c r="AX218" s="134" t="str">
        <f>_xlfn.IFNA(MATCH(X218,Achievements[[#All],[Column120]],0)+10,"")</f>
        <v/>
      </c>
      <c r="AY218" s="134" t="str">
        <f>_xlfn.IFNA(MATCH(Y218,Achievements[[#All],[Column120]],0)+10,"")</f>
        <v/>
      </c>
      <c r="AZ218" s="116" t="e">
        <f t="shared" ca="1" si="6"/>
        <v>#NAME?</v>
      </c>
      <c r="BA218" s="134" t="e" cm="1">
        <f t="array" aca="1" ref="BA218" ca="1">SplitValues("; ",Persons[[#This Row],[Column1]])</f>
        <v>#NAME?</v>
      </c>
      <c r="CA218" s="134" t="e">
        <f ca="1">_xlfn.IFNA(MATCH(BA218,Achievements[[#All],[Column1]],0)+10,"")</f>
        <v>#NAME?</v>
      </c>
      <c r="CB218" s="134" t="str">
        <f>_xlfn.IFNA(MATCH(BB218,Achievements[[#All],[Column1]],0)+10,"")</f>
        <v/>
      </c>
      <c r="CC218" s="134" t="str">
        <f>_xlfn.IFNA(MATCH(BC218,Achievements[[#All],[Column110]],0)+10,"")</f>
        <v/>
      </c>
      <c r="CD218" s="134" t="str">
        <f>_xlfn.IFNA(MATCH(BD218,Achievements[[#All],[Column110]],0)+10,"")</f>
        <v/>
      </c>
      <c r="CE218" s="134" t="str">
        <f>_xlfn.IFNA(MATCH(BE218,Achievements[[#All],[Column111]],0)+10,"")</f>
        <v/>
      </c>
      <c r="CF218" s="134" t="str">
        <f>_xlfn.IFNA(MATCH(BF218,Achievements[[#All],[Column111]],0)+10,"")</f>
        <v/>
      </c>
      <c r="CG218" s="134" t="str">
        <f>_xlfn.IFNA(MATCH(BG218,Achievements[[#All],[Column112]],0)+10,"")</f>
        <v/>
      </c>
      <c r="CH218" s="134" t="str">
        <f>_xlfn.IFNA(MATCH(BH218,Achievements[[#All],[Column112]],0)+10,"")</f>
        <v/>
      </c>
      <c r="CI218" s="134" t="str">
        <f>_xlfn.IFNA(MATCH(BI218,Achievements[[#All],[Column113]],0)+10,"")</f>
        <v/>
      </c>
      <c r="CJ218" s="134" t="str">
        <f>_xlfn.IFNA(MATCH(BJ218,Achievements[[#All],[Column113]],0)+10,"")</f>
        <v/>
      </c>
      <c r="CK218" s="134" t="str">
        <f>_xlfn.IFNA(MATCH(BK218,Achievements[[#All],[Column114]],0)+10,"")</f>
        <v/>
      </c>
      <c r="CL218" s="134" t="str">
        <f>_xlfn.IFNA(MATCH(BL218,Achievements[[#All],[Column114]],0)+10,"")</f>
        <v/>
      </c>
      <c r="CM218" s="134" t="str">
        <f>_xlfn.IFNA(MATCH(BM218,Achievements[[#All],[Column115]],0)+10,"")</f>
        <v/>
      </c>
      <c r="CN218" s="134" t="str">
        <f>_xlfn.IFNA(MATCH(BN218,Achievements[[#All],[Column115]],0)+10,"")</f>
        <v/>
      </c>
      <c r="CO218" s="134" t="str">
        <f>_xlfn.IFNA(MATCH(BO218,Achievements[[#All],[Column116]],0)+10,"")</f>
        <v/>
      </c>
      <c r="CP218" s="134" t="str">
        <f>_xlfn.IFNA(MATCH(BP218,Achievements[[#All],[Column116]],0)+10,"")</f>
        <v/>
      </c>
      <c r="CQ218" s="134" t="str">
        <f>_xlfn.IFNA(MATCH(BQ218,Achievements[[#All],[Column117]],0)+10,"")</f>
        <v/>
      </c>
      <c r="CR218" s="134" t="str">
        <f>_xlfn.IFNA(MATCH(BR218,Achievements[[#All],[Column117]],0)+10,"")</f>
        <v/>
      </c>
      <c r="CS218" s="134" t="str">
        <f>_xlfn.IFNA(MATCH(BS218,Achievements[[#All],[Column118]],0)+10,"")</f>
        <v/>
      </c>
      <c r="CT218" s="134" t="str">
        <f>_xlfn.IFNA(MATCH(BT218,Achievements[[#All],[Column118]],0)+10,"")</f>
        <v/>
      </c>
      <c r="CU218" s="134" t="str">
        <f>_xlfn.IFNA(MATCH(BU218,Achievements[[#All],[Column119]],0)+10,"")</f>
        <v/>
      </c>
      <c r="CV218" s="134" t="str">
        <f>_xlfn.IFNA(MATCH(BV218,Achievements[[#All],[Column119]],0)+10,"")</f>
        <v/>
      </c>
      <c r="CW218" s="134" t="str">
        <f>_xlfn.IFNA(MATCH(BW218,Achievements[[#All],[Column120]],0)+10,"")</f>
        <v/>
      </c>
      <c r="CX218" s="134" t="str">
        <f>_xlfn.IFNA(MATCH(BX218,Achievements[[#All],[Column120]],0)+10,"")</f>
        <v/>
      </c>
      <c r="CY218" s="134" t="str">
        <f>_xlfn.IFNA(MATCH(BY218,Achievements[[#All],[Column121]],0)+10,"")</f>
        <v/>
      </c>
      <c r="CZ218" s="118" t="e">
        <f t="shared" ca="1" si="7"/>
        <v>#NAME?</v>
      </c>
    </row>
    <row r="219" spans="1:104" x14ac:dyDescent="0.25">
      <c r="A219" t="e" cm="1">
        <f t="array" aca="1" ref="A219" ca="1">SplitValues("; ",#REF!)</f>
        <v>#NAME?</v>
      </c>
      <c r="AA219" t="e">
        <f ca="1">_xlfn.IFNA(MATCH(A219,Achievements[[#All],[Column1]],0)+11,"")</f>
        <v>#NAME?</v>
      </c>
      <c r="AB219" s="134" t="str">
        <f>_xlfn.IFNA(MATCH(B219,Achievements[[#All],[Column1]],0)+10,"")</f>
        <v/>
      </c>
      <c r="AC219" s="134" t="str">
        <f>_xlfn.IFNA(MATCH(C219,Achievements[[#All],[Column1]],0)+10,"")</f>
        <v/>
      </c>
      <c r="AD219" s="134" t="str">
        <f>_xlfn.IFNA(MATCH(D219,Achievements[[#All],[Column110]],0)+10,"")</f>
        <v/>
      </c>
      <c r="AE219" s="134" t="str">
        <f>_xlfn.IFNA(MATCH(E219,Achievements[[#All],[Column110]],0)+10,"")</f>
        <v/>
      </c>
      <c r="AF219" s="134" t="str">
        <f>_xlfn.IFNA(MATCH(F219,Achievements[[#All],[Column111]],0)+10,"")</f>
        <v/>
      </c>
      <c r="AG219" s="134" t="str">
        <f>_xlfn.IFNA(MATCH(G219,Achievements[[#All],[Column111]],0)+10,"")</f>
        <v/>
      </c>
      <c r="AH219" s="134" t="str">
        <f>_xlfn.IFNA(MATCH(H219,Achievements[[#All],[Column112]],0)+10,"")</f>
        <v/>
      </c>
      <c r="AI219" s="134" t="str">
        <f>_xlfn.IFNA(MATCH(I219,Achievements[[#All],[Column112]],0)+10,"")</f>
        <v/>
      </c>
      <c r="AJ219" s="134" t="str">
        <f>_xlfn.IFNA(MATCH(J219,Achievements[[#All],[Column113]],0)+10,"")</f>
        <v/>
      </c>
      <c r="AK219" s="134" t="str">
        <f>_xlfn.IFNA(MATCH(K219,Achievements[[#All],[Column113]],0)+10,"")</f>
        <v/>
      </c>
      <c r="AL219" s="134" t="str">
        <f>_xlfn.IFNA(MATCH(L219,Achievements[[#All],[Column114]],0)+10,"")</f>
        <v/>
      </c>
      <c r="AM219" s="134" t="str">
        <f>_xlfn.IFNA(MATCH(M219,Achievements[[#All],[Column114]],0)+10,"")</f>
        <v/>
      </c>
      <c r="AN219" s="134" t="str">
        <f>_xlfn.IFNA(MATCH(N219,Achievements[[#All],[Column115]],0)+10,"")</f>
        <v/>
      </c>
      <c r="AO219" s="134" t="str">
        <f>_xlfn.IFNA(MATCH(O219,Achievements[[#All],[Column115]],0)+10,"")</f>
        <v/>
      </c>
      <c r="AP219" s="134" t="str">
        <f>_xlfn.IFNA(MATCH(P219,Achievements[[#All],[Column116]],0)+10,"")</f>
        <v/>
      </c>
      <c r="AQ219" s="134" t="str">
        <f>_xlfn.IFNA(MATCH(Q219,Achievements[[#All],[Column116]],0)+10,"")</f>
        <v/>
      </c>
      <c r="AR219" s="134" t="str">
        <f>_xlfn.IFNA(MATCH(R219,Achievements[[#All],[Column117]],0)+10,"")</f>
        <v/>
      </c>
      <c r="AS219" s="134" t="str">
        <f>_xlfn.IFNA(MATCH(S219,Achievements[[#All],[Column117]],0)+10,"")</f>
        <v/>
      </c>
      <c r="AT219" s="134" t="str">
        <f>_xlfn.IFNA(MATCH(T219,Achievements[[#All],[Column118]],0)+10,"")</f>
        <v/>
      </c>
      <c r="AU219" s="134" t="str">
        <f>_xlfn.IFNA(MATCH(U219,Achievements[[#All],[Column118]],0)+10,"")</f>
        <v/>
      </c>
      <c r="AV219" s="134" t="str">
        <f>_xlfn.IFNA(MATCH(V219,Achievements[[#All],[Column119]],0)+10,"")</f>
        <v/>
      </c>
      <c r="AW219" s="134" t="str">
        <f>_xlfn.IFNA(MATCH(W219,Achievements[[#All],[Column119]],0)+10,"")</f>
        <v/>
      </c>
      <c r="AX219" s="134" t="str">
        <f>_xlfn.IFNA(MATCH(X219,Achievements[[#All],[Column120]],0)+10,"")</f>
        <v/>
      </c>
      <c r="AY219" s="134" t="str">
        <f>_xlfn.IFNA(MATCH(Y219,Achievements[[#All],[Column120]],0)+10,"")</f>
        <v/>
      </c>
      <c r="AZ219" s="116" t="e">
        <f t="shared" ca="1" si="6"/>
        <v>#NAME?</v>
      </c>
      <c r="BA219" s="134" t="e" cm="1">
        <f t="array" aca="1" ref="BA219" ca="1">SplitValues("; ",Persons[[#This Row],[Column1]])</f>
        <v>#NAME?</v>
      </c>
      <c r="CA219" s="134" t="e">
        <f ca="1">_xlfn.IFNA(MATCH(BA219,Achievements[[#All],[Column1]],0)+10,"")</f>
        <v>#NAME?</v>
      </c>
      <c r="CB219" s="134" t="str">
        <f>_xlfn.IFNA(MATCH(BB219,Achievements[[#All],[Column1]],0)+10,"")</f>
        <v/>
      </c>
      <c r="CC219" s="134" t="str">
        <f>_xlfn.IFNA(MATCH(BC219,Achievements[[#All],[Column110]],0)+10,"")</f>
        <v/>
      </c>
      <c r="CD219" s="134" t="str">
        <f>_xlfn.IFNA(MATCH(BD219,Achievements[[#All],[Column110]],0)+10,"")</f>
        <v/>
      </c>
      <c r="CE219" s="134" t="str">
        <f>_xlfn.IFNA(MATCH(BE219,Achievements[[#All],[Column111]],0)+10,"")</f>
        <v/>
      </c>
      <c r="CF219" s="134" t="str">
        <f>_xlfn.IFNA(MATCH(BF219,Achievements[[#All],[Column111]],0)+10,"")</f>
        <v/>
      </c>
      <c r="CG219" s="134" t="str">
        <f>_xlfn.IFNA(MATCH(BG219,Achievements[[#All],[Column112]],0)+10,"")</f>
        <v/>
      </c>
      <c r="CH219" s="134" t="str">
        <f>_xlfn.IFNA(MATCH(BH219,Achievements[[#All],[Column112]],0)+10,"")</f>
        <v/>
      </c>
      <c r="CI219" s="134" t="str">
        <f>_xlfn.IFNA(MATCH(BI219,Achievements[[#All],[Column113]],0)+10,"")</f>
        <v/>
      </c>
      <c r="CJ219" s="134" t="str">
        <f>_xlfn.IFNA(MATCH(BJ219,Achievements[[#All],[Column113]],0)+10,"")</f>
        <v/>
      </c>
      <c r="CK219" s="134" t="str">
        <f>_xlfn.IFNA(MATCH(BK219,Achievements[[#All],[Column114]],0)+10,"")</f>
        <v/>
      </c>
      <c r="CL219" s="134" t="str">
        <f>_xlfn.IFNA(MATCH(BL219,Achievements[[#All],[Column114]],0)+10,"")</f>
        <v/>
      </c>
      <c r="CM219" s="134" t="str">
        <f>_xlfn.IFNA(MATCH(BM219,Achievements[[#All],[Column115]],0)+10,"")</f>
        <v/>
      </c>
      <c r="CN219" s="134" t="str">
        <f>_xlfn.IFNA(MATCH(BN219,Achievements[[#All],[Column115]],0)+10,"")</f>
        <v/>
      </c>
      <c r="CO219" s="134" t="str">
        <f>_xlfn.IFNA(MATCH(BO219,Achievements[[#All],[Column116]],0)+10,"")</f>
        <v/>
      </c>
      <c r="CP219" s="134" t="str">
        <f>_xlfn.IFNA(MATCH(BP219,Achievements[[#All],[Column116]],0)+10,"")</f>
        <v/>
      </c>
      <c r="CQ219" s="134" t="str">
        <f>_xlfn.IFNA(MATCH(BQ219,Achievements[[#All],[Column117]],0)+10,"")</f>
        <v/>
      </c>
      <c r="CR219" s="134" t="str">
        <f>_xlfn.IFNA(MATCH(BR219,Achievements[[#All],[Column117]],0)+10,"")</f>
        <v/>
      </c>
      <c r="CS219" s="134" t="str">
        <f>_xlfn.IFNA(MATCH(BS219,Achievements[[#All],[Column118]],0)+10,"")</f>
        <v/>
      </c>
      <c r="CT219" s="134" t="str">
        <f>_xlfn.IFNA(MATCH(BT219,Achievements[[#All],[Column118]],0)+10,"")</f>
        <v/>
      </c>
      <c r="CU219" s="134" t="str">
        <f>_xlfn.IFNA(MATCH(BU219,Achievements[[#All],[Column119]],0)+10,"")</f>
        <v/>
      </c>
      <c r="CV219" s="134" t="str">
        <f>_xlfn.IFNA(MATCH(BV219,Achievements[[#All],[Column119]],0)+10,"")</f>
        <v/>
      </c>
      <c r="CW219" s="134" t="str">
        <f>_xlfn.IFNA(MATCH(BW219,Achievements[[#All],[Column120]],0)+10,"")</f>
        <v/>
      </c>
      <c r="CX219" s="134" t="str">
        <f>_xlfn.IFNA(MATCH(BX219,Achievements[[#All],[Column120]],0)+10,"")</f>
        <v/>
      </c>
      <c r="CY219" s="134" t="str">
        <f>_xlfn.IFNA(MATCH(BY219,Achievements[[#All],[Column121]],0)+10,"")</f>
        <v/>
      </c>
      <c r="CZ219" s="118" t="e">
        <f t="shared" ca="1" si="7"/>
        <v>#NAME?</v>
      </c>
    </row>
    <row r="220" spans="1:104" x14ac:dyDescent="0.25">
      <c r="A220" t="e" cm="1">
        <f t="array" aca="1" ref="A220" ca="1">SplitValues("; ",#REF!)</f>
        <v>#NAME?</v>
      </c>
      <c r="AA220" t="e">
        <f ca="1">_xlfn.IFNA(MATCH(A220,Achievements[[#All],[Column1]],0)+11,"")</f>
        <v>#NAME?</v>
      </c>
      <c r="AB220" s="134" t="str">
        <f>_xlfn.IFNA(MATCH(B220,Achievements[[#All],[Column1]],0)+10,"")</f>
        <v/>
      </c>
      <c r="AC220" s="134" t="str">
        <f>_xlfn.IFNA(MATCH(C220,Achievements[[#All],[Column1]],0)+10,"")</f>
        <v/>
      </c>
      <c r="AD220" s="134" t="str">
        <f>_xlfn.IFNA(MATCH(D220,Achievements[[#All],[Column110]],0)+10,"")</f>
        <v/>
      </c>
      <c r="AE220" s="134" t="str">
        <f>_xlfn.IFNA(MATCH(E220,Achievements[[#All],[Column110]],0)+10,"")</f>
        <v/>
      </c>
      <c r="AF220" s="134" t="str">
        <f>_xlfn.IFNA(MATCH(F220,Achievements[[#All],[Column111]],0)+10,"")</f>
        <v/>
      </c>
      <c r="AG220" s="134" t="str">
        <f>_xlfn.IFNA(MATCH(G220,Achievements[[#All],[Column111]],0)+10,"")</f>
        <v/>
      </c>
      <c r="AH220" s="134" t="str">
        <f>_xlfn.IFNA(MATCH(H220,Achievements[[#All],[Column112]],0)+10,"")</f>
        <v/>
      </c>
      <c r="AI220" s="134" t="str">
        <f>_xlfn.IFNA(MATCH(I220,Achievements[[#All],[Column112]],0)+10,"")</f>
        <v/>
      </c>
      <c r="AJ220" s="134" t="str">
        <f>_xlfn.IFNA(MATCH(J220,Achievements[[#All],[Column113]],0)+10,"")</f>
        <v/>
      </c>
      <c r="AK220" s="134" t="str">
        <f>_xlfn.IFNA(MATCH(K220,Achievements[[#All],[Column113]],0)+10,"")</f>
        <v/>
      </c>
      <c r="AL220" s="134" t="str">
        <f>_xlfn.IFNA(MATCH(L220,Achievements[[#All],[Column114]],0)+10,"")</f>
        <v/>
      </c>
      <c r="AM220" s="134" t="str">
        <f>_xlfn.IFNA(MATCH(M220,Achievements[[#All],[Column114]],0)+10,"")</f>
        <v/>
      </c>
      <c r="AN220" s="134" t="str">
        <f>_xlfn.IFNA(MATCH(N220,Achievements[[#All],[Column115]],0)+10,"")</f>
        <v/>
      </c>
      <c r="AO220" s="134" t="str">
        <f>_xlfn.IFNA(MATCH(O220,Achievements[[#All],[Column115]],0)+10,"")</f>
        <v/>
      </c>
      <c r="AP220" s="134" t="str">
        <f>_xlfn.IFNA(MATCH(P220,Achievements[[#All],[Column116]],0)+10,"")</f>
        <v/>
      </c>
      <c r="AQ220" s="134" t="str">
        <f>_xlfn.IFNA(MATCH(Q220,Achievements[[#All],[Column116]],0)+10,"")</f>
        <v/>
      </c>
      <c r="AR220" s="134" t="str">
        <f>_xlfn.IFNA(MATCH(R220,Achievements[[#All],[Column117]],0)+10,"")</f>
        <v/>
      </c>
      <c r="AS220" s="134" t="str">
        <f>_xlfn.IFNA(MATCH(S220,Achievements[[#All],[Column117]],0)+10,"")</f>
        <v/>
      </c>
      <c r="AT220" s="134" t="str">
        <f>_xlfn.IFNA(MATCH(T220,Achievements[[#All],[Column118]],0)+10,"")</f>
        <v/>
      </c>
      <c r="AU220" s="134" t="str">
        <f>_xlfn.IFNA(MATCH(U220,Achievements[[#All],[Column118]],0)+10,"")</f>
        <v/>
      </c>
      <c r="AV220" s="134" t="str">
        <f>_xlfn.IFNA(MATCH(V220,Achievements[[#All],[Column119]],0)+10,"")</f>
        <v/>
      </c>
      <c r="AW220" s="134" t="str">
        <f>_xlfn.IFNA(MATCH(W220,Achievements[[#All],[Column119]],0)+10,"")</f>
        <v/>
      </c>
      <c r="AX220" s="134" t="str">
        <f>_xlfn.IFNA(MATCH(X220,Achievements[[#All],[Column120]],0)+10,"")</f>
        <v/>
      </c>
      <c r="AY220" s="134" t="str">
        <f>_xlfn.IFNA(MATCH(Y220,Achievements[[#All],[Column120]],0)+10,"")</f>
        <v/>
      </c>
      <c r="AZ220" s="116" t="e">
        <f t="shared" ca="1" si="6"/>
        <v>#NAME?</v>
      </c>
      <c r="BA220" s="134" t="e" cm="1">
        <f t="array" aca="1" ref="BA220" ca="1">SplitValues("; ",Persons[[#This Row],[Column1]])</f>
        <v>#NAME?</v>
      </c>
      <c r="CA220" s="134" t="e">
        <f ca="1">_xlfn.IFNA(MATCH(BA220,Achievements[[#All],[Column1]],0)+10,"")</f>
        <v>#NAME?</v>
      </c>
      <c r="CB220" s="134" t="str">
        <f>_xlfn.IFNA(MATCH(BB220,Achievements[[#All],[Column1]],0)+10,"")</f>
        <v/>
      </c>
      <c r="CC220" s="134" t="str">
        <f>_xlfn.IFNA(MATCH(BC220,Achievements[[#All],[Column110]],0)+10,"")</f>
        <v/>
      </c>
      <c r="CD220" s="134" t="str">
        <f>_xlfn.IFNA(MATCH(BD220,Achievements[[#All],[Column110]],0)+10,"")</f>
        <v/>
      </c>
      <c r="CE220" s="134" t="str">
        <f>_xlfn.IFNA(MATCH(BE220,Achievements[[#All],[Column111]],0)+10,"")</f>
        <v/>
      </c>
      <c r="CF220" s="134" t="str">
        <f>_xlfn.IFNA(MATCH(BF220,Achievements[[#All],[Column111]],0)+10,"")</f>
        <v/>
      </c>
      <c r="CG220" s="134" t="str">
        <f>_xlfn.IFNA(MATCH(BG220,Achievements[[#All],[Column112]],0)+10,"")</f>
        <v/>
      </c>
      <c r="CH220" s="134" t="str">
        <f>_xlfn.IFNA(MATCH(BH220,Achievements[[#All],[Column112]],0)+10,"")</f>
        <v/>
      </c>
      <c r="CI220" s="134" t="str">
        <f>_xlfn.IFNA(MATCH(BI220,Achievements[[#All],[Column113]],0)+10,"")</f>
        <v/>
      </c>
      <c r="CJ220" s="134" t="str">
        <f>_xlfn.IFNA(MATCH(BJ220,Achievements[[#All],[Column113]],0)+10,"")</f>
        <v/>
      </c>
      <c r="CK220" s="134" t="str">
        <f>_xlfn.IFNA(MATCH(BK220,Achievements[[#All],[Column114]],0)+10,"")</f>
        <v/>
      </c>
      <c r="CL220" s="134" t="str">
        <f>_xlfn.IFNA(MATCH(BL220,Achievements[[#All],[Column114]],0)+10,"")</f>
        <v/>
      </c>
      <c r="CM220" s="134" t="str">
        <f>_xlfn.IFNA(MATCH(BM220,Achievements[[#All],[Column115]],0)+10,"")</f>
        <v/>
      </c>
      <c r="CN220" s="134" t="str">
        <f>_xlfn.IFNA(MATCH(BN220,Achievements[[#All],[Column115]],0)+10,"")</f>
        <v/>
      </c>
      <c r="CO220" s="134" t="str">
        <f>_xlfn.IFNA(MATCH(BO220,Achievements[[#All],[Column116]],0)+10,"")</f>
        <v/>
      </c>
      <c r="CP220" s="134" t="str">
        <f>_xlfn.IFNA(MATCH(BP220,Achievements[[#All],[Column116]],0)+10,"")</f>
        <v/>
      </c>
      <c r="CQ220" s="134" t="str">
        <f>_xlfn.IFNA(MATCH(BQ220,Achievements[[#All],[Column117]],0)+10,"")</f>
        <v/>
      </c>
      <c r="CR220" s="134" t="str">
        <f>_xlfn.IFNA(MATCH(BR220,Achievements[[#All],[Column117]],0)+10,"")</f>
        <v/>
      </c>
      <c r="CS220" s="134" t="str">
        <f>_xlfn.IFNA(MATCH(BS220,Achievements[[#All],[Column118]],0)+10,"")</f>
        <v/>
      </c>
      <c r="CT220" s="134" t="str">
        <f>_xlfn.IFNA(MATCH(BT220,Achievements[[#All],[Column118]],0)+10,"")</f>
        <v/>
      </c>
      <c r="CU220" s="134" t="str">
        <f>_xlfn.IFNA(MATCH(BU220,Achievements[[#All],[Column119]],0)+10,"")</f>
        <v/>
      </c>
      <c r="CV220" s="134" t="str">
        <f>_xlfn.IFNA(MATCH(BV220,Achievements[[#All],[Column119]],0)+10,"")</f>
        <v/>
      </c>
      <c r="CW220" s="134" t="str">
        <f>_xlfn.IFNA(MATCH(BW220,Achievements[[#All],[Column120]],0)+10,"")</f>
        <v/>
      </c>
      <c r="CX220" s="134" t="str">
        <f>_xlfn.IFNA(MATCH(BX220,Achievements[[#All],[Column120]],0)+10,"")</f>
        <v/>
      </c>
      <c r="CY220" s="134" t="str">
        <f>_xlfn.IFNA(MATCH(BY220,Achievements[[#All],[Column121]],0)+10,"")</f>
        <v/>
      </c>
      <c r="CZ220" s="118" t="e">
        <f t="shared" ca="1" si="7"/>
        <v>#NAME?</v>
      </c>
    </row>
    <row r="221" spans="1:104" x14ac:dyDescent="0.25">
      <c r="A221" t="e" cm="1">
        <f t="array" aca="1" ref="A221" ca="1">SplitValues("; ",#REF!)</f>
        <v>#NAME?</v>
      </c>
      <c r="AA221" t="e">
        <f ca="1">_xlfn.IFNA(MATCH(A221,Achievements[[#All],[Column1]],0)+11,"")</f>
        <v>#NAME?</v>
      </c>
      <c r="AB221" s="134" t="str">
        <f>_xlfn.IFNA(MATCH(B221,Achievements[[#All],[Column1]],0)+10,"")</f>
        <v/>
      </c>
      <c r="AC221" s="134" t="str">
        <f>_xlfn.IFNA(MATCH(C221,Achievements[[#All],[Column1]],0)+10,"")</f>
        <v/>
      </c>
      <c r="AD221" s="134" t="str">
        <f>_xlfn.IFNA(MATCH(D221,Achievements[[#All],[Column110]],0)+10,"")</f>
        <v/>
      </c>
      <c r="AE221" s="134" t="str">
        <f>_xlfn.IFNA(MATCH(E221,Achievements[[#All],[Column110]],0)+10,"")</f>
        <v/>
      </c>
      <c r="AF221" s="134" t="str">
        <f>_xlfn.IFNA(MATCH(F221,Achievements[[#All],[Column111]],0)+10,"")</f>
        <v/>
      </c>
      <c r="AG221" s="134" t="str">
        <f>_xlfn.IFNA(MATCH(G221,Achievements[[#All],[Column111]],0)+10,"")</f>
        <v/>
      </c>
      <c r="AH221" s="134" t="str">
        <f>_xlfn.IFNA(MATCH(H221,Achievements[[#All],[Column112]],0)+10,"")</f>
        <v/>
      </c>
      <c r="AI221" s="134" t="str">
        <f>_xlfn.IFNA(MATCH(I221,Achievements[[#All],[Column112]],0)+10,"")</f>
        <v/>
      </c>
      <c r="AJ221" s="134" t="str">
        <f>_xlfn.IFNA(MATCH(J221,Achievements[[#All],[Column113]],0)+10,"")</f>
        <v/>
      </c>
      <c r="AK221" s="134" t="str">
        <f>_xlfn.IFNA(MATCH(K221,Achievements[[#All],[Column113]],0)+10,"")</f>
        <v/>
      </c>
      <c r="AL221" s="134" t="str">
        <f>_xlfn.IFNA(MATCH(L221,Achievements[[#All],[Column114]],0)+10,"")</f>
        <v/>
      </c>
      <c r="AM221" s="134" t="str">
        <f>_xlfn.IFNA(MATCH(M221,Achievements[[#All],[Column114]],0)+10,"")</f>
        <v/>
      </c>
      <c r="AN221" s="134" t="str">
        <f>_xlfn.IFNA(MATCH(N221,Achievements[[#All],[Column115]],0)+10,"")</f>
        <v/>
      </c>
      <c r="AO221" s="134" t="str">
        <f>_xlfn.IFNA(MATCH(O221,Achievements[[#All],[Column115]],0)+10,"")</f>
        <v/>
      </c>
      <c r="AP221" s="134" t="str">
        <f>_xlfn.IFNA(MATCH(P221,Achievements[[#All],[Column116]],0)+10,"")</f>
        <v/>
      </c>
      <c r="AQ221" s="134" t="str">
        <f>_xlfn.IFNA(MATCH(Q221,Achievements[[#All],[Column116]],0)+10,"")</f>
        <v/>
      </c>
      <c r="AR221" s="134" t="str">
        <f>_xlfn.IFNA(MATCH(R221,Achievements[[#All],[Column117]],0)+10,"")</f>
        <v/>
      </c>
      <c r="AS221" s="134" t="str">
        <f>_xlfn.IFNA(MATCH(S221,Achievements[[#All],[Column117]],0)+10,"")</f>
        <v/>
      </c>
      <c r="AT221" s="134" t="str">
        <f>_xlfn.IFNA(MATCH(T221,Achievements[[#All],[Column118]],0)+10,"")</f>
        <v/>
      </c>
      <c r="AU221" s="134" t="str">
        <f>_xlfn.IFNA(MATCH(U221,Achievements[[#All],[Column118]],0)+10,"")</f>
        <v/>
      </c>
      <c r="AV221" s="134" t="str">
        <f>_xlfn.IFNA(MATCH(V221,Achievements[[#All],[Column119]],0)+10,"")</f>
        <v/>
      </c>
      <c r="AW221" s="134" t="str">
        <f>_xlfn.IFNA(MATCH(W221,Achievements[[#All],[Column119]],0)+10,"")</f>
        <v/>
      </c>
      <c r="AX221" s="134" t="str">
        <f>_xlfn.IFNA(MATCH(X221,Achievements[[#All],[Column120]],0)+10,"")</f>
        <v/>
      </c>
      <c r="AY221" s="134" t="str">
        <f>_xlfn.IFNA(MATCH(Y221,Achievements[[#All],[Column120]],0)+10,"")</f>
        <v/>
      </c>
      <c r="AZ221" s="116" t="e">
        <f t="shared" ca="1" si="6"/>
        <v>#NAME?</v>
      </c>
      <c r="BA221" s="134" t="e" cm="1">
        <f t="array" aca="1" ref="BA221" ca="1">SplitValues("; ",Persons[[#This Row],[Column1]])</f>
        <v>#NAME?</v>
      </c>
      <c r="CA221" s="134" t="e">
        <f ca="1">_xlfn.IFNA(MATCH(BA221,Achievements[[#All],[Column1]],0)+10,"")</f>
        <v>#NAME?</v>
      </c>
      <c r="CB221" s="134" t="str">
        <f>_xlfn.IFNA(MATCH(BB221,Achievements[[#All],[Column1]],0)+10,"")</f>
        <v/>
      </c>
      <c r="CC221" s="134" t="str">
        <f>_xlfn.IFNA(MATCH(BC221,Achievements[[#All],[Column110]],0)+10,"")</f>
        <v/>
      </c>
      <c r="CD221" s="134" t="str">
        <f>_xlfn.IFNA(MATCH(BD221,Achievements[[#All],[Column110]],0)+10,"")</f>
        <v/>
      </c>
      <c r="CE221" s="134" t="str">
        <f>_xlfn.IFNA(MATCH(BE221,Achievements[[#All],[Column111]],0)+10,"")</f>
        <v/>
      </c>
      <c r="CF221" s="134" t="str">
        <f>_xlfn.IFNA(MATCH(BF221,Achievements[[#All],[Column111]],0)+10,"")</f>
        <v/>
      </c>
      <c r="CG221" s="134" t="str">
        <f>_xlfn.IFNA(MATCH(BG221,Achievements[[#All],[Column112]],0)+10,"")</f>
        <v/>
      </c>
      <c r="CH221" s="134" t="str">
        <f>_xlfn.IFNA(MATCH(BH221,Achievements[[#All],[Column112]],0)+10,"")</f>
        <v/>
      </c>
      <c r="CI221" s="134" t="str">
        <f>_xlfn.IFNA(MATCH(BI221,Achievements[[#All],[Column113]],0)+10,"")</f>
        <v/>
      </c>
      <c r="CJ221" s="134" t="str">
        <f>_xlfn.IFNA(MATCH(BJ221,Achievements[[#All],[Column113]],0)+10,"")</f>
        <v/>
      </c>
      <c r="CK221" s="134" t="str">
        <f>_xlfn.IFNA(MATCH(BK221,Achievements[[#All],[Column114]],0)+10,"")</f>
        <v/>
      </c>
      <c r="CL221" s="134" t="str">
        <f>_xlfn.IFNA(MATCH(BL221,Achievements[[#All],[Column114]],0)+10,"")</f>
        <v/>
      </c>
      <c r="CM221" s="134" t="str">
        <f>_xlfn.IFNA(MATCH(BM221,Achievements[[#All],[Column115]],0)+10,"")</f>
        <v/>
      </c>
      <c r="CN221" s="134" t="str">
        <f>_xlfn.IFNA(MATCH(BN221,Achievements[[#All],[Column115]],0)+10,"")</f>
        <v/>
      </c>
      <c r="CO221" s="134" t="str">
        <f>_xlfn.IFNA(MATCH(BO221,Achievements[[#All],[Column116]],0)+10,"")</f>
        <v/>
      </c>
      <c r="CP221" s="134" t="str">
        <f>_xlfn.IFNA(MATCH(BP221,Achievements[[#All],[Column116]],0)+10,"")</f>
        <v/>
      </c>
      <c r="CQ221" s="134" t="str">
        <f>_xlfn.IFNA(MATCH(BQ221,Achievements[[#All],[Column117]],0)+10,"")</f>
        <v/>
      </c>
      <c r="CR221" s="134" t="str">
        <f>_xlfn.IFNA(MATCH(BR221,Achievements[[#All],[Column117]],0)+10,"")</f>
        <v/>
      </c>
      <c r="CS221" s="134" t="str">
        <f>_xlfn.IFNA(MATCH(BS221,Achievements[[#All],[Column118]],0)+10,"")</f>
        <v/>
      </c>
      <c r="CT221" s="134" t="str">
        <f>_xlfn.IFNA(MATCH(BT221,Achievements[[#All],[Column118]],0)+10,"")</f>
        <v/>
      </c>
      <c r="CU221" s="134" t="str">
        <f>_xlfn.IFNA(MATCH(BU221,Achievements[[#All],[Column119]],0)+10,"")</f>
        <v/>
      </c>
      <c r="CV221" s="134" t="str">
        <f>_xlfn.IFNA(MATCH(BV221,Achievements[[#All],[Column119]],0)+10,"")</f>
        <v/>
      </c>
      <c r="CW221" s="134" t="str">
        <f>_xlfn.IFNA(MATCH(BW221,Achievements[[#All],[Column120]],0)+10,"")</f>
        <v/>
      </c>
      <c r="CX221" s="134" t="str">
        <f>_xlfn.IFNA(MATCH(BX221,Achievements[[#All],[Column120]],0)+10,"")</f>
        <v/>
      </c>
      <c r="CY221" s="134" t="str">
        <f>_xlfn.IFNA(MATCH(BY221,Achievements[[#All],[Column121]],0)+10,"")</f>
        <v/>
      </c>
      <c r="CZ221" s="118" t="e">
        <f t="shared" ca="1" si="7"/>
        <v>#NAME?</v>
      </c>
    </row>
    <row r="222" spans="1:104" x14ac:dyDescent="0.25">
      <c r="A222" t="e" cm="1">
        <f t="array" aca="1" ref="A222" ca="1">SplitValues("; ",#REF!)</f>
        <v>#NAME?</v>
      </c>
      <c r="AA222" t="e">
        <f ca="1">_xlfn.IFNA(MATCH(A222,Achievements[[#All],[Column1]],0)+11,"")</f>
        <v>#NAME?</v>
      </c>
      <c r="AB222" s="134" t="str">
        <f>_xlfn.IFNA(MATCH(B222,Achievements[[#All],[Column1]],0)+10,"")</f>
        <v/>
      </c>
      <c r="AC222" s="134" t="str">
        <f>_xlfn.IFNA(MATCH(C222,Achievements[[#All],[Column1]],0)+10,"")</f>
        <v/>
      </c>
      <c r="AD222" s="134" t="str">
        <f>_xlfn.IFNA(MATCH(D222,Achievements[[#All],[Column110]],0)+10,"")</f>
        <v/>
      </c>
      <c r="AE222" s="134" t="str">
        <f>_xlfn.IFNA(MATCH(E222,Achievements[[#All],[Column110]],0)+10,"")</f>
        <v/>
      </c>
      <c r="AF222" s="134" t="str">
        <f>_xlfn.IFNA(MATCH(F222,Achievements[[#All],[Column111]],0)+10,"")</f>
        <v/>
      </c>
      <c r="AG222" s="134" t="str">
        <f>_xlfn.IFNA(MATCH(G222,Achievements[[#All],[Column111]],0)+10,"")</f>
        <v/>
      </c>
      <c r="AH222" s="134" t="str">
        <f>_xlfn.IFNA(MATCH(H222,Achievements[[#All],[Column112]],0)+10,"")</f>
        <v/>
      </c>
      <c r="AI222" s="134" t="str">
        <f>_xlfn.IFNA(MATCH(I222,Achievements[[#All],[Column112]],0)+10,"")</f>
        <v/>
      </c>
      <c r="AJ222" s="134" t="str">
        <f>_xlfn.IFNA(MATCH(J222,Achievements[[#All],[Column113]],0)+10,"")</f>
        <v/>
      </c>
      <c r="AK222" s="134" t="str">
        <f>_xlfn.IFNA(MATCH(K222,Achievements[[#All],[Column113]],0)+10,"")</f>
        <v/>
      </c>
      <c r="AL222" s="134" t="str">
        <f>_xlfn.IFNA(MATCH(L222,Achievements[[#All],[Column114]],0)+10,"")</f>
        <v/>
      </c>
      <c r="AM222" s="134" t="str">
        <f>_xlfn.IFNA(MATCH(M222,Achievements[[#All],[Column114]],0)+10,"")</f>
        <v/>
      </c>
      <c r="AN222" s="134" t="str">
        <f>_xlfn.IFNA(MATCH(N222,Achievements[[#All],[Column115]],0)+10,"")</f>
        <v/>
      </c>
      <c r="AO222" s="134" t="str">
        <f>_xlfn.IFNA(MATCH(O222,Achievements[[#All],[Column115]],0)+10,"")</f>
        <v/>
      </c>
      <c r="AP222" s="134" t="str">
        <f>_xlfn.IFNA(MATCH(P222,Achievements[[#All],[Column116]],0)+10,"")</f>
        <v/>
      </c>
      <c r="AQ222" s="134" t="str">
        <f>_xlfn.IFNA(MATCH(Q222,Achievements[[#All],[Column116]],0)+10,"")</f>
        <v/>
      </c>
      <c r="AR222" s="134" t="str">
        <f>_xlfn.IFNA(MATCH(R222,Achievements[[#All],[Column117]],0)+10,"")</f>
        <v/>
      </c>
      <c r="AS222" s="134" t="str">
        <f>_xlfn.IFNA(MATCH(S222,Achievements[[#All],[Column117]],0)+10,"")</f>
        <v/>
      </c>
      <c r="AT222" s="134" t="str">
        <f>_xlfn.IFNA(MATCH(T222,Achievements[[#All],[Column118]],0)+10,"")</f>
        <v/>
      </c>
      <c r="AU222" s="134" t="str">
        <f>_xlfn.IFNA(MATCH(U222,Achievements[[#All],[Column118]],0)+10,"")</f>
        <v/>
      </c>
      <c r="AV222" s="134" t="str">
        <f>_xlfn.IFNA(MATCH(V222,Achievements[[#All],[Column119]],0)+10,"")</f>
        <v/>
      </c>
      <c r="AW222" s="134" t="str">
        <f>_xlfn.IFNA(MATCH(W222,Achievements[[#All],[Column119]],0)+10,"")</f>
        <v/>
      </c>
      <c r="AX222" s="134" t="str">
        <f>_xlfn.IFNA(MATCH(X222,Achievements[[#All],[Column120]],0)+10,"")</f>
        <v/>
      </c>
      <c r="AY222" s="134" t="str">
        <f>_xlfn.IFNA(MATCH(Y222,Achievements[[#All],[Column120]],0)+10,"")</f>
        <v/>
      </c>
      <c r="AZ222" s="116" t="e">
        <f t="shared" ca="1" si="6"/>
        <v>#NAME?</v>
      </c>
      <c r="BA222" s="134" t="e" cm="1">
        <f t="array" aca="1" ref="BA222" ca="1">SplitValues("; ",Persons[[#This Row],[Column1]])</f>
        <v>#NAME?</v>
      </c>
      <c r="CA222" s="134" t="e">
        <f ca="1">_xlfn.IFNA(MATCH(BA222,Achievements[[#All],[Column1]],0)+10,"")</f>
        <v>#NAME?</v>
      </c>
      <c r="CB222" s="134" t="str">
        <f>_xlfn.IFNA(MATCH(BB222,Achievements[[#All],[Column1]],0)+10,"")</f>
        <v/>
      </c>
      <c r="CC222" s="134" t="str">
        <f>_xlfn.IFNA(MATCH(BC222,Achievements[[#All],[Column110]],0)+10,"")</f>
        <v/>
      </c>
      <c r="CD222" s="134" t="str">
        <f>_xlfn.IFNA(MATCH(BD222,Achievements[[#All],[Column110]],0)+10,"")</f>
        <v/>
      </c>
      <c r="CE222" s="134" t="str">
        <f>_xlfn.IFNA(MATCH(BE222,Achievements[[#All],[Column111]],0)+10,"")</f>
        <v/>
      </c>
      <c r="CF222" s="134" t="str">
        <f>_xlfn.IFNA(MATCH(BF222,Achievements[[#All],[Column111]],0)+10,"")</f>
        <v/>
      </c>
      <c r="CG222" s="134" t="str">
        <f>_xlfn.IFNA(MATCH(BG222,Achievements[[#All],[Column112]],0)+10,"")</f>
        <v/>
      </c>
      <c r="CH222" s="134" t="str">
        <f>_xlfn.IFNA(MATCH(BH222,Achievements[[#All],[Column112]],0)+10,"")</f>
        <v/>
      </c>
      <c r="CI222" s="134" t="str">
        <f>_xlfn.IFNA(MATCH(BI222,Achievements[[#All],[Column113]],0)+10,"")</f>
        <v/>
      </c>
      <c r="CJ222" s="134" t="str">
        <f>_xlfn.IFNA(MATCH(BJ222,Achievements[[#All],[Column113]],0)+10,"")</f>
        <v/>
      </c>
      <c r="CK222" s="134" t="str">
        <f>_xlfn.IFNA(MATCH(BK222,Achievements[[#All],[Column114]],0)+10,"")</f>
        <v/>
      </c>
      <c r="CL222" s="134" t="str">
        <f>_xlfn.IFNA(MATCH(BL222,Achievements[[#All],[Column114]],0)+10,"")</f>
        <v/>
      </c>
      <c r="CM222" s="134" t="str">
        <f>_xlfn.IFNA(MATCH(BM222,Achievements[[#All],[Column115]],0)+10,"")</f>
        <v/>
      </c>
      <c r="CN222" s="134" t="str">
        <f>_xlfn.IFNA(MATCH(BN222,Achievements[[#All],[Column115]],0)+10,"")</f>
        <v/>
      </c>
      <c r="CO222" s="134" t="str">
        <f>_xlfn.IFNA(MATCH(BO222,Achievements[[#All],[Column116]],0)+10,"")</f>
        <v/>
      </c>
      <c r="CP222" s="134" t="str">
        <f>_xlfn.IFNA(MATCH(BP222,Achievements[[#All],[Column116]],0)+10,"")</f>
        <v/>
      </c>
      <c r="CQ222" s="134" t="str">
        <f>_xlfn.IFNA(MATCH(BQ222,Achievements[[#All],[Column117]],0)+10,"")</f>
        <v/>
      </c>
      <c r="CR222" s="134" t="str">
        <f>_xlfn.IFNA(MATCH(BR222,Achievements[[#All],[Column117]],0)+10,"")</f>
        <v/>
      </c>
      <c r="CS222" s="134" t="str">
        <f>_xlfn.IFNA(MATCH(BS222,Achievements[[#All],[Column118]],0)+10,"")</f>
        <v/>
      </c>
      <c r="CT222" s="134" t="str">
        <f>_xlfn.IFNA(MATCH(BT222,Achievements[[#All],[Column118]],0)+10,"")</f>
        <v/>
      </c>
      <c r="CU222" s="134" t="str">
        <f>_xlfn.IFNA(MATCH(BU222,Achievements[[#All],[Column119]],0)+10,"")</f>
        <v/>
      </c>
      <c r="CV222" s="134" t="str">
        <f>_xlfn.IFNA(MATCH(BV222,Achievements[[#All],[Column119]],0)+10,"")</f>
        <v/>
      </c>
      <c r="CW222" s="134" t="str">
        <f>_xlfn.IFNA(MATCH(BW222,Achievements[[#All],[Column120]],0)+10,"")</f>
        <v/>
      </c>
      <c r="CX222" s="134" t="str">
        <f>_xlfn.IFNA(MATCH(BX222,Achievements[[#All],[Column120]],0)+10,"")</f>
        <v/>
      </c>
      <c r="CY222" s="134" t="str">
        <f>_xlfn.IFNA(MATCH(BY222,Achievements[[#All],[Column121]],0)+10,"")</f>
        <v/>
      </c>
      <c r="CZ222" s="118" t="e">
        <f t="shared" ca="1" si="7"/>
        <v>#NAME?</v>
      </c>
    </row>
    <row r="223" spans="1:104" x14ac:dyDescent="0.25">
      <c r="A223" t="e" cm="1">
        <f t="array" aca="1" ref="A223" ca="1">SplitValues("; ",#REF!)</f>
        <v>#NAME?</v>
      </c>
      <c r="AA223" t="e">
        <f ca="1">_xlfn.IFNA(MATCH(A223,Achievements[[#All],[Column1]],0)+11,"")</f>
        <v>#NAME?</v>
      </c>
      <c r="AB223" s="134" t="str">
        <f>_xlfn.IFNA(MATCH(B223,Achievements[[#All],[Column1]],0)+10,"")</f>
        <v/>
      </c>
      <c r="AC223" s="134" t="str">
        <f>_xlfn.IFNA(MATCH(C223,Achievements[[#All],[Column1]],0)+10,"")</f>
        <v/>
      </c>
      <c r="AD223" s="134" t="str">
        <f>_xlfn.IFNA(MATCH(D223,Achievements[[#All],[Column110]],0)+10,"")</f>
        <v/>
      </c>
      <c r="AE223" s="134" t="str">
        <f>_xlfn.IFNA(MATCH(E223,Achievements[[#All],[Column110]],0)+10,"")</f>
        <v/>
      </c>
      <c r="AF223" s="134" t="str">
        <f>_xlfn.IFNA(MATCH(F223,Achievements[[#All],[Column111]],0)+10,"")</f>
        <v/>
      </c>
      <c r="AG223" s="134" t="str">
        <f>_xlfn.IFNA(MATCH(G223,Achievements[[#All],[Column111]],0)+10,"")</f>
        <v/>
      </c>
      <c r="AH223" s="134" t="str">
        <f>_xlfn.IFNA(MATCH(H223,Achievements[[#All],[Column112]],0)+10,"")</f>
        <v/>
      </c>
      <c r="AI223" s="134" t="str">
        <f>_xlfn.IFNA(MATCH(I223,Achievements[[#All],[Column112]],0)+10,"")</f>
        <v/>
      </c>
      <c r="AJ223" s="134" t="str">
        <f>_xlfn.IFNA(MATCH(J223,Achievements[[#All],[Column113]],0)+10,"")</f>
        <v/>
      </c>
      <c r="AK223" s="134" t="str">
        <f>_xlfn.IFNA(MATCH(K223,Achievements[[#All],[Column113]],0)+10,"")</f>
        <v/>
      </c>
      <c r="AL223" s="134" t="str">
        <f>_xlfn.IFNA(MATCH(L223,Achievements[[#All],[Column114]],0)+10,"")</f>
        <v/>
      </c>
      <c r="AM223" s="134" t="str">
        <f>_xlfn.IFNA(MATCH(M223,Achievements[[#All],[Column114]],0)+10,"")</f>
        <v/>
      </c>
      <c r="AN223" s="134" t="str">
        <f>_xlfn.IFNA(MATCH(N223,Achievements[[#All],[Column115]],0)+10,"")</f>
        <v/>
      </c>
      <c r="AO223" s="134" t="str">
        <f>_xlfn.IFNA(MATCH(O223,Achievements[[#All],[Column115]],0)+10,"")</f>
        <v/>
      </c>
      <c r="AP223" s="134" t="str">
        <f>_xlfn.IFNA(MATCH(P223,Achievements[[#All],[Column116]],0)+10,"")</f>
        <v/>
      </c>
      <c r="AQ223" s="134" t="str">
        <f>_xlfn.IFNA(MATCH(Q223,Achievements[[#All],[Column116]],0)+10,"")</f>
        <v/>
      </c>
      <c r="AR223" s="134" t="str">
        <f>_xlfn.IFNA(MATCH(R223,Achievements[[#All],[Column117]],0)+10,"")</f>
        <v/>
      </c>
      <c r="AS223" s="134" t="str">
        <f>_xlfn.IFNA(MATCH(S223,Achievements[[#All],[Column117]],0)+10,"")</f>
        <v/>
      </c>
      <c r="AT223" s="134" t="str">
        <f>_xlfn.IFNA(MATCH(T223,Achievements[[#All],[Column118]],0)+10,"")</f>
        <v/>
      </c>
      <c r="AU223" s="134" t="str">
        <f>_xlfn.IFNA(MATCH(U223,Achievements[[#All],[Column118]],0)+10,"")</f>
        <v/>
      </c>
      <c r="AV223" s="134" t="str">
        <f>_xlfn.IFNA(MATCH(V223,Achievements[[#All],[Column119]],0)+10,"")</f>
        <v/>
      </c>
      <c r="AW223" s="134" t="str">
        <f>_xlfn.IFNA(MATCH(W223,Achievements[[#All],[Column119]],0)+10,"")</f>
        <v/>
      </c>
      <c r="AX223" s="134" t="str">
        <f>_xlfn.IFNA(MATCH(X223,Achievements[[#All],[Column120]],0)+10,"")</f>
        <v/>
      </c>
      <c r="AY223" s="134" t="str">
        <f>_xlfn.IFNA(MATCH(Y223,Achievements[[#All],[Column120]],0)+10,"")</f>
        <v/>
      </c>
      <c r="AZ223" s="116" t="e">
        <f t="shared" ca="1" si="6"/>
        <v>#NAME?</v>
      </c>
      <c r="BA223" s="134" t="e" cm="1">
        <f t="array" aca="1" ref="BA223" ca="1">SplitValues("; ",Persons[[#This Row],[Column1]])</f>
        <v>#NAME?</v>
      </c>
      <c r="CA223" s="134" t="e">
        <f ca="1">_xlfn.IFNA(MATCH(BA223,Achievements[[#All],[Column1]],0)+10,"")</f>
        <v>#NAME?</v>
      </c>
      <c r="CB223" s="134" t="str">
        <f>_xlfn.IFNA(MATCH(BB223,Achievements[[#All],[Column1]],0)+10,"")</f>
        <v/>
      </c>
      <c r="CC223" s="134" t="str">
        <f>_xlfn.IFNA(MATCH(BC223,Achievements[[#All],[Column110]],0)+10,"")</f>
        <v/>
      </c>
      <c r="CD223" s="134" t="str">
        <f>_xlfn.IFNA(MATCH(BD223,Achievements[[#All],[Column110]],0)+10,"")</f>
        <v/>
      </c>
      <c r="CE223" s="134" t="str">
        <f>_xlfn.IFNA(MATCH(BE223,Achievements[[#All],[Column111]],0)+10,"")</f>
        <v/>
      </c>
      <c r="CF223" s="134" t="str">
        <f>_xlfn.IFNA(MATCH(BF223,Achievements[[#All],[Column111]],0)+10,"")</f>
        <v/>
      </c>
      <c r="CG223" s="134" t="str">
        <f>_xlfn.IFNA(MATCH(BG223,Achievements[[#All],[Column112]],0)+10,"")</f>
        <v/>
      </c>
      <c r="CH223" s="134" t="str">
        <f>_xlfn.IFNA(MATCH(BH223,Achievements[[#All],[Column112]],0)+10,"")</f>
        <v/>
      </c>
      <c r="CI223" s="134" t="str">
        <f>_xlfn.IFNA(MATCH(BI223,Achievements[[#All],[Column113]],0)+10,"")</f>
        <v/>
      </c>
      <c r="CJ223" s="134" t="str">
        <f>_xlfn.IFNA(MATCH(BJ223,Achievements[[#All],[Column113]],0)+10,"")</f>
        <v/>
      </c>
      <c r="CK223" s="134" t="str">
        <f>_xlfn.IFNA(MATCH(BK223,Achievements[[#All],[Column114]],0)+10,"")</f>
        <v/>
      </c>
      <c r="CL223" s="134" t="str">
        <f>_xlfn.IFNA(MATCH(BL223,Achievements[[#All],[Column114]],0)+10,"")</f>
        <v/>
      </c>
      <c r="CM223" s="134" t="str">
        <f>_xlfn.IFNA(MATCH(BM223,Achievements[[#All],[Column115]],0)+10,"")</f>
        <v/>
      </c>
      <c r="CN223" s="134" t="str">
        <f>_xlfn.IFNA(MATCH(BN223,Achievements[[#All],[Column115]],0)+10,"")</f>
        <v/>
      </c>
      <c r="CO223" s="134" t="str">
        <f>_xlfn.IFNA(MATCH(BO223,Achievements[[#All],[Column116]],0)+10,"")</f>
        <v/>
      </c>
      <c r="CP223" s="134" t="str">
        <f>_xlfn.IFNA(MATCH(BP223,Achievements[[#All],[Column116]],0)+10,"")</f>
        <v/>
      </c>
      <c r="CQ223" s="134" t="str">
        <f>_xlfn.IFNA(MATCH(BQ223,Achievements[[#All],[Column117]],0)+10,"")</f>
        <v/>
      </c>
      <c r="CR223" s="134" t="str">
        <f>_xlfn.IFNA(MATCH(BR223,Achievements[[#All],[Column117]],0)+10,"")</f>
        <v/>
      </c>
      <c r="CS223" s="134" t="str">
        <f>_xlfn.IFNA(MATCH(BS223,Achievements[[#All],[Column118]],0)+10,"")</f>
        <v/>
      </c>
      <c r="CT223" s="134" t="str">
        <f>_xlfn.IFNA(MATCH(BT223,Achievements[[#All],[Column118]],0)+10,"")</f>
        <v/>
      </c>
      <c r="CU223" s="134" t="str">
        <f>_xlfn.IFNA(MATCH(BU223,Achievements[[#All],[Column119]],0)+10,"")</f>
        <v/>
      </c>
      <c r="CV223" s="134" t="str">
        <f>_xlfn.IFNA(MATCH(BV223,Achievements[[#All],[Column119]],0)+10,"")</f>
        <v/>
      </c>
      <c r="CW223" s="134" t="str">
        <f>_xlfn.IFNA(MATCH(BW223,Achievements[[#All],[Column120]],0)+10,"")</f>
        <v/>
      </c>
      <c r="CX223" s="134" t="str">
        <f>_xlfn.IFNA(MATCH(BX223,Achievements[[#All],[Column120]],0)+10,"")</f>
        <v/>
      </c>
      <c r="CY223" s="134" t="str">
        <f>_xlfn.IFNA(MATCH(BY223,Achievements[[#All],[Column121]],0)+10,"")</f>
        <v/>
      </c>
      <c r="CZ223" s="118" t="e">
        <f t="shared" ca="1" si="7"/>
        <v>#NAME?</v>
      </c>
    </row>
    <row r="224" spans="1:104" x14ac:dyDescent="0.25">
      <c r="A224" t="e" cm="1">
        <f t="array" aca="1" ref="A224" ca="1">SplitValues("; ",#REF!)</f>
        <v>#NAME?</v>
      </c>
      <c r="AA224" t="e">
        <f ca="1">_xlfn.IFNA(MATCH(A224,Achievements[[#All],[Column1]],0)+11,"")</f>
        <v>#NAME?</v>
      </c>
      <c r="AB224" s="134" t="str">
        <f>_xlfn.IFNA(MATCH(B224,Achievements[[#All],[Column1]],0)+10,"")</f>
        <v/>
      </c>
      <c r="AC224" s="134" t="str">
        <f>_xlfn.IFNA(MATCH(C224,Achievements[[#All],[Column1]],0)+10,"")</f>
        <v/>
      </c>
      <c r="AD224" s="134" t="str">
        <f>_xlfn.IFNA(MATCH(D224,Achievements[[#All],[Column110]],0)+10,"")</f>
        <v/>
      </c>
      <c r="AE224" s="134" t="str">
        <f>_xlfn.IFNA(MATCH(E224,Achievements[[#All],[Column110]],0)+10,"")</f>
        <v/>
      </c>
      <c r="AF224" s="134" t="str">
        <f>_xlfn.IFNA(MATCH(F224,Achievements[[#All],[Column111]],0)+10,"")</f>
        <v/>
      </c>
      <c r="AG224" s="134" t="str">
        <f>_xlfn.IFNA(MATCH(G224,Achievements[[#All],[Column111]],0)+10,"")</f>
        <v/>
      </c>
      <c r="AH224" s="134" t="str">
        <f>_xlfn.IFNA(MATCH(H224,Achievements[[#All],[Column112]],0)+10,"")</f>
        <v/>
      </c>
      <c r="AI224" s="134" t="str">
        <f>_xlfn.IFNA(MATCH(I224,Achievements[[#All],[Column112]],0)+10,"")</f>
        <v/>
      </c>
      <c r="AJ224" s="134" t="str">
        <f>_xlfn.IFNA(MATCH(J224,Achievements[[#All],[Column113]],0)+10,"")</f>
        <v/>
      </c>
      <c r="AK224" s="134" t="str">
        <f>_xlfn.IFNA(MATCH(K224,Achievements[[#All],[Column113]],0)+10,"")</f>
        <v/>
      </c>
      <c r="AL224" s="134" t="str">
        <f>_xlfn.IFNA(MATCH(L224,Achievements[[#All],[Column114]],0)+10,"")</f>
        <v/>
      </c>
      <c r="AM224" s="134" t="str">
        <f>_xlfn.IFNA(MATCH(M224,Achievements[[#All],[Column114]],0)+10,"")</f>
        <v/>
      </c>
      <c r="AN224" s="134" t="str">
        <f>_xlfn.IFNA(MATCH(N224,Achievements[[#All],[Column115]],0)+10,"")</f>
        <v/>
      </c>
      <c r="AO224" s="134" t="str">
        <f>_xlfn.IFNA(MATCH(O224,Achievements[[#All],[Column115]],0)+10,"")</f>
        <v/>
      </c>
      <c r="AP224" s="134" t="str">
        <f>_xlfn.IFNA(MATCH(P224,Achievements[[#All],[Column116]],0)+10,"")</f>
        <v/>
      </c>
      <c r="AQ224" s="134" t="str">
        <f>_xlfn.IFNA(MATCH(Q224,Achievements[[#All],[Column116]],0)+10,"")</f>
        <v/>
      </c>
      <c r="AR224" s="134" t="str">
        <f>_xlfn.IFNA(MATCH(R224,Achievements[[#All],[Column117]],0)+10,"")</f>
        <v/>
      </c>
      <c r="AS224" s="134" t="str">
        <f>_xlfn.IFNA(MATCH(S224,Achievements[[#All],[Column117]],0)+10,"")</f>
        <v/>
      </c>
      <c r="AT224" s="134" t="str">
        <f>_xlfn.IFNA(MATCH(T224,Achievements[[#All],[Column118]],0)+10,"")</f>
        <v/>
      </c>
      <c r="AU224" s="134" t="str">
        <f>_xlfn.IFNA(MATCH(U224,Achievements[[#All],[Column118]],0)+10,"")</f>
        <v/>
      </c>
      <c r="AV224" s="134" t="str">
        <f>_xlfn.IFNA(MATCH(V224,Achievements[[#All],[Column119]],0)+10,"")</f>
        <v/>
      </c>
      <c r="AW224" s="134" t="str">
        <f>_xlfn.IFNA(MATCH(W224,Achievements[[#All],[Column119]],0)+10,"")</f>
        <v/>
      </c>
      <c r="AX224" s="134" t="str">
        <f>_xlfn.IFNA(MATCH(X224,Achievements[[#All],[Column120]],0)+10,"")</f>
        <v/>
      </c>
      <c r="AY224" s="134" t="str">
        <f>_xlfn.IFNA(MATCH(Y224,Achievements[[#All],[Column120]],0)+10,"")</f>
        <v/>
      </c>
      <c r="AZ224" s="116" t="e">
        <f t="shared" ca="1" si="6"/>
        <v>#NAME?</v>
      </c>
      <c r="BA224" s="134" t="e" cm="1">
        <f t="array" aca="1" ref="BA224" ca="1">SplitValues("; ",Persons[[#This Row],[Column1]])</f>
        <v>#NAME?</v>
      </c>
      <c r="CA224" s="134" t="e">
        <f ca="1">_xlfn.IFNA(MATCH(BA224,Achievements[[#All],[Column1]],0)+10,"")</f>
        <v>#NAME?</v>
      </c>
      <c r="CB224" s="134" t="str">
        <f>_xlfn.IFNA(MATCH(BB224,Achievements[[#All],[Column1]],0)+10,"")</f>
        <v/>
      </c>
      <c r="CC224" s="134" t="str">
        <f>_xlfn.IFNA(MATCH(BC224,Achievements[[#All],[Column110]],0)+10,"")</f>
        <v/>
      </c>
      <c r="CD224" s="134" t="str">
        <f>_xlfn.IFNA(MATCH(BD224,Achievements[[#All],[Column110]],0)+10,"")</f>
        <v/>
      </c>
      <c r="CE224" s="134" t="str">
        <f>_xlfn.IFNA(MATCH(BE224,Achievements[[#All],[Column111]],0)+10,"")</f>
        <v/>
      </c>
      <c r="CF224" s="134" t="str">
        <f>_xlfn.IFNA(MATCH(BF224,Achievements[[#All],[Column111]],0)+10,"")</f>
        <v/>
      </c>
      <c r="CG224" s="134" t="str">
        <f>_xlfn.IFNA(MATCH(BG224,Achievements[[#All],[Column112]],0)+10,"")</f>
        <v/>
      </c>
      <c r="CH224" s="134" t="str">
        <f>_xlfn.IFNA(MATCH(BH224,Achievements[[#All],[Column112]],0)+10,"")</f>
        <v/>
      </c>
      <c r="CI224" s="134" t="str">
        <f>_xlfn.IFNA(MATCH(BI224,Achievements[[#All],[Column113]],0)+10,"")</f>
        <v/>
      </c>
      <c r="CJ224" s="134" t="str">
        <f>_xlfn.IFNA(MATCH(BJ224,Achievements[[#All],[Column113]],0)+10,"")</f>
        <v/>
      </c>
      <c r="CK224" s="134" t="str">
        <f>_xlfn.IFNA(MATCH(BK224,Achievements[[#All],[Column114]],0)+10,"")</f>
        <v/>
      </c>
      <c r="CL224" s="134" t="str">
        <f>_xlfn.IFNA(MATCH(BL224,Achievements[[#All],[Column114]],0)+10,"")</f>
        <v/>
      </c>
      <c r="CM224" s="134" t="str">
        <f>_xlfn.IFNA(MATCH(BM224,Achievements[[#All],[Column115]],0)+10,"")</f>
        <v/>
      </c>
      <c r="CN224" s="134" t="str">
        <f>_xlfn.IFNA(MATCH(BN224,Achievements[[#All],[Column115]],0)+10,"")</f>
        <v/>
      </c>
      <c r="CO224" s="134" t="str">
        <f>_xlfn.IFNA(MATCH(BO224,Achievements[[#All],[Column116]],0)+10,"")</f>
        <v/>
      </c>
      <c r="CP224" s="134" t="str">
        <f>_xlfn.IFNA(MATCH(BP224,Achievements[[#All],[Column116]],0)+10,"")</f>
        <v/>
      </c>
      <c r="CQ224" s="134" t="str">
        <f>_xlfn.IFNA(MATCH(BQ224,Achievements[[#All],[Column117]],0)+10,"")</f>
        <v/>
      </c>
      <c r="CR224" s="134" t="str">
        <f>_xlfn.IFNA(MATCH(BR224,Achievements[[#All],[Column117]],0)+10,"")</f>
        <v/>
      </c>
      <c r="CS224" s="134" t="str">
        <f>_xlfn.IFNA(MATCH(BS224,Achievements[[#All],[Column118]],0)+10,"")</f>
        <v/>
      </c>
      <c r="CT224" s="134" t="str">
        <f>_xlfn.IFNA(MATCH(BT224,Achievements[[#All],[Column118]],0)+10,"")</f>
        <v/>
      </c>
      <c r="CU224" s="134" t="str">
        <f>_xlfn.IFNA(MATCH(BU224,Achievements[[#All],[Column119]],0)+10,"")</f>
        <v/>
      </c>
      <c r="CV224" s="134" t="str">
        <f>_xlfn.IFNA(MATCH(BV224,Achievements[[#All],[Column119]],0)+10,"")</f>
        <v/>
      </c>
      <c r="CW224" s="134" t="str">
        <f>_xlfn.IFNA(MATCH(BW224,Achievements[[#All],[Column120]],0)+10,"")</f>
        <v/>
      </c>
      <c r="CX224" s="134" t="str">
        <f>_xlfn.IFNA(MATCH(BX224,Achievements[[#All],[Column120]],0)+10,"")</f>
        <v/>
      </c>
      <c r="CY224" s="134" t="str">
        <f>_xlfn.IFNA(MATCH(BY224,Achievements[[#All],[Column121]],0)+10,"")</f>
        <v/>
      </c>
      <c r="CZ224" s="118" t="e">
        <f t="shared" ca="1" si="7"/>
        <v>#NAME?</v>
      </c>
    </row>
    <row r="225" spans="1:104" x14ac:dyDescent="0.25">
      <c r="A225" t="e" cm="1">
        <f t="array" aca="1" ref="A225" ca="1">SplitValues("; ",#REF!)</f>
        <v>#NAME?</v>
      </c>
      <c r="AA225" t="e">
        <f ca="1">_xlfn.IFNA(MATCH(A225,Achievements[[#All],[Column1]],0)+11,"")</f>
        <v>#NAME?</v>
      </c>
      <c r="AB225" s="134" t="str">
        <f>_xlfn.IFNA(MATCH(B225,Achievements[[#All],[Column1]],0)+10,"")</f>
        <v/>
      </c>
      <c r="AC225" s="134" t="str">
        <f>_xlfn.IFNA(MATCH(C225,Achievements[[#All],[Column1]],0)+10,"")</f>
        <v/>
      </c>
      <c r="AD225" s="134" t="str">
        <f>_xlfn.IFNA(MATCH(D225,Achievements[[#All],[Column110]],0)+10,"")</f>
        <v/>
      </c>
      <c r="AE225" s="134" t="str">
        <f>_xlfn.IFNA(MATCH(E225,Achievements[[#All],[Column110]],0)+10,"")</f>
        <v/>
      </c>
      <c r="AF225" s="134" t="str">
        <f>_xlfn.IFNA(MATCH(F225,Achievements[[#All],[Column111]],0)+10,"")</f>
        <v/>
      </c>
      <c r="AG225" s="134" t="str">
        <f>_xlfn.IFNA(MATCH(G225,Achievements[[#All],[Column111]],0)+10,"")</f>
        <v/>
      </c>
      <c r="AH225" s="134" t="str">
        <f>_xlfn.IFNA(MATCH(H225,Achievements[[#All],[Column112]],0)+10,"")</f>
        <v/>
      </c>
      <c r="AI225" s="134" t="str">
        <f>_xlfn.IFNA(MATCH(I225,Achievements[[#All],[Column112]],0)+10,"")</f>
        <v/>
      </c>
      <c r="AJ225" s="134" t="str">
        <f>_xlfn.IFNA(MATCH(J225,Achievements[[#All],[Column113]],0)+10,"")</f>
        <v/>
      </c>
      <c r="AK225" s="134" t="str">
        <f>_xlfn.IFNA(MATCH(K225,Achievements[[#All],[Column113]],0)+10,"")</f>
        <v/>
      </c>
      <c r="AL225" s="134" t="str">
        <f>_xlfn.IFNA(MATCH(L225,Achievements[[#All],[Column114]],0)+10,"")</f>
        <v/>
      </c>
      <c r="AM225" s="134" t="str">
        <f>_xlfn.IFNA(MATCH(M225,Achievements[[#All],[Column114]],0)+10,"")</f>
        <v/>
      </c>
      <c r="AN225" s="134" t="str">
        <f>_xlfn.IFNA(MATCH(N225,Achievements[[#All],[Column115]],0)+10,"")</f>
        <v/>
      </c>
      <c r="AO225" s="134" t="str">
        <f>_xlfn.IFNA(MATCH(O225,Achievements[[#All],[Column115]],0)+10,"")</f>
        <v/>
      </c>
      <c r="AP225" s="134" t="str">
        <f>_xlfn.IFNA(MATCH(P225,Achievements[[#All],[Column116]],0)+10,"")</f>
        <v/>
      </c>
      <c r="AQ225" s="134" t="str">
        <f>_xlfn.IFNA(MATCH(Q225,Achievements[[#All],[Column116]],0)+10,"")</f>
        <v/>
      </c>
      <c r="AR225" s="134" t="str">
        <f>_xlfn.IFNA(MATCH(R225,Achievements[[#All],[Column117]],0)+10,"")</f>
        <v/>
      </c>
      <c r="AS225" s="134" t="str">
        <f>_xlfn.IFNA(MATCH(S225,Achievements[[#All],[Column117]],0)+10,"")</f>
        <v/>
      </c>
      <c r="AT225" s="134" t="str">
        <f>_xlfn.IFNA(MATCH(T225,Achievements[[#All],[Column118]],0)+10,"")</f>
        <v/>
      </c>
      <c r="AU225" s="134" t="str">
        <f>_xlfn.IFNA(MATCH(U225,Achievements[[#All],[Column118]],0)+10,"")</f>
        <v/>
      </c>
      <c r="AV225" s="134" t="str">
        <f>_xlfn.IFNA(MATCH(V225,Achievements[[#All],[Column119]],0)+10,"")</f>
        <v/>
      </c>
      <c r="AW225" s="134" t="str">
        <f>_xlfn.IFNA(MATCH(W225,Achievements[[#All],[Column119]],0)+10,"")</f>
        <v/>
      </c>
      <c r="AX225" s="134" t="str">
        <f>_xlfn.IFNA(MATCH(X225,Achievements[[#All],[Column120]],0)+10,"")</f>
        <v/>
      </c>
      <c r="AY225" s="134" t="str">
        <f>_xlfn.IFNA(MATCH(Y225,Achievements[[#All],[Column120]],0)+10,"")</f>
        <v/>
      </c>
      <c r="AZ225" s="116" t="e">
        <f t="shared" ca="1" si="6"/>
        <v>#NAME?</v>
      </c>
      <c r="BA225" s="134" t="e" cm="1">
        <f t="array" aca="1" ref="BA225" ca="1">SplitValues("; ",Persons[[#This Row],[Column1]])</f>
        <v>#NAME?</v>
      </c>
      <c r="CA225" s="134" t="e">
        <f ca="1">_xlfn.IFNA(MATCH(BA225,Achievements[[#All],[Column1]],0)+10,"")</f>
        <v>#NAME?</v>
      </c>
      <c r="CB225" s="134" t="str">
        <f>_xlfn.IFNA(MATCH(BB225,Achievements[[#All],[Column1]],0)+10,"")</f>
        <v/>
      </c>
      <c r="CC225" s="134" t="str">
        <f>_xlfn.IFNA(MATCH(BC225,Achievements[[#All],[Column110]],0)+10,"")</f>
        <v/>
      </c>
      <c r="CD225" s="134" t="str">
        <f>_xlfn.IFNA(MATCH(BD225,Achievements[[#All],[Column110]],0)+10,"")</f>
        <v/>
      </c>
      <c r="CE225" s="134" t="str">
        <f>_xlfn.IFNA(MATCH(BE225,Achievements[[#All],[Column111]],0)+10,"")</f>
        <v/>
      </c>
      <c r="CF225" s="134" t="str">
        <f>_xlfn.IFNA(MATCH(BF225,Achievements[[#All],[Column111]],0)+10,"")</f>
        <v/>
      </c>
      <c r="CG225" s="134" t="str">
        <f>_xlfn.IFNA(MATCH(BG225,Achievements[[#All],[Column112]],0)+10,"")</f>
        <v/>
      </c>
      <c r="CH225" s="134" t="str">
        <f>_xlfn.IFNA(MATCH(BH225,Achievements[[#All],[Column112]],0)+10,"")</f>
        <v/>
      </c>
      <c r="CI225" s="134" t="str">
        <f>_xlfn.IFNA(MATCH(BI225,Achievements[[#All],[Column113]],0)+10,"")</f>
        <v/>
      </c>
      <c r="CJ225" s="134" t="str">
        <f>_xlfn.IFNA(MATCH(BJ225,Achievements[[#All],[Column113]],0)+10,"")</f>
        <v/>
      </c>
      <c r="CK225" s="134" t="str">
        <f>_xlfn.IFNA(MATCH(BK225,Achievements[[#All],[Column114]],0)+10,"")</f>
        <v/>
      </c>
      <c r="CL225" s="134" t="str">
        <f>_xlfn.IFNA(MATCH(BL225,Achievements[[#All],[Column114]],0)+10,"")</f>
        <v/>
      </c>
      <c r="CM225" s="134" t="str">
        <f>_xlfn.IFNA(MATCH(BM225,Achievements[[#All],[Column115]],0)+10,"")</f>
        <v/>
      </c>
      <c r="CN225" s="134" t="str">
        <f>_xlfn.IFNA(MATCH(BN225,Achievements[[#All],[Column115]],0)+10,"")</f>
        <v/>
      </c>
      <c r="CO225" s="134" t="str">
        <f>_xlfn.IFNA(MATCH(BO225,Achievements[[#All],[Column116]],0)+10,"")</f>
        <v/>
      </c>
      <c r="CP225" s="134" t="str">
        <f>_xlfn.IFNA(MATCH(BP225,Achievements[[#All],[Column116]],0)+10,"")</f>
        <v/>
      </c>
      <c r="CQ225" s="134" t="str">
        <f>_xlfn.IFNA(MATCH(BQ225,Achievements[[#All],[Column117]],0)+10,"")</f>
        <v/>
      </c>
      <c r="CR225" s="134" t="str">
        <f>_xlfn.IFNA(MATCH(BR225,Achievements[[#All],[Column117]],0)+10,"")</f>
        <v/>
      </c>
      <c r="CS225" s="134" t="str">
        <f>_xlfn.IFNA(MATCH(BS225,Achievements[[#All],[Column118]],0)+10,"")</f>
        <v/>
      </c>
      <c r="CT225" s="134" t="str">
        <f>_xlfn.IFNA(MATCH(BT225,Achievements[[#All],[Column118]],0)+10,"")</f>
        <v/>
      </c>
      <c r="CU225" s="134" t="str">
        <f>_xlfn.IFNA(MATCH(BU225,Achievements[[#All],[Column119]],0)+10,"")</f>
        <v/>
      </c>
      <c r="CV225" s="134" t="str">
        <f>_xlfn.IFNA(MATCH(BV225,Achievements[[#All],[Column119]],0)+10,"")</f>
        <v/>
      </c>
      <c r="CW225" s="134" t="str">
        <f>_xlfn.IFNA(MATCH(BW225,Achievements[[#All],[Column120]],0)+10,"")</f>
        <v/>
      </c>
      <c r="CX225" s="134" t="str">
        <f>_xlfn.IFNA(MATCH(BX225,Achievements[[#All],[Column120]],0)+10,"")</f>
        <v/>
      </c>
      <c r="CY225" s="134" t="str">
        <f>_xlfn.IFNA(MATCH(BY225,Achievements[[#All],[Column121]],0)+10,"")</f>
        <v/>
      </c>
      <c r="CZ225" s="118" t="e">
        <f t="shared" ca="1" si="7"/>
        <v>#NAME?</v>
      </c>
    </row>
    <row r="226" spans="1:104" x14ac:dyDescent="0.25">
      <c r="A226" t="e" cm="1">
        <f t="array" aca="1" ref="A226" ca="1">SplitValues("; ",#REF!)</f>
        <v>#NAME?</v>
      </c>
      <c r="AA226" t="e">
        <f ca="1">_xlfn.IFNA(MATCH(A226,Achievements[[#All],[Column1]],0)+11,"")</f>
        <v>#NAME?</v>
      </c>
      <c r="AB226" s="134" t="str">
        <f>_xlfn.IFNA(MATCH(B226,Achievements[[#All],[Column1]],0)+10,"")</f>
        <v/>
      </c>
      <c r="AC226" s="134" t="str">
        <f>_xlfn.IFNA(MATCH(C226,Achievements[[#All],[Column1]],0)+10,"")</f>
        <v/>
      </c>
      <c r="AD226" s="134" t="str">
        <f>_xlfn.IFNA(MATCH(D226,Achievements[[#All],[Column110]],0)+10,"")</f>
        <v/>
      </c>
      <c r="AE226" s="134" t="str">
        <f>_xlfn.IFNA(MATCH(E226,Achievements[[#All],[Column110]],0)+10,"")</f>
        <v/>
      </c>
      <c r="AF226" s="134" t="str">
        <f>_xlfn.IFNA(MATCH(F226,Achievements[[#All],[Column111]],0)+10,"")</f>
        <v/>
      </c>
      <c r="AG226" s="134" t="str">
        <f>_xlfn.IFNA(MATCH(G226,Achievements[[#All],[Column111]],0)+10,"")</f>
        <v/>
      </c>
      <c r="AH226" s="134" t="str">
        <f>_xlfn.IFNA(MATCH(H226,Achievements[[#All],[Column112]],0)+10,"")</f>
        <v/>
      </c>
      <c r="AI226" s="134" t="str">
        <f>_xlfn.IFNA(MATCH(I226,Achievements[[#All],[Column112]],0)+10,"")</f>
        <v/>
      </c>
      <c r="AJ226" s="134" t="str">
        <f>_xlfn.IFNA(MATCH(J226,Achievements[[#All],[Column113]],0)+10,"")</f>
        <v/>
      </c>
      <c r="AK226" s="134" t="str">
        <f>_xlfn.IFNA(MATCH(K226,Achievements[[#All],[Column113]],0)+10,"")</f>
        <v/>
      </c>
      <c r="AL226" s="134" t="str">
        <f>_xlfn.IFNA(MATCH(L226,Achievements[[#All],[Column114]],0)+10,"")</f>
        <v/>
      </c>
      <c r="AM226" s="134" t="str">
        <f>_xlfn.IFNA(MATCH(M226,Achievements[[#All],[Column114]],0)+10,"")</f>
        <v/>
      </c>
      <c r="AN226" s="134" t="str">
        <f>_xlfn.IFNA(MATCH(N226,Achievements[[#All],[Column115]],0)+10,"")</f>
        <v/>
      </c>
      <c r="AO226" s="134" t="str">
        <f>_xlfn.IFNA(MATCH(O226,Achievements[[#All],[Column115]],0)+10,"")</f>
        <v/>
      </c>
      <c r="AP226" s="134" t="str">
        <f>_xlfn.IFNA(MATCH(P226,Achievements[[#All],[Column116]],0)+10,"")</f>
        <v/>
      </c>
      <c r="AQ226" s="134" t="str">
        <f>_xlfn.IFNA(MATCH(Q226,Achievements[[#All],[Column116]],0)+10,"")</f>
        <v/>
      </c>
      <c r="AR226" s="134" t="str">
        <f>_xlfn.IFNA(MATCH(R226,Achievements[[#All],[Column117]],0)+10,"")</f>
        <v/>
      </c>
      <c r="AS226" s="134" t="str">
        <f>_xlfn.IFNA(MATCH(S226,Achievements[[#All],[Column117]],0)+10,"")</f>
        <v/>
      </c>
      <c r="AT226" s="134" t="str">
        <f>_xlfn.IFNA(MATCH(T226,Achievements[[#All],[Column118]],0)+10,"")</f>
        <v/>
      </c>
      <c r="AU226" s="134" t="str">
        <f>_xlfn.IFNA(MATCH(U226,Achievements[[#All],[Column118]],0)+10,"")</f>
        <v/>
      </c>
      <c r="AV226" s="134" t="str">
        <f>_xlfn.IFNA(MATCH(V226,Achievements[[#All],[Column119]],0)+10,"")</f>
        <v/>
      </c>
      <c r="AW226" s="134" t="str">
        <f>_xlfn.IFNA(MATCH(W226,Achievements[[#All],[Column119]],0)+10,"")</f>
        <v/>
      </c>
      <c r="AX226" s="134" t="str">
        <f>_xlfn.IFNA(MATCH(X226,Achievements[[#All],[Column120]],0)+10,"")</f>
        <v/>
      </c>
      <c r="AY226" s="134" t="str">
        <f>_xlfn.IFNA(MATCH(Y226,Achievements[[#All],[Column120]],0)+10,"")</f>
        <v/>
      </c>
      <c r="AZ226" s="116" t="e">
        <f t="shared" ca="1" si="6"/>
        <v>#NAME?</v>
      </c>
      <c r="BA226" s="134" t="e" cm="1">
        <f t="array" aca="1" ref="BA226" ca="1">SplitValues("; ",Persons[[#This Row],[Column1]])</f>
        <v>#NAME?</v>
      </c>
      <c r="CA226" s="134" t="e">
        <f ca="1">_xlfn.IFNA(MATCH(BA226,Achievements[[#All],[Column1]],0)+10,"")</f>
        <v>#NAME?</v>
      </c>
      <c r="CB226" s="134" t="str">
        <f>_xlfn.IFNA(MATCH(BB226,Achievements[[#All],[Column1]],0)+10,"")</f>
        <v/>
      </c>
      <c r="CC226" s="134" t="str">
        <f>_xlfn.IFNA(MATCH(BC226,Achievements[[#All],[Column110]],0)+10,"")</f>
        <v/>
      </c>
      <c r="CD226" s="134" t="str">
        <f>_xlfn.IFNA(MATCH(BD226,Achievements[[#All],[Column110]],0)+10,"")</f>
        <v/>
      </c>
      <c r="CE226" s="134" t="str">
        <f>_xlfn.IFNA(MATCH(BE226,Achievements[[#All],[Column111]],0)+10,"")</f>
        <v/>
      </c>
      <c r="CF226" s="134" t="str">
        <f>_xlfn.IFNA(MATCH(BF226,Achievements[[#All],[Column111]],0)+10,"")</f>
        <v/>
      </c>
      <c r="CG226" s="134" t="str">
        <f>_xlfn.IFNA(MATCH(BG226,Achievements[[#All],[Column112]],0)+10,"")</f>
        <v/>
      </c>
      <c r="CH226" s="134" t="str">
        <f>_xlfn.IFNA(MATCH(BH226,Achievements[[#All],[Column112]],0)+10,"")</f>
        <v/>
      </c>
      <c r="CI226" s="134" t="str">
        <f>_xlfn.IFNA(MATCH(BI226,Achievements[[#All],[Column113]],0)+10,"")</f>
        <v/>
      </c>
      <c r="CJ226" s="134" t="str">
        <f>_xlfn.IFNA(MATCH(BJ226,Achievements[[#All],[Column113]],0)+10,"")</f>
        <v/>
      </c>
      <c r="CK226" s="134" t="str">
        <f>_xlfn.IFNA(MATCH(BK226,Achievements[[#All],[Column114]],0)+10,"")</f>
        <v/>
      </c>
      <c r="CL226" s="134" t="str">
        <f>_xlfn.IFNA(MATCH(BL226,Achievements[[#All],[Column114]],0)+10,"")</f>
        <v/>
      </c>
      <c r="CM226" s="134" t="str">
        <f>_xlfn.IFNA(MATCH(BM226,Achievements[[#All],[Column115]],0)+10,"")</f>
        <v/>
      </c>
      <c r="CN226" s="134" t="str">
        <f>_xlfn.IFNA(MATCH(BN226,Achievements[[#All],[Column115]],0)+10,"")</f>
        <v/>
      </c>
      <c r="CO226" s="134" t="str">
        <f>_xlfn.IFNA(MATCH(BO226,Achievements[[#All],[Column116]],0)+10,"")</f>
        <v/>
      </c>
      <c r="CP226" s="134" t="str">
        <f>_xlfn.IFNA(MATCH(BP226,Achievements[[#All],[Column116]],0)+10,"")</f>
        <v/>
      </c>
      <c r="CQ226" s="134" t="str">
        <f>_xlfn.IFNA(MATCH(BQ226,Achievements[[#All],[Column117]],0)+10,"")</f>
        <v/>
      </c>
      <c r="CR226" s="134" t="str">
        <f>_xlfn.IFNA(MATCH(BR226,Achievements[[#All],[Column117]],0)+10,"")</f>
        <v/>
      </c>
      <c r="CS226" s="134" t="str">
        <f>_xlfn.IFNA(MATCH(BS226,Achievements[[#All],[Column118]],0)+10,"")</f>
        <v/>
      </c>
      <c r="CT226" s="134" t="str">
        <f>_xlfn.IFNA(MATCH(BT226,Achievements[[#All],[Column118]],0)+10,"")</f>
        <v/>
      </c>
      <c r="CU226" s="134" t="str">
        <f>_xlfn.IFNA(MATCH(BU226,Achievements[[#All],[Column119]],0)+10,"")</f>
        <v/>
      </c>
      <c r="CV226" s="134" t="str">
        <f>_xlfn.IFNA(MATCH(BV226,Achievements[[#All],[Column119]],0)+10,"")</f>
        <v/>
      </c>
      <c r="CW226" s="134" t="str">
        <f>_xlfn.IFNA(MATCH(BW226,Achievements[[#All],[Column120]],0)+10,"")</f>
        <v/>
      </c>
      <c r="CX226" s="134" t="str">
        <f>_xlfn.IFNA(MATCH(BX226,Achievements[[#All],[Column120]],0)+10,"")</f>
        <v/>
      </c>
      <c r="CY226" s="134" t="str">
        <f>_xlfn.IFNA(MATCH(BY226,Achievements[[#All],[Column121]],0)+10,"")</f>
        <v/>
      </c>
      <c r="CZ226" s="118" t="e">
        <f t="shared" ca="1" si="7"/>
        <v>#NAME?</v>
      </c>
    </row>
    <row r="227" spans="1:104" x14ac:dyDescent="0.25">
      <c r="A227" t="e" cm="1">
        <f t="array" aca="1" ref="A227" ca="1">SplitValues("; ",#REF!)</f>
        <v>#NAME?</v>
      </c>
      <c r="AA227" t="e">
        <f ca="1">_xlfn.IFNA(MATCH(A227,Achievements[[#All],[Column1]],0)+11,"")</f>
        <v>#NAME?</v>
      </c>
      <c r="AB227" s="134" t="str">
        <f>_xlfn.IFNA(MATCH(B227,Achievements[[#All],[Column1]],0)+10,"")</f>
        <v/>
      </c>
      <c r="AC227" s="134" t="str">
        <f>_xlfn.IFNA(MATCH(C227,Achievements[[#All],[Column1]],0)+10,"")</f>
        <v/>
      </c>
      <c r="AD227" s="134" t="str">
        <f>_xlfn.IFNA(MATCH(D227,Achievements[[#All],[Column110]],0)+10,"")</f>
        <v/>
      </c>
      <c r="AE227" s="134" t="str">
        <f>_xlfn.IFNA(MATCH(E227,Achievements[[#All],[Column110]],0)+10,"")</f>
        <v/>
      </c>
      <c r="AF227" s="134" t="str">
        <f>_xlfn.IFNA(MATCH(F227,Achievements[[#All],[Column111]],0)+10,"")</f>
        <v/>
      </c>
      <c r="AG227" s="134" t="str">
        <f>_xlfn.IFNA(MATCH(G227,Achievements[[#All],[Column111]],0)+10,"")</f>
        <v/>
      </c>
      <c r="AH227" s="134" t="str">
        <f>_xlfn.IFNA(MATCH(H227,Achievements[[#All],[Column112]],0)+10,"")</f>
        <v/>
      </c>
      <c r="AI227" s="134" t="str">
        <f>_xlfn.IFNA(MATCH(I227,Achievements[[#All],[Column112]],0)+10,"")</f>
        <v/>
      </c>
      <c r="AJ227" s="134" t="str">
        <f>_xlfn.IFNA(MATCH(J227,Achievements[[#All],[Column113]],0)+10,"")</f>
        <v/>
      </c>
      <c r="AK227" s="134" t="str">
        <f>_xlfn.IFNA(MATCH(K227,Achievements[[#All],[Column113]],0)+10,"")</f>
        <v/>
      </c>
      <c r="AL227" s="134" t="str">
        <f>_xlfn.IFNA(MATCH(L227,Achievements[[#All],[Column114]],0)+10,"")</f>
        <v/>
      </c>
      <c r="AM227" s="134" t="str">
        <f>_xlfn.IFNA(MATCH(M227,Achievements[[#All],[Column114]],0)+10,"")</f>
        <v/>
      </c>
      <c r="AN227" s="134" t="str">
        <f>_xlfn.IFNA(MATCH(N227,Achievements[[#All],[Column115]],0)+10,"")</f>
        <v/>
      </c>
      <c r="AO227" s="134" t="str">
        <f>_xlfn.IFNA(MATCH(O227,Achievements[[#All],[Column115]],0)+10,"")</f>
        <v/>
      </c>
      <c r="AP227" s="134" t="str">
        <f>_xlfn.IFNA(MATCH(P227,Achievements[[#All],[Column116]],0)+10,"")</f>
        <v/>
      </c>
      <c r="AQ227" s="134" t="str">
        <f>_xlfn.IFNA(MATCH(Q227,Achievements[[#All],[Column116]],0)+10,"")</f>
        <v/>
      </c>
      <c r="AR227" s="134" t="str">
        <f>_xlfn.IFNA(MATCH(R227,Achievements[[#All],[Column117]],0)+10,"")</f>
        <v/>
      </c>
      <c r="AS227" s="134" t="str">
        <f>_xlfn.IFNA(MATCH(S227,Achievements[[#All],[Column117]],0)+10,"")</f>
        <v/>
      </c>
      <c r="AT227" s="134" t="str">
        <f>_xlfn.IFNA(MATCH(T227,Achievements[[#All],[Column118]],0)+10,"")</f>
        <v/>
      </c>
      <c r="AU227" s="134" t="str">
        <f>_xlfn.IFNA(MATCH(U227,Achievements[[#All],[Column118]],0)+10,"")</f>
        <v/>
      </c>
      <c r="AV227" s="134" t="str">
        <f>_xlfn.IFNA(MATCH(V227,Achievements[[#All],[Column119]],0)+10,"")</f>
        <v/>
      </c>
      <c r="AW227" s="134" t="str">
        <f>_xlfn.IFNA(MATCH(W227,Achievements[[#All],[Column119]],0)+10,"")</f>
        <v/>
      </c>
      <c r="AX227" s="134" t="str">
        <f>_xlfn.IFNA(MATCH(X227,Achievements[[#All],[Column120]],0)+10,"")</f>
        <v/>
      </c>
      <c r="AY227" s="134" t="str">
        <f>_xlfn.IFNA(MATCH(Y227,Achievements[[#All],[Column120]],0)+10,"")</f>
        <v/>
      </c>
      <c r="AZ227" s="116" t="e">
        <f t="shared" ca="1" si="6"/>
        <v>#NAME?</v>
      </c>
      <c r="BA227" s="134" t="e" cm="1">
        <f t="array" aca="1" ref="BA227" ca="1">SplitValues("; ",Persons[[#This Row],[Column1]])</f>
        <v>#NAME?</v>
      </c>
      <c r="CA227" s="134" t="e">
        <f ca="1">_xlfn.IFNA(MATCH(BA227,Achievements[[#All],[Column1]],0)+10,"")</f>
        <v>#NAME?</v>
      </c>
      <c r="CB227" s="134" t="str">
        <f>_xlfn.IFNA(MATCH(BB227,Achievements[[#All],[Column1]],0)+10,"")</f>
        <v/>
      </c>
      <c r="CC227" s="134" t="str">
        <f>_xlfn.IFNA(MATCH(BC227,Achievements[[#All],[Column110]],0)+10,"")</f>
        <v/>
      </c>
      <c r="CD227" s="134" t="str">
        <f>_xlfn.IFNA(MATCH(BD227,Achievements[[#All],[Column110]],0)+10,"")</f>
        <v/>
      </c>
      <c r="CE227" s="134" t="str">
        <f>_xlfn.IFNA(MATCH(BE227,Achievements[[#All],[Column111]],0)+10,"")</f>
        <v/>
      </c>
      <c r="CF227" s="134" t="str">
        <f>_xlfn.IFNA(MATCH(BF227,Achievements[[#All],[Column111]],0)+10,"")</f>
        <v/>
      </c>
      <c r="CG227" s="134" t="str">
        <f>_xlfn.IFNA(MATCH(BG227,Achievements[[#All],[Column112]],0)+10,"")</f>
        <v/>
      </c>
      <c r="CH227" s="134" t="str">
        <f>_xlfn.IFNA(MATCH(BH227,Achievements[[#All],[Column112]],0)+10,"")</f>
        <v/>
      </c>
      <c r="CI227" s="134" t="str">
        <f>_xlfn.IFNA(MATCH(BI227,Achievements[[#All],[Column113]],0)+10,"")</f>
        <v/>
      </c>
      <c r="CJ227" s="134" t="str">
        <f>_xlfn.IFNA(MATCH(BJ227,Achievements[[#All],[Column113]],0)+10,"")</f>
        <v/>
      </c>
      <c r="CK227" s="134" t="str">
        <f>_xlfn.IFNA(MATCH(BK227,Achievements[[#All],[Column114]],0)+10,"")</f>
        <v/>
      </c>
      <c r="CL227" s="134" t="str">
        <f>_xlfn.IFNA(MATCH(BL227,Achievements[[#All],[Column114]],0)+10,"")</f>
        <v/>
      </c>
      <c r="CM227" s="134" t="str">
        <f>_xlfn.IFNA(MATCH(BM227,Achievements[[#All],[Column115]],0)+10,"")</f>
        <v/>
      </c>
      <c r="CN227" s="134" t="str">
        <f>_xlfn.IFNA(MATCH(BN227,Achievements[[#All],[Column115]],0)+10,"")</f>
        <v/>
      </c>
      <c r="CO227" s="134" t="str">
        <f>_xlfn.IFNA(MATCH(BO227,Achievements[[#All],[Column116]],0)+10,"")</f>
        <v/>
      </c>
      <c r="CP227" s="134" t="str">
        <f>_xlfn.IFNA(MATCH(BP227,Achievements[[#All],[Column116]],0)+10,"")</f>
        <v/>
      </c>
      <c r="CQ227" s="134" t="str">
        <f>_xlfn.IFNA(MATCH(BQ227,Achievements[[#All],[Column117]],0)+10,"")</f>
        <v/>
      </c>
      <c r="CR227" s="134" t="str">
        <f>_xlfn.IFNA(MATCH(BR227,Achievements[[#All],[Column117]],0)+10,"")</f>
        <v/>
      </c>
      <c r="CS227" s="134" t="str">
        <f>_xlfn.IFNA(MATCH(BS227,Achievements[[#All],[Column118]],0)+10,"")</f>
        <v/>
      </c>
      <c r="CT227" s="134" t="str">
        <f>_xlfn.IFNA(MATCH(BT227,Achievements[[#All],[Column118]],0)+10,"")</f>
        <v/>
      </c>
      <c r="CU227" s="134" t="str">
        <f>_xlfn.IFNA(MATCH(BU227,Achievements[[#All],[Column119]],0)+10,"")</f>
        <v/>
      </c>
      <c r="CV227" s="134" t="str">
        <f>_xlfn.IFNA(MATCH(BV227,Achievements[[#All],[Column119]],0)+10,"")</f>
        <v/>
      </c>
      <c r="CW227" s="134" t="str">
        <f>_xlfn.IFNA(MATCH(BW227,Achievements[[#All],[Column120]],0)+10,"")</f>
        <v/>
      </c>
      <c r="CX227" s="134" t="str">
        <f>_xlfn.IFNA(MATCH(BX227,Achievements[[#All],[Column120]],0)+10,"")</f>
        <v/>
      </c>
      <c r="CY227" s="134" t="str">
        <f>_xlfn.IFNA(MATCH(BY227,Achievements[[#All],[Column121]],0)+10,"")</f>
        <v/>
      </c>
      <c r="CZ227" s="118" t="e">
        <f t="shared" ca="1" si="7"/>
        <v>#NAME?</v>
      </c>
    </row>
    <row r="228" spans="1:104" x14ac:dyDescent="0.25">
      <c r="A228" t="e" cm="1">
        <f t="array" aca="1" ref="A228" ca="1">SplitValues("; ",#REF!)</f>
        <v>#NAME?</v>
      </c>
      <c r="AA228" t="e">
        <f ca="1">_xlfn.IFNA(MATCH(A228,Achievements[[#All],[Column1]],0)+11,"")</f>
        <v>#NAME?</v>
      </c>
      <c r="AB228" s="134" t="str">
        <f>_xlfn.IFNA(MATCH(B228,Achievements[[#All],[Column1]],0)+10,"")</f>
        <v/>
      </c>
      <c r="AC228" s="134" t="str">
        <f>_xlfn.IFNA(MATCH(C228,Achievements[[#All],[Column1]],0)+10,"")</f>
        <v/>
      </c>
      <c r="AD228" s="134" t="str">
        <f>_xlfn.IFNA(MATCH(D228,Achievements[[#All],[Column110]],0)+10,"")</f>
        <v/>
      </c>
      <c r="AE228" s="134" t="str">
        <f>_xlfn.IFNA(MATCH(E228,Achievements[[#All],[Column110]],0)+10,"")</f>
        <v/>
      </c>
      <c r="AF228" s="134" t="str">
        <f>_xlfn.IFNA(MATCH(F228,Achievements[[#All],[Column111]],0)+10,"")</f>
        <v/>
      </c>
      <c r="AG228" s="134" t="str">
        <f>_xlfn.IFNA(MATCH(G228,Achievements[[#All],[Column111]],0)+10,"")</f>
        <v/>
      </c>
      <c r="AH228" s="134" t="str">
        <f>_xlfn.IFNA(MATCH(H228,Achievements[[#All],[Column112]],0)+10,"")</f>
        <v/>
      </c>
      <c r="AI228" s="134" t="str">
        <f>_xlfn.IFNA(MATCH(I228,Achievements[[#All],[Column112]],0)+10,"")</f>
        <v/>
      </c>
      <c r="AJ228" s="134" t="str">
        <f>_xlfn.IFNA(MATCH(J228,Achievements[[#All],[Column113]],0)+10,"")</f>
        <v/>
      </c>
      <c r="AK228" s="134" t="str">
        <f>_xlfn.IFNA(MATCH(K228,Achievements[[#All],[Column113]],0)+10,"")</f>
        <v/>
      </c>
      <c r="AL228" s="134" t="str">
        <f>_xlfn.IFNA(MATCH(L228,Achievements[[#All],[Column114]],0)+10,"")</f>
        <v/>
      </c>
      <c r="AM228" s="134" t="str">
        <f>_xlfn.IFNA(MATCH(M228,Achievements[[#All],[Column114]],0)+10,"")</f>
        <v/>
      </c>
      <c r="AN228" s="134" t="str">
        <f>_xlfn.IFNA(MATCH(N228,Achievements[[#All],[Column115]],0)+10,"")</f>
        <v/>
      </c>
      <c r="AO228" s="134" t="str">
        <f>_xlfn.IFNA(MATCH(O228,Achievements[[#All],[Column115]],0)+10,"")</f>
        <v/>
      </c>
      <c r="AP228" s="134" t="str">
        <f>_xlfn.IFNA(MATCH(P228,Achievements[[#All],[Column116]],0)+10,"")</f>
        <v/>
      </c>
      <c r="AQ228" s="134" t="str">
        <f>_xlfn.IFNA(MATCH(Q228,Achievements[[#All],[Column116]],0)+10,"")</f>
        <v/>
      </c>
      <c r="AR228" s="134" t="str">
        <f>_xlfn.IFNA(MATCH(R228,Achievements[[#All],[Column117]],0)+10,"")</f>
        <v/>
      </c>
      <c r="AS228" s="134" t="str">
        <f>_xlfn.IFNA(MATCH(S228,Achievements[[#All],[Column117]],0)+10,"")</f>
        <v/>
      </c>
      <c r="AT228" s="134" t="str">
        <f>_xlfn.IFNA(MATCH(T228,Achievements[[#All],[Column118]],0)+10,"")</f>
        <v/>
      </c>
      <c r="AU228" s="134" t="str">
        <f>_xlfn.IFNA(MATCH(U228,Achievements[[#All],[Column118]],0)+10,"")</f>
        <v/>
      </c>
      <c r="AV228" s="134" t="str">
        <f>_xlfn.IFNA(MATCH(V228,Achievements[[#All],[Column119]],0)+10,"")</f>
        <v/>
      </c>
      <c r="AW228" s="134" t="str">
        <f>_xlfn.IFNA(MATCH(W228,Achievements[[#All],[Column119]],0)+10,"")</f>
        <v/>
      </c>
      <c r="AX228" s="134" t="str">
        <f>_xlfn.IFNA(MATCH(X228,Achievements[[#All],[Column120]],0)+10,"")</f>
        <v/>
      </c>
      <c r="AY228" s="134" t="str">
        <f>_xlfn.IFNA(MATCH(Y228,Achievements[[#All],[Column120]],0)+10,"")</f>
        <v/>
      </c>
      <c r="AZ228" s="116" t="e">
        <f t="shared" ca="1" si="6"/>
        <v>#NAME?</v>
      </c>
      <c r="BA228" s="134" t="e" cm="1">
        <f t="array" aca="1" ref="BA228" ca="1">SplitValues("; ",Persons[[#This Row],[Column1]])</f>
        <v>#NAME?</v>
      </c>
      <c r="CA228" s="134" t="e">
        <f ca="1">_xlfn.IFNA(MATCH(BA228,Achievements[[#All],[Column1]],0)+10,"")</f>
        <v>#NAME?</v>
      </c>
      <c r="CB228" s="134" t="str">
        <f>_xlfn.IFNA(MATCH(BB228,Achievements[[#All],[Column1]],0)+10,"")</f>
        <v/>
      </c>
      <c r="CC228" s="134" t="str">
        <f>_xlfn.IFNA(MATCH(BC228,Achievements[[#All],[Column110]],0)+10,"")</f>
        <v/>
      </c>
      <c r="CD228" s="134" t="str">
        <f>_xlfn.IFNA(MATCH(BD228,Achievements[[#All],[Column110]],0)+10,"")</f>
        <v/>
      </c>
      <c r="CE228" s="134" t="str">
        <f>_xlfn.IFNA(MATCH(BE228,Achievements[[#All],[Column111]],0)+10,"")</f>
        <v/>
      </c>
      <c r="CF228" s="134" t="str">
        <f>_xlfn.IFNA(MATCH(BF228,Achievements[[#All],[Column111]],0)+10,"")</f>
        <v/>
      </c>
      <c r="CG228" s="134" t="str">
        <f>_xlfn.IFNA(MATCH(BG228,Achievements[[#All],[Column112]],0)+10,"")</f>
        <v/>
      </c>
      <c r="CH228" s="134" t="str">
        <f>_xlfn.IFNA(MATCH(BH228,Achievements[[#All],[Column112]],0)+10,"")</f>
        <v/>
      </c>
      <c r="CI228" s="134" t="str">
        <f>_xlfn.IFNA(MATCH(BI228,Achievements[[#All],[Column113]],0)+10,"")</f>
        <v/>
      </c>
      <c r="CJ228" s="134" t="str">
        <f>_xlfn.IFNA(MATCH(BJ228,Achievements[[#All],[Column113]],0)+10,"")</f>
        <v/>
      </c>
      <c r="CK228" s="134" t="str">
        <f>_xlfn.IFNA(MATCH(BK228,Achievements[[#All],[Column114]],0)+10,"")</f>
        <v/>
      </c>
      <c r="CL228" s="134" t="str">
        <f>_xlfn.IFNA(MATCH(BL228,Achievements[[#All],[Column114]],0)+10,"")</f>
        <v/>
      </c>
      <c r="CM228" s="134" t="str">
        <f>_xlfn.IFNA(MATCH(BM228,Achievements[[#All],[Column115]],0)+10,"")</f>
        <v/>
      </c>
      <c r="CN228" s="134" t="str">
        <f>_xlfn.IFNA(MATCH(BN228,Achievements[[#All],[Column115]],0)+10,"")</f>
        <v/>
      </c>
      <c r="CO228" s="134" t="str">
        <f>_xlfn.IFNA(MATCH(BO228,Achievements[[#All],[Column116]],0)+10,"")</f>
        <v/>
      </c>
      <c r="CP228" s="134" t="str">
        <f>_xlfn.IFNA(MATCH(BP228,Achievements[[#All],[Column116]],0)+10,"")</f>
        <v/>
      </c>
      <c r="CQ228" s="134" t="str">
        <f>_xlfn.IFNA(MATCH(BQ228,Achievements[[#All],[Column117]],0)+10,"")</f>
        <v/>
      </c>
      <c r="CR228" s="134" t="str">
        <f>_xlfn.IFNA(MATCH(BR228,Achievements[[#All],[Column117]],0)+10,"")</f>
        <v/>
      </c>
      <c r="CS228" s="134" t="str">
        <f>_xlfn.IFNA(MATCH(BS228,Achievements[[#All],[Column118]],0)+10,"")</f>
        <v/>
      </c>
      <c r="CT228" s="134" t="str">
        <f>_xlfn.IFNA(MATCH(BT228,Achievements[[#All],[Column118]],0)+10,"")</f>
        <v/>
      </c>
      <c r="CU228" s="134" t="str">
        <f>_xlfn.IFNA(MATCH(BU228,Achievements[[#All],[Column119]],0)+10,"")</f>
        <v/>
      </c>
      <c r="CV228" s="134" t="str">
        <f>_xlfn.IFNA(MATCH(BV228,Achievements[[#All],[Column119]],0)+10,"")</f>
        <v/>
      </c>
      <c r="CW228" s="134" t="str">
        <f>_xlfn.IFNA(MATCH(BW228,Achievements[[#All],[Column120]],0)+10,"")</f>
        <v/>
      </c>
      <c r="CX228" s="134" t="str">
        <f>_xlfn.IFNA(MATCH(BX228,Achievements[[#All],[Column120]],0)+10,"")</f>
        <v/>
      </c>
      <c r="CY228" s="134" t="str">
        <f>_xlfn.IFNA(MATCH(BY228,Achievements[[#All],[Column121]],0)+10,"")</f>
        <v/>
      </c>
      <c r="CZ228" s="118" t="e">
        <f t="shared" ca="1" si="7"/>
        <v>#NAME?</v>
      </c>
    </row>
    <row r="229" spans="1:104" x14ac:dyDescent="0.25">
      <c r="A229" t="e" cm="1">
        <f t="array" aca="1" ref="A229" ca="1">SplitValues("; ",#REF!)</f>
        <v>#NAME?</v>
      </c>
      <c r="AA229" t="e">
        <f ca="1">_xlfn.IFNA(MATCH(A229,Achievements[[#All],[Column1]],0)+11,"")</f>
        <v>#NAME?</v>
      </c>
      <c r="AB229" s="134" t="str">
        <f>_xlfn.IFNA(MATCH(B229,Achievements[[#All],[Column1]],0)+10,"")</f>
        <v/>
      </c>
      <c r="AC229" s="134" t="str">
        <f>_xlfn.IFNA(MATCH(C229,Achievements[[#All],[Column1]],0)+10,"")</f>
        <v/>
      </c>
      <c r="AD229" s="134" t="str">
        <f>_xlfn.IFNA(MATCH(D229,Achievements[[#All],[Column110]],0)+10,"")</f>
        <v/>
      </c>
      <c r="AE229" s="134" t="str">
        <f>_xlfn.IFNA(MATCH(E229,Achievements[[#All],[Column110]],0)+10,"")</f>
        <v/>
      </c>
      <c r="AF229" s="134" t="str">
        <f>_xlfn.IFNA(MATCH(F229,Achievements[[#All],[Column111]],0)+10,"")</f>
        <v/>
      </c>
      <c r="AG229" s="134" t="str">
        <f>_xlfn.IFNA(MATCH(G229,Achievements[[#All],[Column111]],0)+10,"")</f>
        <v/>
      </c>
      <c r="AH229" s="134" t="str">
        <f>_xlfn.IFNA(MATCH(H229,Achievements[[#All],[Column112]],0)+10,"")</f>
        <v/>
      </c>
      <c r="AI229" s="134" t="str">
        <f>_xlfn.IFNA(MATCH(I229,Achievements[[#All],[Column112]],0)+10,"")</f>
        <v/>
      </c>
      <c r="AJ229" s="134" t="str">
        <f>_xlfn.IFNA(MATCH(J229,Achievements[[#All],[Column113]],0)+10,"")</f>
        <v/>
      </c>
      <c r="AK229" s="134" t="str">
        <f>_xlfn.IFNA(MATCH(K229,Achievements[[#All],[Column113]],0)+10,"")</f>
        <v/>
      </c>
      <c r="AL229" s="134" t="str">
        <f>_xlfn.IFNA(MATCH(L229,Achievements[[#All],[Column114]],0)+10,"")</f>
        <v/>
      </c>
      <c r="AM229" s="134" t="str">
        <f>_xlfn.IFNA(MATCH(M229,Achievements[[#All],[Column114]],0)+10,"")</f>
        <v/>
      </c>
      <c r="AN229" s="134" t="str">
        <f>_xlfn.IFNA(MATCH(N229,Achievements[[#All],[Column115]],0)+10,"")</f>
        <v/>
      </c>
      <c r="AO229" s="134" t="str">
        <f>_xlfn.IFNA(MATCH(O229,Achievements[[#All],[Column115]],0)+10,"")</f>
        <v/>
      </c>
      <c r="AP229" s="134" t="str">
        <f>_xlfn.IFNA(MATCH(P229,Achievements[[#All],[Column116]],0)+10,"")</f>
        <v/>
      </c>
      <c r="AQ229" s="134" t="str">
        <f>_xlfn.IFNA(MATCH(Q229,Achievements[[#All],[Column116]],0)+10,"")</f>
        <v/>
      </c>
      <c r="AR229" s="134" t="str">
        <f>_xlfn.IFNA(MATCH(R229,Achievements[[#All],[Column117]],0)+10,"")</f>
        <v/>
      </c>
      <c r="AS229" s="134" t="str">
        <f>_xlfn.IFNA(MATCH(S229,Achievements[[#All],[Column117]],0)+10,"")</f>
        <v/>
      </c>
      <c r="AT229" s="134" t="str">
        <f>_xlfn.IFNA(MATCH(T229,Achievements[[#All],[Column118]],0)+10,"")</f>
        <v/>
      </c>
      <c r="AU229" s="134" t="str">
        <f>_xlfn.IFNA(MATCH(U229,Achievements[[#All],[Column118]],0)+10,"")</f>
        <v/>
      </c>
      <c r="AV229" s="134" t="str">
        <f>_xlfn.IFNA(MATCH(V229,Achievements[[#All],[Column119]],0)+10,"")</f>
        <v/>
      </c>
      <c r="AW229" s="134" t="str">
        <f>_xlfn.IFNA(MATCH(W229,Achievements[[#All],[Column119]],0)+10,"")</f>
        <v/>
      </c>
      <c r="AX229" s="134" t="str">
        <f>_xlfn.IFNA(MATCH(X229,Achievements[[#All],[Column120]],0)+10,"")</f>
        <v/>
      </c>
      <c r="AY229" s="134" t="str">
        <f>_xlfn.IFNA(MATCH(Y229,Achievements[[#All],[Column120]],0)+10,"")</f>
        <v/>
      </c>
      <c r="AZ229" s="116" t="e">
        <f t="shared" ca="1" si="6"/>
        <v>#NAME?</v>
      </c>
      <c r="BA229" s="134" t="e" cm="1">
        <f t="array" aca="1" ref="BA229" ca="1">SplitValues("; ",Persons[[#This Row],[Column1]])</f>
        <v>#NAME?</v>
      </c>
      <c r="CA229" s="134" t="e">
        <f ca="1">_xlfn.IFNA(MATCH(BA229,Achievements[[#All],[Column1]],0)+10,"")</f>
        <v>#NAME?</v>
      </c>
      <c r="CB229" s="134" t="str">
        <f>_xlfn.IFNA(MATCH(BB229,Achievements[[#All],[Column1]],0)+10,"")</f>
        <v/>
      </c>
      <c r="CC229" s="134" t="str">
        <f>_xlfn.IFNA(MATCH(BC229,Achievements[[#All],[Column110]],0)+10,"")</f>
        <v/>
      </c>
      <c r="CD229" s="134" t="str">
        <f>_xlfn.IFNA(MATCH(BD229,Achievements[[#All],[Column110]],0)+10,"")</f>
        <v/>
      </c>
      <c r="CE229" s="134" t="str">
        <f>_xlfn.IFNA(MATCH(BE229,Achievements[[#All],[Column111]],0)+10,"")</f>
        <v/>
      </c>
      <c r="CF229" s="134" t="str">
        <f>_xlfn.IFNA(MATCH(BF229,Achievements[[#All],[Column111]],0)+10,"")</f>
        <v/>
      </c>
      <c r="CG229" s="134" t="str">
        <f>_xlfn.IFNA(MATCH(BG229,Achievements[[#All],[Column112]],0)+10,"")</f>
        <v/>
      </c>
      <c r="CH229" s="134" t="str">
        <f>_xlfn.IFNA(MATCH(BH229,Achievements[[#All],[Column112]],0)+10,"")</f>
        <v/>
      </c>
      <c r="CI229" s="134" t="str">
        <f>_xlfn.IFNA(MATCH(BI229,Achievements[[#All],[Column113]],0)+10,"")</f>
        <v/>
      </c>
      <c r="CJ229" s="134" t="str">
        <f>_xlfn.IFNA(MATCH(BJ229,Achievements[[#All],[Column113]],0)+10,"")</f>
        <v/>
      </c>
      <c r="CK229" s="134" t="str">
        <f>_xlfn.IFNA(MATCH(BK229,Achievements[[#All],[Column114]],0)+10,"")</f>
        <v/>
      </c>
      <c r="CL229" s="134" t="str">
        <f>_xlfn.IFNA(MATCH(BL229,Achievements[[#All],[Column114]],0)+10,"")</f>
        <v/>
      </c>
      <c r="CM229" s="134" t="str">
        <f>_xlfn.IFNA(MATCH(BM229,Achievements[[#All],[Column115]],0)+10,"")</f>
        <v/>
      </c>
      <c r="CN229" s="134" t="str">
        <f>_xlfn.IFNA(MATCH(BN229,Achievements[[#All],[Column115]],0)+10,"")</f>
        <v/>
      </c>
      <c r="CO229" s="134" t="str">
        <f>_xlfn.IFNA(MATCH(BO229,Achievements[[#All],[Column116]],0)+10,"")</f>
        <v/>
      </c>
      <c r="CP229" s="134" t="str">
        <f>_xlfn.IFNA(MATCH(BP229,Achievements[[#All],[Column116]],0)+10,"")</f>
        <v/>
      </c>
      <c r="CQ229" s="134" t="str">
        <f>_xlfn.IFNA(MATCH(BQ229,Achievements[[#All],[Column117]],0)+10,"")</f>
        <v/>
      </c>
      <c r="CR229" s="134" t="str">
        <f>_xlfn.IFNA(MATCH(BR229,Achievements[[#All],[Column117]],0)+10,"")</f>
        <v/>
      </c>
      <c r="CS229" s="134" t="str">
        <f>_xlfn.IFNA(MATCH(BS229,Achievements[[#All],[Column118]],0)+10,"")</f>
        <v/>
      </c>
      <c r="CT229" s="134" t="str">
        <f>_xlfn.IFNA(MATCH(BT229,Achievements[[#All],[Column118]],0)+10,"")</f>
        <v/>
      </c>
      <c r="CU229" s="134" t="str">
        <f>_xlfn.IFNA(MATCH(BU229,Achievements[[#All],[Column119]],0)+10,"")</f>
        <v/>
      </c>
      <c r="CV229" s="134" t="str">
        <f>_xlfn.IFNA(MATCH(BV229,Achievements[[#All],[Column119]],0)+10,"")</f>
        <v/>
      </c>
      <c r="CW229" s="134" t="str">
        <f>_xlfn.IFNA(MATCH(BW229,Achievements[[#All],[Column120]],0)+10,"")</f>
        <v/>
      </c>
      <c r="CX229" s="134" t="str">
        <f>_xlfn.IFNA(MATCH(BX229,Achievements[[#All],[Column120]],0)+10,"")</f>
        <v/>
      </c>
      <c r="CY229" s="134" t="str">
        <f>_xlfn.IFNA(MATCH(BY229,Achievements[[#All],[Column121]],0)+10,"")</f>
        <v/>
      </c>
      <c r="CZ229" s="118" t="e">
        <f t="shared" ca="1" si="7"/>
        <v>#NAME?</v>
      </c>
    </row>
    <row r="230" spans="1:104" x14ac:dyDescent="0.25">
      <c r="A230" t="e" cm="1">
        <f t="array" aca="1" ref="A230" ca="1">SplitValues("; ",#REF!)</f>
        <v>#NAME?</v>
      </c>
      <c r="AA230" t="e">
        <f ca="1">_xlfn.IFNA(MATCH(A230,Achievements[[#All],[Column1]],0)+11,"")</f>
        <v>#NAME?</v>
      </c>
      <c r="AB230" s="134" t="str">
        <f>_xlfn.IFNA(MATCH(B230,Achievements[[#All],[Column1]],0)+10,"")</f>
        <v/>
      </c>
      <c r="AC230" s="134" t="str">
        <f>_xlfn.IFNA(MATCH(C230,Achievements[[#All],[Column1]],0)+10,"")</f>
        <v/>
      </c>
      <c r="AD230" s="134" t="str">
        <f>_xlfn.IFNA(MATCH(D230,Achievements[[#All],[Column110]],0)+10,"")</f>
        <v/>
      </c>
      <c r="AE230" s="134" t="str">
        <f>_xlfn.IFNA(MATCH(E230,Achievements[[#All],[Column110]],0)+10,"")</f>
        <v/>
      </c>
      <c r="AF230" s="134" t="str">
        <f>_xlfn.IFNA(MATCH(F230,Achievements[[#All],[Column111]],0)+10,"")</f>
        <v/>
      </c>
      <c r="AG230" s="134" t="str">
        <f>_xlfn.IFNA(MATCH(G230,Achievements[[#All],[Column111]],0)+10,"")</f>
        <v/>
      </c>
      <c r="AH230" s="134" t="str">
        <f>_xlfn.IFNA(MATCH(H230,Achievements[[#All],[Column112]],0)+10,"")</f>
        <v/>
      </c>
      <c r="AI230" s="134" t="str">
        <f>_xlfn.IFNA(MATCH(I230,Achievements[[#All],[Column112]],0)+10,"")</f>
        <v/>
      </c>
      <c r="AJ230" s="134" t="str">
        <f>_xlfn.IFNA(MATCH(J230,Achievements[[#All],[Column113]],0)+10,"")</f>
        <v/>
      </c>
      <c r="AK230" s="134" t="str">
        <f>_xlfn.IFNA(MATCH(K230,Achievements[[#All],[Column113]],0)+10,"")</f>
        <v/>
      </c>
      <c r="AL230" s="134" t="str">
        <f>_xlfn.IFNA(MATCH(L230,Achievements[[#All],[Column114]],0)+10,"")</f>
        <v/>
      </c>
      <c r="AM230" s="134" t="str">
        <f>_xlfn.IFNA(MATCH(M230,Achievements[[#All],[Column114]],0)+10,"")</f>
        <v/>
      </c>
      <c r="AN230" s="134" t="str">
        <f>_xlfn.IFNA(MATCH(N230,Achievements[[#All],[Column115]],0)+10,"")</f>
        <v/>
      </c>
      <c r="AO230" s="134" t="str">
        <f>_xlfn.IFNA(MATCH(O230,Achievements[[#All],[Column115]],0)+10,"")</f>
        <v/>
      </c>
      <c r="AP230" s="134" t="str">
        <f>_xlfn.IFNA(MATCH(P230,Achievements[[#All],[Column116]],0)+10,"")</f>
        <v/>
      </c>
      <c r="AQ230" s="134" t="str">
        <f>_xlfn.IFNA(MATCH(Q230,Achievements[[#All],[Column116]],0)+10,"")</f>
        <v/>
      </c>
      <c r="AR230" s="134" t="str">
        <f>_xlfn.IFNA(MATCH(R230,Achievements[[#All],[Column117]],0)+10,"")</f>
        <v/>
      </c>
      <c r="AS230" s="134" t="str">
        <f>_xlfn.IFNA(MATCH(S230,Achievements[[#All],[Column117]],0)+10,"")</f>
        <v/>
      </c>
      <c r="AT230" s="134" t="str">
        <f>_xlfn.IFNA(MATCH(T230,Achievements[[#All],[Column118]],0)+10,"")</f>
        <v/>
      </c>
      <c r="AU230" s="134" t="str">
        <f>_xlfn.IFNA(MATCH(U230,Achievements[[#All],[Column118]],0)+10,"")</f>
        <v/>
      </c>
      <c r="AV230" s="134" t="str">
        <f>_xlfn.IFNA(MATCH(V230,Achievements[[#All],[Column119]],0)+10,"")</f>
        <v/>
      </c>
      <c r="AW230" s="134" t="str">
        <f>_xlfn.IFNA(MATCH(W230,Achievements[[#All],[Column119]],0)+10,"")</f>
        <v/>
      </c>
      <c r="AX230" s="134" t="str">
        <f>_xlfn.IFNA(MATCH(X230,Achievements[[#All],[Column120]],0)+10,"")</f>
        <v/>
      </c>
      <c r="AY230" s="134" t="str">
        <f>_xlfn.IFNA(MATCH(Y230,Achievements[[#All],[Column120]],0)+10,"")</f>
        <v/>
      </c>
      <c r="AZ230" s="116" t="e">
        <f t="shared" ca="1" si="6"/>
        <v>#NAME?</v>
      </c>
      <c r="BA230" s="134" t="e" cm="1">
        <f t="array" aca="1" ref="BA230" ca="1">SplitValues("; ",Persons[[#This Row],[Column1]])</f>
        <v>#NAME?</v>
      </c>
      <c r="CA230" s="134" t="e">
        <f ca="1">_xlfn.IFNA(MATCH(BA230,Achievements[[#All],[Column1]],0)+10,"")</f>
        <v>#NAME?</v>
      </c>
      <c r="CB230" s="134" t="str">
        <f>_xlfn.IFNA(MATCH(BB230,Achievements[[#All],[Column1]],0)+10,"")</f>
        <v/>
      </c>
      <c r="CC230" s="134" t="str">
        <f>_xlfn.IFNA(MATCH(BC230,Achievements[[#All],[Column110]],0)+10,"")</f>
        <v/>
      </c>
      <c r="CD230" s="134" t="str">
        <f>_xlfn.IFNA(MATCH(BD230,Achievements[[#All],[Column110]],0)+10,"")</f>
        <v/>
      </c>
      <c r="CE230" s="134" t="str">
        <f>_xlfn.IFNA(MATCH(BE230,Achievements[[#All],[Column111]],0)+10,"")</f>
        <v/>
      </c>
      <c r="CF230" s="134" t="str">
        <f>_xlfn.IFNA(MATCH(BF230,Achievements[[#All],[Column111]],0)+10,"")</f>
        <v/>
      </c>
      <c r="CG230" s="134" t="str">
        <f>_xlfn.IFNA(MATCH(BG230,Achievements[[#All],[Column112]],0)+10,"")</f>
        <v/>
      </c>
      <c r="CH230" s="134" t="str">
        <f>_xlfn.IFNA(MATCH(BH230,Achievements[[#All],[Column112]],0)+10,"")</f>
        <v/>
      </c>
      <c r="CI230" s="134" t="str">
        <f>_xlfn.IFNA(MATCH(BI230,Achievements[[#All],[Column113]],0)+10,"")</f>
        <v/>
      </c>
      <c r="CJ230" s="134" t="str">
        <f>_xlfn.IFNA(MATCH(BJ230,Achievements[[#All],[Column113]],0)+10,"")</f>
        <v/>
      </c>
      <c r="CK230" s="134" t="str">
        <f>_xlfn.IFNA(MATCH(BK230,Achievements[[#All],[Column114]],0)+10,"")</f>
        <v/>
      </c>
      <c r="CL230" s="134" t="str">
        <f>_xlfn.IFNA(MATCH(BL230,Achievements[[#All],[Column114]],0)+10,"")</f>
        <v/>
      </c>
      <c r="CM230" s="134" t="str">
        <f>_xlfn.IFNA(MATCH(BM230,Achievements[[#All],[Column115]],0)+10,"")</f>
        <v/>
      </c>
      <c r="CN230" s="134" t="str">
        <f>_xlfn.IFNA(MATCH(BN230,Achievements[[#All],[Column115]],0)+10,"")</f>
        <v/>
      </c>
      <c r="CO230" s="134" t="str">
        <f>_xlfn.IFNA(MATCH(BO230,Achievements[[#All],[Column116]],0)+10,"")</f>
        <v/>
      </c>
      <c r="CP230" s="134" t="str">
        <f>_xlfn.IFNA(MATCH(BP230,Achievements[[#All],[Column116]],0)+10,"")</f>
        <v/>
      </c>
      <c r="CQ230" s="134" t="str">
        <f>_xlfn.IFNA(MATCH(BQ230,Achievements[[#All],[Column117]],0)+10,"")</f>
        <v/>
      </c>
      <c r="CR230" s="134" t="str">
        <f>_xlfn.IFNA(MATCH(BR230,Achievements[[#All],[Column117]],0)+10,"")</f>
        <v/>
      </c>
      <c r="CS230" s="134" t="str">
        <f>_xlfn.IFNA(MATCH(BS230,Achievements[[#All],[Column118]],0)+10,"")</f>
        <v/>
      </c>
      <c r="CT230" s="134" t="str">
        <f>_xlfn.IFNA(MATCH(BT230,Achievements[[#All],[Column118]],0)+10,"")</f>
        <v/>
      </c>
      <c r="CU230" s="134" t="str">
        <f>_xlfn.IFNA(MATCH(BU230,Achievements[[#All],[Column119]],0)+10,"")</f>
        <v/>
      </c>
      <c r="CV230" s="134" t="str">
        <f>_xlfn.IFNA(MATCH(BV230,Achievements[[#All],[Column119]],0)+10,"")</f>
        <v/>
      </c>
      <c r="CW230" s="134" t="str">
        <f>_xlfn.IFNA(MATCH(BW230,Achievements[[#All],[Column120]],0)+10,"")</f>
        <v/>
      </c>
      <c r="CX230" s="134" t="str">
        <f>_xlfn.IFNA(MATCH(BX230,Achievements[[#All],[Column120]],0)+10,"")</f>
        <v/>
      </c>
      <c r="CY230" s="134" t="str">
        <f>_xlfn.IFNA(MATCH(BY230,Achievements[[#All],[Column121]],0)+10,"")</f>
        <v/>
      </c>
      <c r="CZ230" s="118" t="e">
        <f t="shared" ca="1" si="7"/>
        <v>#NAME?</v>
      </c>
    </row>
    <row r="231" spans="1:104" x14ac:dyDescent="0.25">
      <c r="A231" t="e" cm="1">
        <f t="array" aca="1" ref="A231" ca="1">SplitValues("; ",#REF!)</f>
        <v>#NAME?</v>
      </c>
      <c r="AA231" t="e">
        <f ca="1">_xlfn.IFNA(MATCH(A231,Achievements[[#All],[Column1]],0)+11,"")</f>
        <v>#NAME?</v>
      </c>
      <c r="AB231" s="134" t="str">
        <f>_xlfn.IFNA(MATCH(B231,Achievements[[#All],[Column1]],0)+10,"")</f>
        <v/>
      </c>
      <c r="AC231" s="134" t="str">
        <f>_xlfn.IFNA(MATCH(C231,Achievements[[#All],[Column1]],0)+10,"")</f>
        <v/>
      </c>
      <c r="AD231" s="134" t="str">
        <f>_xlfn.IFNA(MATCH(D231,Achievements[[#All],[Column110]],0)+10,"")</f>
        <v/>
      </c>
      <c r="AE231" s="134" t="str">
        <f>_xlfn.IFNA(MATCH(E231,Achievements[[#All],[Column110]],0)+10,"")</f>
        <v/>
      </c>
      <c r="AF231" s="134" t="str">
        <f>_xlfn.IFNA(MATCH(F231,Achievements[[#All],[Column111]],0)+10,"")</f>
        <v/>
      </c>
      <c r="AG231" s="134" t="str">
        <f>_xlfn.IFNA(MATCH(G231,Achievements[[#All],[Column111]],0)+10,"")</f>
        <v/>
      </c>
      <c r="AH231" s="134" t="str">
        <f>_xlfn.IFNA(MATCH(H231,Achievements[[#All],[Column112]],0)+10,"")</f>
        <v/>
      </c>
      <c r="AI231" s="134" t="str">
        <f>_xlfn.IFNA(MATCH(I231,Achievements[[#All],[Column112]],0)+10,"")</f>
        <v/>
      </c>
      <c r="AJ231" s="134" t="str">
        <f>_xlfn.IFNA(MATCH(J231,Achievements[[#All],[Column113]],0)+10,"")</f>
        <v/>
      </c>
      <c r="AK231" s="134" t="str">
        <f>_xlfn.IFNA(MATCH(K231,Achievements[[#All],[Column113]],0)+10,"")</f>
        <v/>
      </c>
      <c r="AL231" s="134" t="str">
        <f>_xlfn.IFNA(MATCH(L231,Achievements[[#All],[Column114]],0)+10,"")</f>
        <v/>
      </c>
      <c r="AM231" s="134" t="str">
        <f>_xlfn.IFNA(MATCH(M231,Achievements[[#All],[Column114]],0)+10,"")</f>
        <v/>
      </c>
      <c r="AN231" s="134" t="str">
        <f>_xlfn.IFNA(MATCH(N231,Achievements[[#All],[Column115]],0)+10,"")</f>
        <v/>
      </c>
      <c r="AO231" s="134" t="str">
        <f>_xlfn.IFNA(MATCH(O231,Achievements[[#All],[Column115]],0)+10,"")</f>
        <v/>
      </c>
      <c r="AP231" s="134" t="str">
        <f>_xlfn.IFNA(MATCH(P231,Achievements[[#All],[Column116]],0)+10,"")</f>
        <v/>
      </c>
      <c r="AQ231" s="134" t="str">
        <f>_xlfn.IFNA(MATCH(Q231,Achievements[[#All],[Column116]],0)+10,"")</f>
        <v/>
      </c>
      <c r="AR231" s="134" t="str">
        <f>_xlfn.IFNA(MATCH(R231,Achievements[[#All],[Column117]],0)+10,"")</f>
        <v/>
      </c>
      <c r="AS231" s="134" t="str">
        <f>_xlfn.IFNA(MATCH(S231,Achievements[[#All],[Column117]],0)+10,"")</f>
        <v/>
      </c>
      <c r="AT231" s="134" t="str">
        <f>_xlfn.IFNA(MATCH(T231,Achievements[[#All],[Column118]],0)+10,"")</f>
        <v/>
      </c>
      <c r="AU231" s="134" t="str">
        <f>_xlfn.IFNA(MATCH(U231,Achievements[[#All],[Column118]],0)+10,"")</f>
        <v/>
      </c>
      <c r="AV231" s="134" t="str">
        <f>_xlfn.IFNA(MATCH(V231,Achievements[[#All],[Column119]],0)+10,"")</f>
        <v/>
      </c>
      <c r="AW231" s="134" t="str">
        <f>_xlfn.IFNA(MATCH(W231,Achievements[[#All],[Column119]],0)+10,"")</f>
        <v/>
      </c>
      <c r="AX231" s="134" t="str">
        <f>_xlfn.IFNA(MATCH(X231,Achievements[[#All],[Column120]],0)+10,"")</f>
        <v/>
      </c>
      <c r="AY231" s="134" t="str">
        <f>_xlfn.IFNA(MATCH(Y231,Achievements[[#All],[Column120]],0)+10,"")</f>
        <v/>
      </c>
      <c r="AZ231" s="116" t="e">
        <f t="shared" ca="1" si="6"/>
        <v>#NAME?</v>
      </c>
      <c r="BA231" s="134" t="e" cm="1">
        <f t="array" aca="1" ref="BA231" ca="1">SplitValues("; ",Persons[[#This Row],[Column1]])</f>
        <v>#NAME?</v>
      </c>
      <c r="CA231" s="134" t="e">
        <f ca="1">_xlfn.IFNA(MATCH(BA231,Achievements[[#All],[Column1]],0)+10,"")</f>
        <v>#NAME?</v>
      </c>
      <c r="CB231" s="134" t="str">
        <f>_xlfn.IFNA(MATCH(BB231,Achievements[[#All],[Column1]],0)+10,"")</f>
        <v/>
      </c>
      <c r="CC231" s="134" t="str">
        <f>_xlfn.IFNA(MATCH(BC231,Achievements[[#All],[Column110]],0)+10,"")</f>
        <v/>
      </c>
      <c r="CD231" s="134" t="str">
        <f>_xlfn.IFNA(MATCH(BD231,Achievements[[#All],[Column110]],0)+10,"")</f>
        <v/>
      </c>
      <c r="CE231" s="134" t="str">
        <f>_xlfn.IFNA(MATCH(BE231,Achievements[[#All],[Column111]],0)+10,"")</f>
        <v/>
      </c>
      <c r="CF231" s="134" t="str">
        <f>_xlfn.IFNA(MATCH(BF231,Achievements[[#All],[Column111]],0)+10,"")</f>
        <v/>
      </c>
      <c r="CG231" s="134" t="str">
        <f>_xlfn.IFNA(MATCH(BG231,Achievements[[#All],[Column112]],0)+10,"")</f>
        <v/>
      </c>
      <c r="CH231" s="134" t="str">
        <f>_xlfn.IFNA(MATCH(BH231,Achievements[[#All],[Column112]],0)+10,"")</f>
        <v/>
      </c>
      <c r="CI231" s="134" t="str">
        <f>_xlfn.IFNA(MATCH(BI231,Achievements[[#All],[Column113]],0)+10,"")</f>
        <v/>
      </c>
      <c r="CJ231" s="134" t="str">
        <f>_xlfn.IFNA(MATCH(BJ231,Achievements[[#All],[Column113]],0)+10,"")</f>
        <v/>
      </c>
      <c r="CK231" s="134" t="str">
        <f>_xlfn.IFNA(MATCH(BK231,Achievements[[#All],[Column114]],0)+10,"")</f>
        <v/>
      </c>
      <c r="CL231" s="134" t="str">
        <f>_xlfn.IFNA(MATCH(BL231,Achievements[[#All],[Column114]],0)+10,"")</f>
        <v/>
      </c>
      <c r="CM231" s="134" t="str">
        <f>_xlfn.IFNA(MATCH(BM231,Achievements[[#All],[Column115]],0)+10,"")</f>
        <v/>
      </c>
      <c r="CN231" s="134" t="str">
        <f>_xlfn.IFNA(MATCH(BN231,Achievements[[#All],[Column115]],0)+10,"")</f>
        <v/>
      </c>
      <c r="CO231" s="134" t="str">
        <f>_xlfn.IFNA(MATCH(BO231,Achievements[[#All],[Column116]],0)+10,"")</f>
        <v/>
      </c>
      <c r="CP231" s="134" t="str">
        <f>_xlfn.IFNA(MATCH(BP231,Achievements[[#All],[Column116]],0)+10,"")</f>
        <v/>
      </c>
      <c r="CQ231" s="134" t="str">
        <f>_xlfn.IFNA(MATCH(BQ231,Achievements[[#All],[Column117]],0)+10,"")</f>
        <v/>
      </c>
      <c r="CR231" s="134" t="str">
        <f>_xlfn.IFNA(MATCH(BR231,Achievements[[#All],[Column117]],0)+10,"")</f>
        <v/>
      </c>
      <c r="CS231" s="134" t="str">
        <f>_xlfn.IFNA(MATCH(BS231,Achievements[[#All],[Column118]],0)+10,"")</f>
        <v/>
      </c>
      <c r="CT231" s="134" t="str">
        <f>_xlfn.IFNA(MATCH(BT231,Achievements[[#All],[Column118]],0)+10,"")</f>
        <v/>
      </c>
      <c r="CU231" s="134" t="str">
        <f>_xlfn.IFNA(MATCH(BU231,Achievements[[#All],[Column119]],0)+10,"")</f>
        <v/>
      </c>
      <c r="CV231" s="134" t="str">
        <f>_xlfn.IFNA(MATCH(BV231,Achievements[[#All],[Column119]],0)+10,"")</f>
        <v/>
      </c>
      <c r="CW231" s="134" t="str">
        <f>_xlfn.IFNA(MATCH(BW231,Achievements[[#All],[Column120]],0)+10,"")</f>
        <v/>
      </c>
      <c r="CX231" s="134" t="str">
        <f>_xlfn.IFNA(MATCH(BX231,Achievements[[#All],[Column120]],0)+10,"")</f>
        <v/>
      </c>
      <c r="CY231" s="134" t="str">
        <f>_xlfn.IFNA(MATCH(BY231,Achievements[[#All],[Column121]],0)+10,"")</f>
        <v/>
      </c>
      <c r="CZ231" s="118" t="e">
        <f t="shared" ca="1" si="7"/>
        <v>#NAME?</v>
      </c>
    </row>
    <row r="232" spans="1:104" x14ac:dyDescent="0.25">
      <c r="A232" t="e" cm="1">
        <f t="array" aca="1" ref="A232" ca="1">SplitValues("; ",#REF!)</f>
        <v>#NAME?</v>
      </c>
      <c r="AA232" t="e">
        <f ca="1">_xlfn.IFNA(MATCH(A232,Achievements[[#All],[Column1]],0)+11,"")</f>
        <v>#NAME?</v>
      </c>
      <c r="AB232" s="134" t="str">
        <f>_xlfn.IFNA(MATCH(B232,Achievements[[#All],[Column1]],0)+10,"")</f>
        <v/>
      </c>
      <c r="AC232" s="134" t="str">
        <f>_xlfn.IFNA(MATCH(C232,Achievements[[#All],[Column1]],0)+10,"")</f>
        <v/>
      </c>
      <c r="AD232" s="134" t="str">
        <f>_xlfn.IFNA(MATCH(D232,Achievements[[#All],[Column110]],0)+10,"")</f>
        <v/>
      </c>
      <c r="AE232" s="134" t="str">
        <f>_xlfn.IFNA(MATCH(E232,Achievements[[#All],[Column110]],0)+10,"")</f>
        <v/>
      </c>
      <c r="AF232" s="134" t="str">
        <f>_xlfn.IFNA(MATCH(F232,Achievements[[#All],[Column111]],0)+10,"")</f>
        <v/>
      </c>
      <c r="AG232" s="134" t="str">
        <f>_xlfn.IFNA(MATCH(G232,Achievements[[#All],[Column111]],0)+10,"")</f>
        <v/>
      </c>
      <c r="AH232" s="134" t="str">
        <f>_xlfn.IFNA(MATCH(H232,Achievements[[#All],[Column112]],0)+10,"")</f>
        <v/>
      </c>
      <c r="AI232" s="134" t="str">
        <f>_xlfn.IFNA(MATCH(I232,Achievements[[#All],[Column112]],0)+10,"")</f>
        <v/>
      </c>
      <c r="AJ232" s="134" t="str">
        <f>_xlfn.IFNA(MATCH(J232,Achievements[[#All],[Column113]],0)+10,"")</f>
        <v/>
      </c>
      <c r="AK232" s="134" t="str">
        <f>_xlfn.IFNA(MATCH(K232,Achievements[[#All],[Column113]],0)+10,"")</f>
        <v/>
      </c>
      <c r="AL232" s="134" t="str">
        <f>_xlfn.IFNA(MATCH(L232,Achievements[[#All],[Column114]],0)+10,"")</f>
        <v/>
      </c>
      <c r="AM232" s="134" t="str">
        <f>_xlfn.IFNA(MATCH(M232,Achievements[[#All],[Column114]],0)+10,"")</f>
        <v/>
      </c>
      <c r="AN232" s="134" t="str">
        <f>_xlfn.IFNA(MATCH(N232,Achievements[[#All],[Column115]],0)+10,"")</f>
        <v/>
      </c>
      <c r="AO232" s="134" t="str">
        <f>_xlfn.IFNA(MATCH(O232,Achievements[[#All],[Column115]],0)+10,"")</f>
        <v/>
      </c>
      <c r="AP232" s="134" t="str">
        <f>_xlfn.IFNA(MATCH(P232,Achievements[[#All],[Column116]],0)+10,"")</f>
        <v/>
      </c>
      <c r="AQ232" s="134" t="str">
        <f>_xlfn.IFNA(MATCH(Q232,Achievements[[#All],[Column116]],0)+10,"")</f>
        <v/>
      </c>
      <c r="AR232" s="134" t="str">
        <f>_xlfn.IFNA(MATCH(R232,Achievements[[#All],[Column117]],0)+10,"")</f>
        <v/>
      </c>
      <c r="AS232" s="134" t="str">
        <f>_xlfn.IFNA(MATCH(S232,Achievements[[#All],[Column117]],0)+10,"")</f>
        <v/>
      </c>
      <c r="AT232" s="134" t="str">
        <f>_xlfn.IFNA(MATCH(T232,Achievements[[#All],[Column118]],0)+10,"")</f>
        <v/>
      </c>
      <c r="AU232" s="134" t="str">
        <f>_xlfn.IFNA(MATCH(U232,Achievements[[#All],[Column118]],0)+10,"")</f>
        <v/>
      </c>
      <c r="AV232" s="134" t="str">
        <f>_xlfn.IFNA(MATCH(V232,Achievements[[#All],[Column119]],0)+10,"")</f>
        <v/>
      </c>
      <c r="AW232" s="134" t="str">
        <f>_xlfn.IFNA(MATCH(W232,Achievements[[#All],[Column119]],0)+10,"")</f>
        <v/>
      </c>
      <c r="AX232" s="134" t="str">
        <f>_xlfn.IFNA(MATCH(X232,Achievements[[#All],[Column120]],0)+10,"")</f>
        <v/>
      </c>
      <c r="AY232" s="134" t="str">
        <f>_xlfn.IFNA(MATCH(Y232,Achievements[[#All],[Column120]],0)+10,"")</f>
        <v/>
      </c>
      <c r="AZ232" s="116" t="e">
        <f t="shared" ca="1" si="6"/>
        <v>#NAME?</v>
      </c>
      <c r="BA232" s="134" t="e" cm="1">
        <f t="array" aca="1" ref="BA232" ca="1">SplitValues("; ",Persons[[#This Row],[Column1]])</f>
        <v>#NAME?</v>
      </c>
      <c r="CA232" s="134" t="e">
        <f ca="1">_xlfn.IFNA(MATCH(BA232,Achievements[[#All],[Column1]],0)+10,"")</f>
        <v>#NAME?</v>
      </c>
      <c r="CB232" s="134" t="str">
        <f>_xlfn.IFNA(MATCH(BB232,Achievements[[#All],[Column1]],0)+10,"")</f>
        <v/>
      </c>
      <c r="CC232" s="134" t="str">
        <f>_xlfn.IFNA(MATCH(BC232,Achievements[[#All],[Column110]],0)+10,"")</f>
        <v/>
      </c>
      <c r="CD232" s="134" t="str">
        <f>_xlfn.IFNA(MATCH(BD232,Achievements[[#All],[Column110]],0)+10,"")</f>
        <v/>
      </c>
      <c r="CE232" s="134" t="str">
        <f>_xlfn.IFNA(MATCH(BE232,Achievements[[#All],[Column111]],0)+10,"")</f>
        <v/>
      </c>
      <c r="CF232" s="134" t="str">
        <f>_xlfn.IFNA(MATCH(BF232,Achievements[[#All],[Column111]],0)+10,"")</f>
        <v/>
      </c>
      <c r="CG232" s="134" t="str">
        <f>_xlfn.IFNA(MATCH(BG232,Achievements[[#All],[Column112]],0)+10,"")</f>
        <v/>
      </c>
      <c r="CH232" s="134" t="str">
        <f>_xlfn.IFNA(MATCH(BH232,Achievements[[#All],[Column112]],0)+10,"")</f>
        <v/>
      </c>
      <c r="CI232" s="134" t="str">
        <f>_xlfn.IFNA(MATCH(BI232,Achievements[[#All],[Column113]],0)+10,"")</f>
        <v/>
      </c>
      <c r="CJ232" s="134" t="str">
        <f>_xlfn.IFNA(MATCH(BJ232,Achievements[[#All],[Column113]],0)+10,"")</f>
        <v/>
      </c>
      <c r="CK232" s="134" t="str">
        <f>_xlfn.IFNA(MATCH(BK232,Achievements[[#All],[Column114]],0)+10,"")</f>
        <v/>
      </c>
      <c r="CL232" s="134" t="str">
        <f>_xlfn.IFNA(MATCH(BL232,Achievements[[#All],[Column114]],0)+10,"")</f>
        <v/>
      </c>
      <c r="CM232" s="134" t="str">
        <f>_xlfn.IFNA(MATCH(BM232,Achievements[[#All],[Column115]],0)+10,"")</f>
        <v/>
      </c>
      <c r="CN232" s="134" t="str">
        <f>_xlfn.IFNA(MATCH(BN232,Achievements[[#All],[Column115]],0)+10,"")</f>
        <v/>
      </c>
      <c r="CO232" s="134" t="str">
        <f>_xlfn.IFNA(MATCH(BO232,Achievements[[#All],[Column116]],0)+10,"")</f>
        <v/>
      </c>
      <c r="CP232" s="134" t="str">
        <f>_xlfn.IFNA(MATCH(BP232,Achievements[[#All],[Column116]],0)+10,"")</f>
        <v/>
      </c>
      <c r="CQ232" s="134" t="str">
        <f>_xlfn.IFNA(MATCH(BQ232,Achievements[[#All],[Column117]],0)+10,"")</f>
        <v/>
      </c>
      <c r="CR232" s="134" t="str">
        <f>_xlfn.IFNA(MATCH(BR232,Achievements[[#All],[Column117]],0)+10,"")</f>
        <v/>
      </c>
      <c r="CS232" s="134" t="str">
        <f>_xlfn.IFNA(MATCH(BS232,Achievements[[#All],[Column118]],0)+10,"")</f>
        <v/>
      </c>
      <c r="CT232" s="134" t="str">
        <f>_xlfn.IFNA(MATCH(BT232,Achievements[[#All],[Column118]],0)+10,"")</f>
        <v/>
      </c>
      <c r="CU232" s="134" t="str">
        <f>_xlfn.IFNA(MATCH(BU232,Achievements[[#All],[Column119]],0)+10,"")</f>
        <v/>
      </c>
      <c r="CV232" s="134" t="str">
        <f>_xlfn.IFNA(MATCH(BV232,Achievements[[#All],[Column119]],0)+10,"")</f>
        <v/>
      </c>
      <c r="CW232" s="134" t="str">
        <f>_xlfn.IFNA(MATCH(BW232,Achievements[[#All],[Column120]],0)+10,"")</f>
        <v/>
      </c>
      <c r="CX232" s="134" t="str">
        <f>_xlfn.IFNA(MATCH(BX232,Achievements[[#All],[Column120]],0)+10,"")</f>
        <v/>
      </c>
      <c r="CY232" s="134" t="str">
        <f>_xlfn.IFNA(MATCH(BY232,Achievements[[#All],[Column121]],0)+10,"")</f>
        <v/>
      </c>
      <c r="CZ232" s="118" t="e">
        <f t="shared" ca="1" si="7"/>
        <v>#NAME?</v>
      </c>
    </row>
    <row r="233" spans="1:104" x14ac:dyDescent="0.25">
      <c r="A233" t="e" cm="1">
        <f t="array" aca="1" ref="A233" ca="1">SplitValues("; ",#REF!)</f>
        <v>#NAME?</v>
      </c>
      <c r="AA233" t="e">
        <f ca="1">_xlfn.IFNA(MATCH(A233,Achievements[[#All],[Column1]],0)+11,"")</f>
        <v>#NAME?</v>
      </c>
      <c r="AB233" s="134" t="str">
        <f>_xlfn.IFNA(MATCH(B233,Achievements[[#All],[Column1]],0)+10,"")</f>
        <v/>
      </c>
      <c r="AC233" s="134" t="str">
        <f>_xlfn.IFNA(MATCH(C233,Achievements[[#All],[Column1]],0)+10,"")</f>
        <v/>
      </c>
      <c r="AD233" s="134" t="str">
        <f>_xlfn.IFNA(MATCH(D233,Achievements[[#All],[Column110]],0)+10,"")</f>
        <v/>
      </c>
      <c r="AE233" s="134" t="str">
        <f>_xlfn.IFNA(MATCH(E233,Achievements[[#All],[Column110]],0)+10,"")</f>
        <v/>
      </c>
      <c r="AF233" s="134" t="str">
        <f>_xlfn.IFNA(MATCH(F233,Achievements[[#All],[Column111]],0)+10,"")</f>
        <v/>
      </c>
      <c r="AG233" s="134" t="str">
        <f>_xlfn.IFNA(MATCH(G233,Achievements[[#All],[Column111]],0)+10,"")</f>
        <v/>
      </c>
      <c r="AH233" s="134" t="str">
        <f>_xlfn.IFNA(MATCH(H233,Achievements[[#All],[Column112]],0)+10,"")</f>
        <v/>
      </c>
      <c r="AI233" s="134" t="str">
        <f>_xlfn.IFNA(MATCH(I233,Achievements[[#All],[Column112]],0)+10,"")</f>
        <v/>
      </c>
      <c r="AJ233" s="134" t="str">
        <f>_xlfn.IFNA(MATCH(J233,Achievements[[#All],[Column113]],0)+10,"")</f>
        <v/>
      </c>
      <c r="AK233" s="134" t="str">
        <f>_xlfn.IFNA(MATCH(K233,Achievements[[#All],[Column113]],0)+10,"")</f>
        <v/>
      </c>
      <c r="AL233" s="134" t="str">
        <f>_xlfn.IFNA(MATCH(L233,Achievements[[#All],[Column114]],0)+10,"")</f>
        <v/>
      </c>
      <c r="AM233" s="134" t="str">
        <f>_xlfn.IFNA(MATCH(M233,Achievements[[#All],[Column114]],0)+10,"")</f>
        <v/>
      </c>
      <c r="AN233" s="134" t="str">
        <f>_xlfn.IFNA(MATCH(N233,Achievements[[#All],[Column115]],0)+10,"")</f>
        <v/>
      </c>
      <c r="AO233" s="134" t="str">
        <f>_xlfn.IFNA(MATCH(O233,Achievements[[#All],[Column115]],0)+10,"")</f>
        <v/>
      </c>
      <c r="AP233" s="134" t="str">
        <f>_xlfn.IFNA(MATCH(P233,Achievements[[#All],[Column116]],0)+10,"")</f>
        <v/>
      </c>
      <c r="AQ233" s="134" t="str">
        <f>_xlfn.IFNA(MATCH(Q233,Achievements[[#All],[Column116]],0)+10,"")</f>
        <v/>
      </c>
      <c r="AR233" s="134" t="str">
        <f>_xlfn.IFNA(MATCH(R233,Achievements[[#All],[Column117]],0)+10,"")</f>
        <v/>
      </c>
      <c r="AS233" s="134" t="str">
        <f>_xlfn.IFNA(MATCH(S233,Achievements[[#All],[Column117]],0)+10,"")</f>
        <v/>
      </c>
      <c r="AT233" s="134" t="str">
        <f>_xlfn.IFNA(MATCH(T233,Achievements[[#All],[Column118]],0)+10,"")</f>
        <v/>
      </c>
      <c r="AU233" s="134" t="str">
        <f>_xlfn.IFNA(MATCH(U233,Achievements[[#All],[Column118]],0)+10,"")</f>
        <v/>
      </c>
      <c r="AV233" s="134" t="str">
        <f>_xlfn.IFNA(MATCH(V233,Achievements[[#All],[Column119]],0)+10,"")</f>
        <v/>
      </c>
      <c r="AW233" s="134" t="str">
        <f>_xlfn.IFNA(MATCH(W233,Achievements[[#All],[Column119]],0)+10,"")</f>
        <v/>
      </c>
      <c r="AX233" s="134" t="str">
        <f>_xlfn.IFNA(MATCH(X233,Achievements[[#All],[Column120]],0)+10,"")</f>
        <v/>
      </c>
      <c r="AY233" s="134" t="str">
        <f>_xlfn.IFNA(MATCH(Y233,Achievements[[#All],[Column120]],0)+10,"")</f>
        <v/>
      </c>
      <c r="AZ233" s="116" t="e">
        <f t="shared" ca="1" si="6"/>
        <v>#NAME?</v>
      </c>
      <c r="BA233" s="134" t="e" cm="1">
        <f t="array" aca="1" ref="BA233" ca="1">SplitValues("; ",Persons[[#This Row],[Column1]])</f>
        <v>#NAME?</v>
      </c>
      <c r="CA233" s="134" t="e">
        <f ca="1">_xlfn.IFNA(MATCH(BA233,Achievements[[#All],[Column1]],0)+10,"")</f>
        <v>#NAME?</v>
      </c>
      <c r="CB233" s="134" t="str">
        <f>_xlfn.IFNA(MATCH(BB233,Achievements[[#All],[Column1]],0)+10,"")</f>
        <v/>
      </c>
      <c r="CC233" s="134" t="str">
        <f>_xlfn.IFNA(MATCH(BC233,Achievements[[#All],[Column110]],0)+10,"")</f>
        <v/>
      </c>
      <c r="CD233" s="134" t="str">
        <f>_xlfn.IFNA(MATCH(BD233,Achievements[[#All],[Column110]],0)+10,"")</f>
        <v/>
      </c>
      <c r="CE233" s="134" t="str">
        <f>_xlfn.IFNA(MATCH(BE233,Achievements[[#All],[Column111]],0)+10,"")</f>
        <v/>
      </c>
      <c r="CF233" s="134" t="str">
        <f>_xlfn.IFNA(MATCH(BF233,Achievements[[#All],[Column111]],0)+10,"")</f>
        <v/>
      </c>
      <c r="CG233" s="134" t="str">
        <f>_xlfn.IFNA(MATCH(BG233,Achievements[[#All],[Column112]],0)+10,"")</f>
        <v/>
      </c>
      <c r="CH233" s="134" t="str">
        <f>_xlfn.IFNA(MATCH(BH233,Achievements[[#All],[Column112]],0)+10,"")</f>
        <v/>
      </c>
      <c r="CI233" s="134" t="str">
        <f>_xlfn.IFNA(MATCH(BI233,Achievements[[#All],[Column113]],0)+10,"")</f>
        <v/>
      </c>
      <c r="CJ233" s="134" t="str">
        <f>_xlfn.IFNA(MATCH(BJ233,Achievements[[#All],[Column113]],0)+10,"")</f>
        <v/>
      </c>
      <c r="CK233" s="134" t="str">
        <f>_xlfn.IFNA(MATCH(BK233,Achievements[[#All],[Column114]],0)+10,"")</f>
        <v/>
      </c>
      <c r="CL233" s="134" t="str">
        <f>_xlfn.IFNA(MATCH(BL233,Achievements[[#All],[Column114]],0)+10,"")</f>
        <v/>
      </c>
      <c r="CM233" s="134" t="str">
        <f>_xlfn.IFNA(MATCH(BM233,Achievements[[#All],[Column115]],0)+10,"")</f>
        <v/>
      </c>
      <c r="CN233" s="134" t="str">
        <f>_xlfn.IFNA(MATCH(BN233,Achievements[[#All],[Column115]],0)+10,"")</f>
        <v/>
      </c>
      <c r="CO233" s="134" t="str">
        <f>_xlfn.IFNA(MATCH(BO233,Achievements[[#All],[Column116]],0)+10,"")</f>
        <v/>
      </c>
      <c r="CP233" s="134" t="str">
        <f>_xlfn.IFNA(MATCH(BP233,Achievements[[#All],[Column116]],0)+10,"")</f>
        <v/>
      </c>
      <c r="CQ233" s="134" t="str">
        <f>_xlfn.IFNA(MATCH(BQ233,Achievements[[#All],[Column117]],0)+10,"")</f>
        <v/>
      </c>
      <c r="CR233" s="134" t="str">
        <f>_xlfn.IFNA(MATCH(BR233,Achievements[[#All],[Column117]],0)+10,"")</f>
        <v/>
      </c>
      <c r="CS233" s="134" t="str">
        <f>_xlfn.IFNA(MATCH(BS233,Achievements[[#All],[Column118]],0)+10,"")</f>
        <v/>
      </c>
      <c r="CT233" s="134" t="str">
        <f>_xlfn.IFNA(MATCH(BT233,Achievements[[#All],[Column118]],0)+10,"")</f>
        <v/>
      </c>
      <c r="CU233" s="134" t="str">
        <f>_xlfn.IFNA(MATCH(BU233,Achievements[[#All],[Column119]],0)+10,"")</f>
        <v/>
      </c>
      <c r="CV233" s="134" t="str">
        <f>_xlfn.IFNA(MATCH(BV233,Achievements[[#All],[Column119]],0)+10,"")</f>
        <v/>
      </c>
      <c r="CW233" s="134" t="str">
        <f>_xlfn.IFNA(MATCH(BW233,Achievements[[#All],[Column120]],0)+10,"")</f>
        <v/>
      </c>
      <c r="CX233" s="134" t="str">
        <f>_xlfn.IFNA(MATCH(BX233,Achievements[[#All],[Column120]],0)+10,"")</f>
        <v/>
      </c>
      <c r="CY233" s="134" t="str">
        <f>_xlfn.IFNA(MATCH(BY233,Achievements[[#All],[Column121]],0)+10,"")</f>
        <v/>
      </c>
      <c r="CZ233" s="118" t="e">
        <f t="shared" ca="1" si="7"/>
        <v>#NAME?</v>
      </c>
    </row>
    <row r="234" spans="1:104" x14ac:dyDescent="0.25">
      <c r="A234" t="e" cm="1">
        <f t="array" aca="1" ref="A234" ca="1">SplitValues("; ",#REF!)</f>
        <v>#NAME?</v>
      </c>
      <c r="AA234" t="e">
        <f ca="1">_xlfn.IFNA(MATCH(A234,Achievements[[#All],[Column1]],0)+11,"")</f>
        <v>#NAME?</v>
      </c>
      <c r="AB234" s="134" t="str">
        <f>_xlfn.IFNA(MATCH(B234,Achievements[[#All],[Column1]],0)+10,"")</f>
        <v/>
      </c>
      <c r="AC234" s="134" t="str">
        <f>_xlfn.IFNA(MATCH(C234,Achievements[[#All],[Column1]],0)+10,"")</f>
        <v/>
      </c>
      <c r="AD234" s="134" t="str">
        <f>_xlfn.IFNA(MATCH(D234,Achievements[[#All],[Column110]],0)+10,"")</f>
        <v/>
      </c>
      <c r="AE234" s="134" t="str">
        <f>_xlfn.IFNA(MATCH(E234,Achievements[[#All],[Column110]],0)+10,"")</f>
        <v/>
      </c>
      <c r="AF234" s="134" t="str">
        <f>_xlfn.IFNA(MATCH(F234,Achievements[[#All],[Column111]],0)+10,"")</f>
        <v/>
      </c>
      <c r="AG234" s="134" t="str">
        <f>_xlfn.IFNA(MATCH(G234,Achievements[[#All],[Column111]],0)+10,"")</f>
        <v/>
      </c>
      <c r="AH234" s="134" t="str">
        <f>_xlfn.IFNA(MATCH(H234,Achievements[[#All],[Column112]],0)+10,"")</f>
        <v/>
      </c>
      <c r="AI234" s="134" t="str">
        <f>_xlfn.IFNA(MATCH(I234,Achievements[[#All],[Column112]],0)+10,"")</f>
        <v/>
      </c>
      <c r="AJ234" s="134" t="str">
        <f>_xlfn.IFNA(MATCH(J234,Achievements[[#All],[Column113]],0)+10,"")</f>
        <v/>
      </c>
      <c r="AK234" s="134" t="str">
        <f>_xlfn.IFNA(MATCH(K234,Achievements[[#All],[Column113]],0)+10,"")</f>
        <v/>
      </c>
      <c r="AL234" s="134" t="str">
        <f>_xlfn.IFNA(MATCH(L234,Achievements[[#All],[Column114]],0)+10,"")</f>
        <v/>
      </c>
      <c r="AM234" s="134" t="str">
        <f>_xlfn.IFNA(MATCH(M234,Achievements[[#All],[Column114]],0)+10,"")</f>
        <v/>
      </c>
      <c r="AN234" s="134" t="str">
        <f>_xlfn.IFNA(MATCH(N234,Achievements[[#All],[Column115]],0)+10,"")</f>
        <v/>
      </c>
      <c r="AO234" s="134" t="str">
        <f>_xlfn.IFNA(MATCH(O234,Achievements[[#All],[Column115]],0)+10,"")</f>
        <v/>
      </c>
      <c r="AP234" s="134" t="str">
        <f>_xlfn.IFNA(MATCH(P234,Achievements[[#All],[Column116]],0)+10,"")</f>
        <v/>
      </c>
      <c r="AQ234" s="134" t="str">
        <f>_xlfn.IFNA(MATCH(Q234,Achievements[[#All],[Column116]],0)+10,"")</f>
        <v/>
      </c>
      <c r="AR234" s="134" t="str">
        <f>_xlfn.IFNA(MATCH(R234,Achievements[[#All],[Column117]],0)+10,"")</f>
        <v/>
      </c>
      <c r="AS234" s="134" t="str">
        <f>_xlfn.IFNA(MATCH(S234,Achievements[[#All],[Column117]],0)+10,"")</f>
        <v/>
      </c>
      <c r="AT234" s="134" t="str">
        <f>_xlfn.IFNA(MATCH(T234,Achievements[[#All],[Column118]],0)+10,"")</f>
        <v/>
      </c>
      <c r="AU234" s="134" t="str">
        <f>_xlfn.IFNA(MATCH(U234,Achievements[[#All],[Column118]],0)+10,"")</f>
        <v/>
      </c>
      <c r="AV234" s="134" t="str">
        <f>_xlfn.IFNA(MATCH(V234,Achievements[[#All],[Column119]],0)+10,"")</f>
        <v/>
      </c>
      <c r="AW234" s="134" t="str">
        <f>_xlfn.IFNA(MATCH(W234,Achievements[[#All],[Column119]],0)+10,"")</f>
        <v/>
      </c>
      <c r="AX234" s="134" t="str">
        <f>_xlfn.IFNA(MATCH(X234,Achievements[[#All],[Column120]],0)+10,"")</f>
        <v/>
      </c>
      <c r="AY234" s="134" t="str">
        <f>_xlfn.IFNA(MATCH(Y234,Achievements[[#All],[Column120]],0)+10,"")</f>
        <v/>
      </c>
      <c r="AZ234" s="116" t="e">
        <f t="shared" ca="1" si="6"/>
        <v>#NAME?</v>
      </c>
      <c r="BA234" s="134" t="e" cm="1">
        <f t="array" aca="1" ref="BA234" ca="1">SplitValues("; ",Persons[[#This Row],[Column1]])</f>
        <v>#NAME?</v>
      </c>
      <c r="CA234" s="134" t="e">
        <f ca="1">_xlfn.IFNA(MATCH(BA234,Achievements[[#All],[Column1]],0)+10,"")</f>
        <v>#NAME?</v>
      </c>
      <c r="CB234" s="134" t="str">
        <f>_xlfn.IFNA(MATCH(BB234,Achievements[[#All],[Column1]],0)+10,"")</f>
        <v/>
      </c>
      <c r="CC234" s="134" t="str">
        <f>_xlfn.IFNA(MATCH(BC234,Achievements[[#All],[Column110]],0)+10,"")</f>
        <v/>
      </c>
      <c r="CD234" s="134" t="str">
        <f>_xlfn.IFNA(MATCH(BD234,Achievements[[#All],[Column110]],0)+10,"")</f>
        <v/>
      </c>
      <c r="CE234" s="134" t="str">
        <f>_xlfn.IFNA(MATCH(BE234,Achievements[[#All],[Column111]],0)+10,"")</f>
        <v/>
      </c>
      <c r="CF234" s="134" t="str">
        <f>_xlfn.IFNA(MATCH(BF234,Achievements[[#All],[Column111]],0)+10,"")</f>
        <v/>
      </c>
      <c r="CG234" s="134" t="str">
        <f>_xlfn.IFNA(MATCH(BG234,Achievements[[#All],[Column112]],0)+10,"")</f>
        <v/>
      </c>
      <c r="CH234" s="134" t="str">
        <f>_xlfn.IFNA(MATCH(BH234,Achievements[[#All],[Column112]],0)+10,"")</f>
        <v/>
      </c>
      <c r="CI234" s="134" t="str">
        <f>_xlfn.IFNA(MATCH(BI234,Achievements[[#All],[Column113]],0)+10,"")</f>
        <v/>
      </c>
      <c r="CJ234" s="134" t="str">
        <f>_xlfn.IFNA(MATCH(BJ234,Achievements[[#All],[Column113]],0)+10,"")</f>
        <v/>
      </c>
      <c r="CK234" s="134" t="str">
        <f>_xlfn.IFNA(MATCH(BK234,Achievements[[#All],[Column114]],0)+10,"")</f>
        <v/>
      </c>
      <c r="CL234" s="134" t="str">
        <f>_xlfn.IFNA(MATCH(BL234,Achievements[[#All],[Column114]],0)+10,"")</f>
        <v/>
      </c>
      <c r="CM234" s="134" t="str">
        <f>_xlfn.IFNA(MATCH(BM234,Achievements[[#All],[Column115]],0)+10,"")</f>
        <v/>
      </c>
      <c r="CN234" s="134" t="str">
        <f>_xlfn.IFNA(MATCH(BN234,Achievements[[#All],[Column115]],0)+10,"")</f>
        <v/>
      </c>
      <c r="CO234" s="134" t="str">
        <f>_xlfn.IFNA(MATCH(BO234,Achievements[[#All],[Column116]],0)+10,"")</f>
        <v/>
      </c>
      <c r="CP234" s="134" t="str">
        <f>_xlfn.IFNA(MATCH(BP234,Achievements[[#All],[Column116]],0)+10,"")</f>
        <v/>
      </c>
      <c r="CQ234" s="134" t="str">
        <f>_xlfn.IFNA(MATCH(BQ234,Achievements[[#All],[Column117]],0)+10,"")</f>
        <v/>
      </c>
      <c r="CR234" s="134" t="str">
        <f>_xlfn.IFNA(MATCH(BR234,Achievements[[#All],[Column117]],0)+10,"")</f>
        <v/>
      </c>
      <c r="CS234" s="134" t="str">
        <f>_xlfn.IFNA(MATCH(BS234,Achievements[[#All],[Column118]],0)+10,"")</f>
        <v/>
      </c>
      <c r="CT234" s="134" t="str">
        <f>_xlfn.IFNA(MATCH(BT234,Achievements[[#All],[Column118]],0)+10,"")</f>
        <v/>
      </c>
      <c r="CU234" s="134" t="str">
        <f>_xlfn.IFNA(MATCH(BU234,Achievements[[#All],[Column119]],0)+10,"")</f>
        <v/>
      </c>
      <c r="CV234" s="134" t="str">
        <f>_xlfn.IFNA(MATCH(BV234,Achievements[[#All],[Column119]],0)+10,"")</f>
        <v/>
      </c>
      <c r="CW234" s="134" t="str">
        <f>_xlfn.IFNA(MATCH(BW234,Achievements[[#All],[Column120]],0)+10,"")</f>
        <v/>
      </c>
      <c r="CX234" s="134" t="str">
        <f>_xlfn.IFNA(MATCH(BX234,Achievements[[#All],[Column120]],0)+10,"")</f>
        <v/>
      </c>
      <c r="CY234" s="134" t="str">
        <f>_xlfn.IFNA(MATCH(BY234,Achievements[[#All],[Column121]],0)+10,"")</f>
        <v/>
      </c>
      <c r="CZ234" s="118" t="e">
        <f t="shared" ca="1" si="7"/>
        <v>#NAME?</v>
      </c>
    </row>
    <row r="235" spans="1:104" x14ac:dyDescent="0.25">
      <c r="A235" t="e" cm="1">
        <f t="array" aca="1" ref="A235" ca="1">SplitValues("; ",#REF!)</f>
        <v>#NAME?</v>
      </c>
      <c r="AA235" t="e">
        <f ca="1">_xlfn.IFNA(MATCH(A235,Achievements[[#All],[Column1]],0)+11,"")</f>
        <v>#NAME?</v>
      </c>
      <c r="AB235" s="134" t="str">
        <f>_xlfn.IFNA(MATCH(B235,Achievements[[#All],[Column1]],0)+10,"")</f>
        <v/>
      </c>
      <c r="AC235" s="134" t="str">
        <f>_xlfn.IFNA(MATCH(C235,Achievements[[#All],[Column1]],0)+10,"")</f>
        <v/>
      </c>
      <c r="AD235" s="134" t="str">
        <f>_xlfn.IFNA(MATCH(D235,Achievements[[#All],[Column110]],0)+10,"")</f>
        <v/>
      </c>
      <c r="AE235" s="134" t="str">
        <f>_xlfn.IFNA(MATCH(E235,Achievements[[#All],[Column110]],0)+10,"")</f>
        <v/>
      </c>
      <c r="AF235" s="134" t="str">
        <f>_xlfn.IFNA(MATCH(F235,Achievements[[#All],[Column111]],0)+10,"")</f>
        <v/>
      </c>
      <c r="AG235" s="134" t="str">
        <f>_xlfn.IFNA(MATCH(G235,Achievements[[#All],[Column111]],0)+10,"")</f>
        <v/>
      </c>
      <c r="AH235" s="134" t="str">
        <f>_xlfn.IFNA(MATCH(H235,Achievements[[#All],[Column112]],0)+10,"")</f>
        <v/>
      </c>
      <c r="AI235" s="134" t="str">
        <f>_xlfn.IFNA(MATCH(I235,Achievements[[#All],[Column112]],0)+10,"")</f>
        <v/>
      </c>
      <c r="AJ235" s="134" t="str">
        <f>_xlfn.IFNA(MATCH(J235,Achievements[[#All],[Column113]],0)+10,"")</f>
        <v/>
      </c>
      <c r="AK235" s="134" t="str">
        <f>_xlfn.IFNA(MATCH(K235,Achievements[[#All],[Column113]],0)+10,"")</f>
        <v/>
      </c>
      <c r="AL235" s="134" t="str">
        <f>_xlfn.IFNA(MATCH(L235,Achievements[[#All],[Column114]],0)+10,"")</f>
        <v/>
      </c>
      <c r="AM235" s="134" t="str">
        <f>_xlfn.IFNA(MATCH(M235,Achievements[[#All],[Column114]],0)+10,"")</f>
        <v/>
      </c>
      <c r="AN235" s="134" t="str">
        <f>_xlfn.IFNA(MATCH(N235,Achievements[[#All],[Column115]],0)+10,"")</f>
        <v/>
      </c>
      <c r="AO235" s="134" t="str">
        <f>_xlfn.IFNA(MATCH(O235,Achievements[[#All],[Column115]],0)+10,"")</f>
        <v/>
      </c>
      <c r="AP235" s="134" t="str">
        <f>_xlfn.IFNA(MATCH(P235,Achievements[[#All],[Column116]],0)+10,"")</f>
        <v/>
      </c>
      <c r="AQ235" s="134" t="str">
        <f>_xlfn.IFNA(MATCH(Q235,Achievements[[#All],[Column116]],0)+10,"")</f>
        <v/>
      </c>
      <c r="AR235" s="134" t="str">
        <f>_xlfn.IFNA(MATCH(R235,Achievements[[#All],[Column117]],0)+10,"")</f>
        <v/>
      </c>
      <c r="AS235" s="134" t="str">
        <f>_xlfn.IFNA(MATCH(S235,Achievements[[#All],[Column117]],0)+10,"")</f>
        <v/>
      </c>
      <c r="AT235" s="134" t="str">
        <f>_xlfn.IFNA(MATCH(T235,Achievements[[#All],[Column118]],0)+10,"")</f>
        <v/>
      </c>
      <c r="AU235" s="134" t="str">
        <f>_xlfn.IFNA(MATCH(U235,Achievements[[#All],[Column118]],0)+10,"")</f>
        <v/>
      </c>
      <c r="AV235" s="134" t="str">
        <f>_xlfn.IFNA(MATCH(V235,Achievements[[#All],[Column119]],0)+10,"")</f>
        <v/>
      </c>
      <c r="AW235" s="134" t="str">
        <f>_xlfn.IFNA(MATCH(W235,Achievements[[#All],[Column119]],0)+10,"")</f>
        <v/>
      </c>
      <c r="AX235" s="134" t="str">
        <f>_xlfn.IFNA(MATCH(X235,Achievements[[#All],[Column120]],0)+10,"")</f>
        <v/>
      </c>
      <c r="AY235" s="134" t="str">
        <f>_xlfn.IFNA(MATCH(Y235,Achievements[[#All],[Column120]],0)+10,"")</f>
        <v/>
      </c>
      <c r="AZ235" s="116" t="e">
        <f t="shared" ca="1" si="6"/>
        <v>#NAME?</v>
      </c>
      <c r="BA235" s="134" t="e" cm="1">
        <f t="array" aca="1" ref="BA235" ca="1">SplitValues("; ",Persons[[#This Row],[Column1]])</f>
        <v>#NAME?</v>
      </c>
      <c r="CA235" s="134" t="e">
        <f ca="1">_xlfn.IFNA(MATCH(BA235,Achievements[[#All],[Column1]],0)+10,"")</f>
        <v>#NAME?</v>
      </c>
      <c r="CB235" s="134" t="str">
        <f>_xlfn.IFNA(MATCH(BB235,Achievements[[#All],[Column1]],0)+10,"")</f>
        <v/>
      </c>
      <c r="CC235" s="134" t="str">
        <f>_xlfn.IFNA(MATCH(BC235,Achievements[[#All],[Column110]],0)+10,"")</f>
        <v/>
      </c>
      <c r="CD235" s="134" t="str">
        <f>_xlfn.IFNA(MATCH(BD235,Achievements[[#All],[Column110]],0)+10,"")</f>
        <v/>
      </c>
      <c r="CE235" s="134" t="str">
        <f>_xlfn.IFNA(MATCH(BE235,Achievements[[#All],[Column111]],0)+10,"")</f>
        <v/>
      </c>
      <c r="CF235" s="134" t="str">
        <f>_xlfn.IFNA(MATCH(BF235,Achievements[[#All],[Column111]],0)+10,"")</f>
        <v/>
      </c>
      <c r="CG235" s="134" t="str">
        <f>_xlfn.IFNA(MATCH(BG235,Achievements[[#All],[Column112]],0)+10,"")</f>
        <v/>
      </c>
      <c r="CH235" s="134" t="str">
        <f>_xlfn.IFNA(MATCH(BH235,Achievements[[#All],[Column112]],0)+10,"")</f>
        <v/>
      </c>
      <c r="CI235" s="134" t="str">
        <f>_xlfn.IFNA(MATCH(BI235,Achievements[[#All],[Column113]],0)+10,"")</f>
        <v/>
      </c>
      <c r="CJ235" s="134" t="str">
        <f>_xlfn.IFNA(MATCH(BJ235,Achievements[[#All],[Column113]],0)+10,"")</f>
        <v/>
      </c>
      <c r="CK235" s="134" t="str">
        <f>_xlfn.IFNA(MATCH(BK235,Achievements[[#All],[Column114]],0)+10,"")</f>
        <v/>
      </c>
      <c r="CL235" s="134" t="str">
        <f>_xlfn.IFNA(MATCH(BL235,Achievements[[#All],[Column114]],0)+10,"")</f>
        <v/>
      </c>
      <c r="CM235" s="134" t="str">
        <f>_xlfn.IFNA(MATCH(BM235,Achievements[[#All],[Column115]],0)+10,"")</f>
        <v/>
      </c>
      <c r="CN235" s="134" t="str">
        <f>_xlfn.IFNA(MATCH(BN235,Achievements[[#All],[Column115]],0)+10,"")</f>
        <v/>
      </c>
      <c r="CO235" s="134" t="str">
        <f>_xlfn.IFNA(MATCH(BO235,Achievements[[#All],[Column116]],0)+10,"")</f>
        <v/>
      </c>
      <c r="CP235" s="134" t="str">
        <f>_xlfn.IFNA(MATCH(BP235,Achievements[[#All],[Column116]],0)+10,"")</f>
        <v/>
      </c>
      <c r="CQ235" s="134" t="str">
        <f>_xlfn.IFNA(MATCH(BQ235,Achievements[[#All],[Column117]],0)+10,"")</f>
        <v/>
      </c>
      <c r="CR235" s="134" t="str">
        <f>_xlfn.IFNA(MATCH(BR235,Achievements[[#All],[Column117]],0)+10,"")</f>
        <v/>
      </c>
      <c r="CS235" s="134" t="str">
        <f>_xlfn.IFNA(MATCH(BS235,Achievements[[#All],[Column118]],0)+10,"")</f>
        <v/>
      </c>
      <c r="CT235" s="134" t="str">
        <f>_xlfn.IFNA(MATCH(BT235,Achievements[[#All],[Column118]],0)+10,"")</f>
        <v/>
      </c>
      <c r="CU235" s="134" t="str">
        <f>_xlfn.IFNA(MATCH(BU235,Achievements[[#All],[Column119]],0)+10,"")</f>
        <v/>
      </c>
      <c r="CV235" s="134" t="str">
        <f>_xlfn.IFNA(MATCH(BV235,Achievements[[#All],[Column119]],0)+10,"")</f>
        <v/>
      </c>
      <c r="CW235" s="134" t="str">
        <f>_xlfn.IFNA(MATCH(BW235,Achievements[[#All],[Column120]],0)+10,"")</f>
        <v/>
      </c>
      <c r="CX235" s="134" t="str">
        <f>_xlfn.IFNA(MATCH(BX235,Achievements[[#All],[Column120]],0)+10,"")</f>
        <v/>
      </c>
      <c r="CY235" s="134" t="str">
        <f>_xlfn.IFNA(MATCH(BY235,Achievements[[#All],[Column121]],0)+10,"")</f>
        <v/>
      </c>
      <c r="CZ235" s="118" t="e">
        <f t="shared" ca="1" si="7"/>
        <v>#NAME?</v>
      </c>
    </row>
    <row r="236" spans="1:104" x14ac:dyDescent="0.25">
      <c r="A236" t="e" cm="1">
        <f t="array" aca="1" ref="A236" ca="1">SplitValues("; ",#REF!)</f>
        <v>#NAME?</v>
      </c>
      <c r="AA236" t="e">
        <f ca="1">_xlfn.IFNA(MATCH(A236,Achievements[[#All],[Column1]],0)+11,"")</f>
        <v>#NAME?</v>
      </c>
      <c r="AB236" s="134" t="str">
        <f>_xlfn.IFNA(MATCH(B236,Achievements[[#All],[Column1]],0)+10,"")</f>
        <v/>
      </c>
      <c r="AC236" s="134" t="str">
        <f>_xlfn.IFNA(MATCH(C236,Achievements[[#All],[Column1]],0)+10,"")</f>
        <v/>
      </c>
      <c r="AD236" s="134" t="str">
        <f>_xlfn.IFNA(MATCH(D236,Achievements[[#All],[Column110]],0)+10,"")</f>
        <v/>
      </c>
      <c r="AE236" s="134" t="str">
        <f>_xlfn.IFNA(MATCH(E236,Achievements[[#All],[Column110]],0)+10,"")</f>
        <v/>
      </c>
      <c r="AF236" s="134" t="str">
        <f>_xlfn.IFNA(MATCH(F236,Achievements[[#All],[Column111]],0)+10,"")</f>
        <v/>
      </c>
      <c r="AG236" s="134" t="str">
        <f>_xlfn.IFNA(MATCH(G236,Achievements[[#All],[Column111]],0)+10,"")</f>
        <v/>
      </c>
      <c r="AH236" s="134" t="str">
        <f>_xlfn.IFNA(MATCH(H236,Achievements[[#All],[Column112]],0)+10,"")</f>
        <v/>
      </c>
      <c r="AI236" s="134" t="str">
        <f>_xlfn.IFNA(MATCH(I236,Achievements[[#All],[Column112]],0)+10,"")</f>
        <v/>
      </c>
      <c r="AJ236" s="134" t="str">
        <f>_xlfn.IFNA(MATCH(J236,Achievements[[#All],[Column113]],0)+10,"")</f>
        <v/>
      </c>
      <c r="AK236" s="134" t="str">
        <f>_xlfn.IFNA(MATCH(K236,Achievements[[#All],[Column113]],0)+10,"")</f>
        <v/>
      </c>
      <c r="AL236" s="134" t="str">
        <f>_xlfn.IFNA(MATCH(L236,Achievements[[#All],[Column114]],0)+10,"")</f>
        <v/>
      </c>
      <c r="AM236" s="134" t="str">
        <f>_xlfn.IFNA(MATCH(M236,Achievements[[#All],[Column114]],0)+10,"")</f>
        <v/>
      </c>
      <c r="AN236" s="134" t="str">
        <f>_xlfn.IFNA(MATCH(N236,Achievements[[#All],[Column115]],0)+10,"")</f>
        <v/>
      </c>
      <c r="AO236" s="134" t="str">
        <f>_xlfn.IFNA(MATCH(O236,Achievements[[#All],[Column115]],0)+10,"")</f>
        <v/>
      </c>
      <c r="AP236" s="134" t="str">
        <f>_xlfn.IFNA(MATCH(P236,Achievements[[#All],[Column116]],0)+10,"")</f>
        <v/>
      </c>
      <c r="AQ236" s="134" t="str">
        <f>_xlfn.IFNA(MATCH(Q236,Achievements[[#All],[Column116]],0)+10,"")</f>
        <v/>
      </c>
      <c r="AR236" s="134" t="str">
        <f>_xlfn.IFNA(MATCH(R236,Achievements[[#All],[Column117]],0)+10,"")</f>
        <v/>
      </c>
      <c r="AS236" s="134" t="str">
        <f>_xlfn.IFNA(MATCH(S236,Achievements[[#All],[Column117]],0)+10,"")</f>
        <v/>
      </c>
      <c r="AT236" s="134" t="str">
        <f>_xlfn.IFNA(MATCH(T236,Achievements[[#All],[Column118]],0)+10,"")</f>
        <v/>
      </c>
      <c r="AU236" s="134" t="str">
        <f>_xlfn.IFNA(MATCH(U236,Achievements[[#All],[Column118]],0)+10,"")</f>
        <v/>
      </c>
      <c r="AV236" s="134" t="str">
        <f>_xlfn.IFNA(MATCH(V236,Achievements[[#All],[Column119]],0)+10,"")</f>
        <v/>
      </c>
      <c r="AW236" s="134" t="str">
        <f>_xlfn.IFNA(MATCH(W236,Achievements[[#All],[Column119]],0)+10,"")</f>
        <v/>
      </c>
      <c r="AX236" s="134" t="str">
        <f>_xlfn.IFNA(MATCH(X236,Achievements[[#All],[Column120]],0)+10,"")</f>
        <v/>
      </c>
      <c r="AY236" s="134" t="str">
        <f>_xlfn.IFNA(MATCH(Y236,Achievements[[#All],[Column120]],0)+10,"")</f>
        <v/>
      </c>
      <c r="AZ236" s="116" t="e">
        <f t="shared" ca="1" si="6"/>
        <v>#NAME?</v>
      </c>
      <c r="BA236" s="134" t="e" cm="1">
        <f t="array" aca="1" ref="BA236" ca="1">SplitValues("; ",Persons[[#This Row],[Column1]])</f>
        <v>#NAME?</v>
      </c>
      <c r="CA236" s="134" t="e">
        <f ca="1">_xlfn.IFNA(MATCH(BA236,Achievements[[#All],[Column1]],0)+10,"")</f>
        <v>#NAME?</v>
      </c>
      <c r="CB236" s="134" t="str">
        <f>_xlfn.IFNA(MATCH(BB236,Achievements[[#All],[Column1]],0)+10,"")</f>
        <v/>
      </c>
      <c r="CC236" s="134" t="str">
        <f>_xlfn.IFNA(MATCH(BC236,Achievements[[#All],[Column110]],0)+10,"")</f>
        <v/>
      </c>
      <c r="CD236" s="134" t="str">
        <f>_xlfn.IFNA(MATCH(BD236,Achievements[[#All],[Column110]],0)+10,"")</f>
        <v/>
      </c>
      <c r="CE236" s="134" t="str">
        <f>_xlfn.IFNA(MATCH(BE236,Achievements[[#All],[Column111]],0)+10,"")</f>
        <v/>
      </c>
      <c r="CF236" s="134" t="str">
        <f>_xlfn.IFNA(MATCH(BF236,Achievements[[#All],[Column111]],0)+10,"")</f>
        <v/>
      </c>
      <c r="CG236" s="134" t="str">
        <f>_xlfn.IFNA(MATCH(BG236,Achievements[[#All],[Column112]],0)+10,"")</f>
        <v/>
      </c>
      <c r="CH236" s="134" t="str">
        <f>_xlfn.IFNA(MATCH(BH236,Achievements[[#All],[Column112]],0)+10,"")</f>
        <v/>
      </c>
      <c r="CI236" s="134" t="str">
        <f>_xlfn.IFNA(MATCH(BI236,Achievements[[#All],[Column113]],0)+10,"")</f>
        <v/>
      </c>
      <c r="CJ236" s="134" t="str">
        <f>_xlfn.IFNA(MATCH(BJ236,Achievements[[#All],[Column113]],0)+10,"")</f>
        <v/>
      </c>
      <c r="CK236" s="134" t="str">
        <f>_xlfn.IFNA(MATCH(BK236,Achievements[[#All],[Column114]],0)+10,"")</f>
        <v/>
      </c>
      <c r="CL236" s="134" t="str">
        <f>_xlfn.IFNA(MATCH(BL236,Achievements[[#All],[Column114]],0)+10,"")</f>
        <v/>
      </c>
      <c r="CM236" s="134" t="str">
        <f>_xlfn.IFNA(MATCH(BM236,Achievements[[#All],[Column115]],0)+10,"")</f>
        <v/>
      </c>
      <c r="CN236" s="134" t="str">
        <f>_xlfn.IFNA(MATCH(BN236,Achievements[[#All],[Column115]],0)+10,"")</f>
        <v/>
      </c>
      <c r="CO236" s="134" t="str">
        <f>_xlfn.IFNA(MATCH(BO236,Achievements[[#All],[Column116]],0)+10,"")</f>
        <v/>
      </c>
      <c r="CP236" s="134" t="str">
        <f>_xlfn.IFNA(MATCH(BP236,Achievements[[#All],[Column116]],0)+10,"")</f>
        <v/>
      </c>
      <c r="CQ236" s="134" t="str">
        <f>_xlfn.IFNA(MATCH(BQ236,Achievements[[#All],[Column117]],0)+10,"")</f>
        <v/>
      </c>
      <c r="CR236" s="134" t="str">
        <f>_xlfn.IFNA(MATCH(BR236,Achievements[[#All],[Column117]],0)+10,"")</f>
        <v/>
      </c>
      <c r="CS236" s="134" t="str">
        <f>_xlfn.IFNA(MATCH(BS236,Achievements[[#All],[Column118]],0)+10,"")</f>
        <v/>
      </c>
      <c r="CT236" s="134" t="str">
        <f>_xlfn.IFNA(MATCH(BT236,Achievements[[#All],[Column118]],0)+10,"")</f>
        <v/>
      </c>
      <c r="CU236" s="134" t="str">
        <f>_xlfn.IFNA(MATCH(BU236,Achievements[[#All],[Column119]],0)+10,"")</f>
        <v/>
      </c>
      <c r="CV236" s="134" t="str">
        <f>_xlfn.IFNA(MATCH(BV236,Achievements[[#All],[Column119]],0)+10,"")</f>
        <v/>
      </c>
      <c r="CW236" s="134" t="str">
        <f>_xlfn.IFNA(MATCH(BW236,Achievements[[#All],[Column120]],0)+10,"")</f>
        <v/>
      </c>
      <c r="CX236" s="134" t="str">
        <f>_xlfn.IFNA(MATCH(BX236,Achievements[[#All],[Column120]],0)+10,"")</f>
        <v/>
      </c>
      <c r="CY236" s="134" t="str">
        <f>_xlfn.IFNA(MATCH(BY236,Achievements[[#All],[Column121]],0)+10,"")</f>
        <v/>
      </c>
      <c r="CZ236" s="118" t="e">
        <f t="shared" ca="1" si="7"/>
        <v>#NAME?</v>
      </c>
    </row>
    <row r="237" spans="1:104" x14ac:dyDescent="0.25">
      <c r="A237" t="e" cm="1">
        <f t="array" aca="1" ref="A237" ca="1">SplitValues("; ",#REF!)</f>
        <v>#NAME?</v>
      </c>
      <c r="AA237" t="e">
        <f ca="1">_xlfn.IFNA(MATCH(A237,Achievements[[#All],[Column1]],0)+11,"")</f>
        <v>#NAME?</v>
      </c>
      <c r="AB237" s="134" t="str">
        <f>_xlfn.IFNA(MATCH(B237,Achievements[[#All],[Column1]],0)+10,"")</f>
        <v/>
      </c>
      <c r="AC237" s="134" t="str">
        <f>_xlfn.IFNA(MATCH(C237,Achievements[[#All],[Column1]],0)+10,"")</f>
        <v/>
      </c>
      <c r="AD237" s="134" t="str">
        <f>_xlfn.IFNA(MATCH(D237,Achievements[[#All],[Column110]],0)+10,"")</f>
        <v/>
      </c>
      <c r="AE237" s="134" t="str">
        <f>_xlfn.IFNA(MATCH(E237,Achievements[[#All],[Column110]],0)+10,"")</f>
        <v/>
      </c>
      <c r="AF237" s="134" t="str">
        <f>_xlfn.IFNA(MATCH(F237,Achievements[[#All],[Column111]],0)+10,"")</f>
        <v/>
      </c>
      <c r="AG237" s="134" t="str">
        <f>_xlfn.IFNA(MATCH(G237,Achievements[[#All],[Column111]],0)+10,"")</f>
        <v/>
      </c>
      <c r="AH237" s="134" t="str">
        <f>_xlfn.IFNA(MATCH(H237,Achievements[[#All],[Column112]],0)+10,"")</f>
        <v/>
      </c>
      <c r="AI237" s="134" t="str">
        <f>_xlfn.IFNA(MATCH(I237,Achievements[[#All],[Column112]],0)+10,"")</f>
        <v/>
      </c>
      <c r="AJ237" s="134" t="str">
        <f>_xlfn.IFNA(MATCH(J237,Achievements[[#All],[Column113]],0)+10,"")</f>
        <v/>
      </c>
      <c r="AK237" s="134" t="str">
        <f>_xlfn.IFNA(MATCH(K237,Achievements[[#All],[Column113]],0)+10,"")</f>
        <v/>
      </c>
      <c r="AL237" s="134" t="str">
        <f>_xlfn.IFNA(MATCH(L237,Achievements[[#All],[Column114]],0)+10,"")</f>
        <v/>
      </c>
      <c r="AM237" s="134" t="str">
        <f>_xlfn.IFNA(MATCH(M237,Achievements[[#All],[Column114]],0)+10,"")</f>
        <v/>
      </c>
      <c r="AN237" s="134" t="str">
        <f>_xlfn.IFNA(MATCH(N237,Achievements[[#All],[Column115]],0)+10,"")</f>
        <v/>
      </c>
      <c r="AO237" s="134" t="str">
        <f>_xlfn.IFNA(MATCH(O237,Achievements[[#All],[Column115]],0)+10,"")</f>
        <v/>
      </c>
      <c r="AP237" s="134" t="str">
        <f>_xlfn.IFNA(MATCH(P237,Achievements[[#All],[Column116]],0)+10,"")</f>
        <v/>
      </c>
      <c r="AQ237" s="134" t="str">
        <f>_xlfn.IFNA(MATCH(Q237,Achievements[[#All],[Column116]],0)+10,"")</f>
        <v/>
      </c>
      <c r="AR237" s="134" t="str">
        <f>_xlfn.IFNA(MATCH(R237,Achievements[[#All],[Column117]],0)+10,"")</f>
        <v/>
      </c>
      <c r="AS237" s="134" t="str">
        <f>_xlfn.IFNA(MATCH(S237,Achievements[[#All],[Column117]],0)+10,"")</f>
        <v/>
      </c>
      <c r="AT237" s="134" t="str">
        <f>_xlfn.IFNA(MATCH(T237,Achievements[[#All],[Column118]],0)+10,"")</f>
        <v/>
      </c>
      <c r="AU237" s="134" t="str">
        <f>_xlfn.IFNA(MATCH(U237,Achievements[[#All],[Column118]],0)+10,"")</f>
        <v/>
      </c>
      <c r="AV237" s="134" t="str">
        <f>_xlfn.IFNA(MATCH(V237,Achievements[[#All],[Column119]],0)+10,"")</f>
        <v/>
      </c>
      <c r="AW237" s="134" t="str">
        <f>_xlfn.IFNA(MATCH(W237,Achievements[[#All],[Column119]],0)+10,"")</f>
        <v/>
      </c>
      <c r="AX237" s="134" t="str">
        <f>_xlfn.IFNA(MATCH(X237,Achievements[[#All],[Column120]],0)+10,"")</f>
        <v/>
      </c>
      <c r="AY237" s="134" t="str">
        <f>_xlfn.IFNA(MATCH(Y237,Achievements[[#All],[Column120]],0)+10,"")</f>
        <v/>
      </c>
      <c r="AZ237" s="116" t="e">
        <f t="shared" ca="1" si="6"/>
        <v>#NAME?</v>
      </c>
      <c r="BA237" s="134" t="e" cm="1">
        <f t="array" aca="1" ref="BA237" ca="1">SplitValues("; ",Persons[[#This Row],[Column1]])</f>
        <v>#NAME?</v>
      </c>
      <c r="CA237" s="134" t="e">
        <f ca="1">_xlfn.IFNA(MATCH(BA237,Achievements[[#All],[Column1]],0)+10,"")</f>
        <v>#NAME?</v>
      </c>
      <c r="CB237" s="134" t="str">
        <f>_xlfn.IFNA(MATCH(BB237,Achievements[[#All],[Column1]],0)+10,"")</f>
        <v/>
      </c>
      <c r="CC237" s="134" t="str">
        <f>_xlfn.IFNA(MATCH(BC237,Achievements[[#All],[Column110]],0)+10,"")</f>
        <v/>
      </c>
      <c r="CD237" s="134" t="str">
        <f>_xlfn.IFNA(MATCH(BD237,Achievements[[#All],[Column110]],0)+10,"")</f>
        <v/>
      </c>
      <c r="CE237" s="134" t="str">
        <f>_xlfn.IFNA(MATCH(BE237,Achievements[[#All],[Column111]],0)+10,"")</f>
        <v/>
      </c>
      <c r="CF237" s="134" t="str">
        <f>_xlfn.IFNA(MATCH(BF237,Achievements[[#All],[Column111]],0)+10,"")</f>
        <v/>
      </c>
      <c r="CG237" s="134" t="str">
        <f>_xlfn.IFNA(MATCH(BG237,Achievements[[#All],[Column112]],0)+10,"")</f>
        <v/>
      </c>
      <c r="CH237" s="134" t="str">
        <f>_xlfn.IFNA(MATCH(BH237,Achievements[[#All],[Column112]],0)+10,"")</f>
        <v/>
      </c>
      <c r="CI237" s="134" t="str">
        <f>_xlfn.IFNA(MATCH(BI237,Achievements[[#All],[Column113]],0)+10,"")</f>
        <v/>
      </c>
      <c r="CJ237" s="134" t="str">
        <f>_xlfn.IFNA(MATCH(BJ237,Achievements[[#All],[Column113]],0)+10,"")</f>
        <v/>
      </c>
      <c r="CK237" s="134" t="str">
        <f>_xlfn.IFNA(MATCH(BK237,Achievements[[#All],[Column114]],0)+10,"")</f>
        <v/>
      </c>
      <c r="CL237" s="134" t="str">
        <f>_xlfn.IFNA(MATCH(BL237,Achievements[[#All],[Column114]],0)+10,"")</f>
        <v/>
      </c>
      <c r="CM237" s="134" t="str">
        <f>_xlfn.IFNA(MATCH(BM237,Achievements[[#All],[Column115]],0)+10,"")</f>
        <v/>
      </c>
      <c r="CN237" s="134" t="str">
        <f>_xlfn.IFNA(MATCH(BN237,Achievements[[#All],[Column115]],0)+10,"")</f>
        <v/>
      </c>
      <c r="CO237" s="134" t="str">
        <f>_xlfn.IFNA(MATCH(BO237,Achievements[[#All],[Column116]],0)+10,"")</f>
        <v/>
      </c>
      <c r="CP237" s="134" t="str">
        <f>_xlfn.IFNA(MATCH(BP237,Achievements[[#All],[Column116]],0)+10,"")</f>
        <v/>
      </c>
      <c r="CQ237" s="134" t="str">
        <f>_xlfn.IFNA(MATCH(BQ237,Achievements[[#All],[Column117]],0)+10,"")</f>
        <v/>
      </c>
      <c r="CR237" s="134" t="str">
        <f>_xlfn.IFNA(MATCH(BR237,Achievements[[#All],[Column117]],0)+10,"")</f>
        <v/>
      </c>
      <c r="CS237" s="134" t="str">
        <f>_xlfn.IFNA(MATCH(BS237,Achievements[[#All],[Column118]],0)+10,"")</f>
        <v/>
      </c>
      <c r="CT237" s="134" t="str">
        <f>_xlfn.IFNA(MATCH(BT237,Achievements[[#All],[Column118]],0)+10,"")</f>
        <v/>
      </c>
      <c r="CU237" s="134" t="str">
        <f>_xlfn.IFNA(MATCH(BU237,Achievements[[#All],[Column119]],0)+10,"")</f>
        <v/>
      </c>
      <c r="CV237" s="134" t="str">
        <f>_xlfn.IFNA(MATCH(BV237,Achievements[[#All],[Column119]],0)+10,"")</f>
        <v/>
      </c>
      <c r="CW237" s="134" t="str">
        <f>_xlfn.IFNA(MATCH(BW237,Achievements[[#All],[Column120]],0)+10,"")</f>
        <v/>
      </c>
      <c r="CX237" s="134" t="str">
        <f>_xlfn.IFNA(MATCH(BX237,Achievements[[#All],[Column120]],0)+10,"")</f>
        <v/>
      </c>
      <c r="CY237" s="134" t="str">
        <f>_xlfn.IFNA(MATCH(BY237,Achievements[[#All],[Column121]],0)+10,"")</f>
        <v/>
      </c>
      <c r="CZ237" s="118" t="e">
        <f t="shared" ca="1" si="7"/>
        <v>#NAME?</v>
      </c>
    </row>
    <row r="238" spans="1:104" x14ac:dyDescent="0.25">
      <c r="A238" t="e" cm="1">
        <f t="array" aca="1" ref="A238" ca="1">SplitValues("; ",#REF!)</f>
        <v>#NAME?</v>
      </c>
      <c r="AA238" t="e">
        <f ca="1">_xlfn.IFNA(MATCH(A238,Achievements[[#All],[Column1]],0)+11,"")</f>
        <v>#NAME?</v>
      </c>
      <c r="AB238" s="134" t="str">
        <f>_xlfn.IFNA(MATCH(B238,Achievements[[#All],[Column1]],0)+10,"")</f>
        <v/>
      </c>
      <c r="AC238" s="134" t="str">
        <f>_xlfn.IFNA(MATCH(C238,Achievements[[#All],[Column1]],0)+10,"")</f>
        <v/>
      </c>
      <c r="AD238" s="134" t="str">
        <f>_xlfn.IFNA(MATCH(D238,Achievements[[#All],[Column110]],0)+10,"")</f>
        <v/>
      </c>
      <c r="AE238" s="134" t="str">
        <f>_xlfn.IFNA(MATCH(E238,Achievements[[#All],[Column110]],0)+10,"")</f>
        <v/>
      </c>
      <c r="AF238" s="134" t="str">
        <f>_xlfn.IFNA(MATCH(F238,Achievements[[#All],[Column111]],0)+10,"")</f>
        <v/>
      </c>
      <c r="AG238" s="134" t="str">
        <f>_xlfn.IFNA(MATCH(G238,Achievements[[#All],[Column111]],0)+10,"")</f>
        <v/>
      </c>
      <c r="AH238" s="134" t="str">
        <f>_xlfn.IFNA(MATCH(H238,Achievements[[#All],[Column112]],0)+10,"")</f>
        <v/>
      </c>
      <c r="AI238" s="134" t="str">
        <f>_xlfn.IFNA(MATCH(I238,Achievements[[#All],[Column112]],0)+10,"")</f>
        <v/>
      </c>
      <c r="AJ238" s="134" t="str">
        <f>_xlfn.IFNA(MATCH(J238,Achievements[[#All],[Column113]],0)+10,"")</f>
        <v/>
      </c>
      <c r="AK238" s="134" t="str">
        <f>_xlfn.IFNA(MATCH(K238,Achievements[[#All],[Column113]],0)+10,"")</f>
        <v/>
      </c>
      <c r="AL238" s="134" t="str">
        <f>_xlfn.IFNA(MATCH(L238,Achievements[[#All],[Column114]],0)+10,"")</f>
        <v/>
      </c>
      <c r="AM238" s="134" t="str">
        <f>_xlfn.IFNA(MATCH(M238,Achievements[[#All],[Column114]],0)+10,"")</f>
        <v/>
      </c>
      <c r="AN238" s="134" t="str">
        <f>_xlfn.IFNA(MATCH(N238,Achievements[[#All],[Column115]],0)+10,"")</f>
        <v/>
      </c>
      <c r="AO238" s="134" t="str">
        <f>_xlfn.IFNA(MATCH(O238,Achievements[[#All],[Column115]],0)+10,"")</f>
        <v/>
      </c>
      <c r="AP238" s="134" t="str">
        <f>_xlfn.IFNA(MATCH(P238,Achievements[[#All],[Column116]],0)+10,"")</f>
        <v/>
      </c>
      <c r="AQ238" s="134" t="str">
        <f>_xlfn.IFNA(MATCH(Q238,Achievements[[#All],[Column116]],0)+10,"")</f>
        <v/>
      </c>
      <c r="AR238" s="134" t="str">
        <f>_xlfn.IFNA(MATCH(R238,Achievements[[#All],[Column117]],0)+10,"")</f>
        <v/>
      </c>
      <c r="AS238" s="134" t="str">
        <f>_xlfn.IFNA(MATCH(S238,Achievements[[#All],[Column117]],0)+10,"")</f>
        <v/>
      </c>
      <c r="AT238" s="134" t="str">
        <f>_xlfn.IFNA(MATCH(T238,Achievements[[#All],[Column118]],0)+10,"")</f>
        <v/>
      </c>
      <c r="AU238" s="134" t="str">
        <f>_xlfn.IFNA(MATCH(U238,Achievements[[#All],[Column118]],0)+10,"")</f>
        <v/>
      </c>
      <c r="AV238" s="134" t="str">
        <f>_xlfn.IFNA(MATCH(V238,Achievements[[#All],[Column119]],0)+10,"")</f>
        <v/>
      </c>
      <c r="AW238" s="134" t="str">
        <f>_xlfn.IFNA(MATCH(W238,Achievements[[#All],[Column119]],0)+10,"")</f>
        <v/>
      </c>
      <c r="AX238" s="134" t="str">
        <f>_xlfn.IFNA(MATCH(X238,Achievements[[#All],[Column120]],0)+10,"")</f>
        <v/>
      </c>
      <c r="AY238" s="134" t="str">
        <f>_xlfn.IFNA(MATCH(Y238,Achievements[[#All],[Column120]],0)+10,"")</f>
        <v/>
      </c>
      <c r="AZ238" s="116" t="e">
        <f t="shared" ca="1" si="6"/>
        <v>#NAME?</v>
      </c>
      <c r="BA238" s="134" t="e" cm="1">
        <f t="array" aca="1" ref="BA238" ca="1">SplitValues("; ",Persons[[#This Row],[Column1]])</f>
        <v>#NAME?</v>
      </c>
      <c r="CA238" s="134" t="e">
        <f ca="1">_xlfn.IFNA(MATCH(BA238,Achievements[[#All],[Column1]],0)+10,"")</f>
        <v>#NAME?</v>
      </c>
      <c r="CB238" s="134" t="str">
        <f>_xlfn.IFNA(MATCH(BB238,Achievements[[#All],[Column1]],0)+10,"")</f>
        <v/>
      </c>
      <c r="CC238" s="134" t="str">
        <f>_xlfn.IFNA(MATCH(BC238,Achievements[[#All],[Column110]],0)+10,"")</f>
        <v/>
      </c>
      <c r="CD238" s="134" t="str">
        <f>_xlfn.IFNA(MATCH(BD238,Achievements[[#All],[Column110]],0)+10,"")</f>
        <v/>
      </c>
      <c r="CE238" s="134" t="str">
        <f>_xlfn.IFNA(MATCH(BE238,Achievements[[#All],[Column111]],0)+10,"")</f>
        <v/>
      </c>
      <c r="CF238" s="134" t="str">
        <f>_xlfn.IFNA(MATCH(BF238,Achievements[[#All],[Column111]],0)+10,"")</f>
        <v/>
      </c>
      <c r="CG238" s="134" t="str">
        <f>_xlfn.IFNA(MATCH(BG238,Achievements[[#All],[Column112]],0)+10,"")</f>
        <v/>
      </c>
      <c r="CH238" s="134" t="str">
        <f>_xlfn.IFNA(MATCH(BH238,Achievements[[#All],[Column112]],0)+10,"")</f>
        <v/>
      </c>
      <c r="CI238" s="134" t="str">
        <f>_xlfn.IFNA(MATCH(BI238,Achievements[[#All],[Column113]],0)+10,"")</f>
        <v/>
      </c>
      <c r="CJ238" s="134" t="str">
        <f>_xlfn.IFNA(MATCH(BJ238,Achievements[[#All],[Column113]],0)+10,"")</f>
        <v/>
      </c>
      <c r="CK238" s="134" t="str">
        <f>_xlfn.IFNA(MATCH(BK238,Achievements[[#All],[Column114]],0)+10,"")</f>
        <v/>
      </c>
      <c r="CL238" s="134" t="str">
        <f>_xlfn.IFNA(MATCH(BL238,Achievements[[#All],[Column114]],0)+10,"")</f>
        <v/>
      </c>
      <c r="CM238" s="134" t="str">
        <f>_xlfn.IFNA(MATCH(BM238,Achievements[[#All],[Column115]],0)+10,"")</f>
        <v/>
      </c>
      <c r="CN238" s="134" t="str">
        <f>_xlfn.IFNA(MATCH(BN238,Achievements[[#All],[Column115]],0)+10,"")</f>
        <v/>
      </c>
      <c r="CO238" s="134" t="str">
        <f>_xlfn.IFNA(MATCH(BO238,Achievements[[#All],[Column116]],0)+10,"")</f>
        <v/>
      </c>
      <c r="CP238" s="134" t="str">
        <f>_xlfn.IFNA(MATCH(BP238,Achievements[[#All],[Column116]],0)+10,"")</f>
        <v/>
      </c>
      <c r="CQ238" s="134" t="str">
        <f>_xlfn.IFNA(MATCH(BQ238,Achievements[[#All],[Column117]],0)+10,"")</f>
        <v/>
      </c>
      <c r="CR238" s="134" t="str">
        <f>_xlfn.IFNA(MATCH(BR238,Achievements[[#All],[Column117]],0)+10,"")</f>
        <v/>
      </c>
      <c r="CS238" s="134" t="str">
        <f>_xlfn.IFNA(MATCH(BS238,Achievements[[#All],[Column118]],0)+10,"")</f>
        <v/>
      </c>
      <c r="CT238" s="134" t="str">
        <f>_xlfn.IFNA(MATCH(BT238,Achievements[[#All],[Column118]],0)+10,"")</f>
        <v/>
      </c>
      <c r="CU238" s="134" t="str">
        <f>_xlfn.IFNA(MATCH(BU238,Achievements[[#All],[Column119]],0)+10,"")</f>
        <v/>
      </c>
      <c r="CV238" s="134" t="str">
        <f>_xlfn.IFNA(MATCH(BV238,Achievements[[#All],[Column119]],0)+10,"")</f>
        <v/>
      </c>
      <c r="CW238" s="134" t="str">
        <f>_xlfn.IFNA(MATCH(BW238,Achievements[[#All],[Column120]],0)+10,"")</f>
        <v/>
      </c>
      <c r="CX238" s="134" t="str">
        <f>_xlfn.IFNA(MATCH(BX238,Achievements[[#All],[Column120]],0)+10,"")</f>
        <v/>
      </c>
      <c r="CY238" s="134" t="str">
        <f>_xlfn.IFNA(MATCH(BY238,Achievements[[#All],[Column121]],0)+10,"")</f>
        <v/>
      </c>
      <c r="CZ238" s="118" t="e">
        <f t="shared" ca="1" si="7"/>
        <v>#NAME?</v>
      </c>
    </row>
    <row r="239" spans="1:104" x14ac:dyDescent="0.25">
      <c r="A239" t="e" cm="1">
        <f t="array" aca="1" ref="A239" ca="1">SplitValues("; ",#REF!)</f>
        <v>#NAME?</v>
      </c>
      <c r="AA239" t="e">
        <f ca="1">_xlfn.IFNA(MATCH(A239,Achievements[[#All],[Column1]],0)+11,"")</f>
        <v>#NAME?</v>
      </c>
      <c r="AB239" s="134" t="str">
        <f>_xlfn.IFNA(MATCH(B239,Achievements[[#All],[Column1]],0)+10,"")</f>
        <v/>
      </c>
      <c r="AC239" s="134" t="str">
        <f>_xlfn.IFNA(MATCH(C239,Achievements[[#All],[Column1]],0)+10,"")</f>
        <v/>
      </c>
      <c r="AD239" s="134" t="str">
        <f>_xlfn.IFNA(MATCH(D239,Achievements[[#All],[Column110]],0)+10,"")</f>
        <v/>
      </c>
      <c r="AE239" s="134" t="str">
        <f>_xlfn.IFNA(MATCH(E239,Achievements[[#All],[Column110]],0)+10,"")</f>
        <v/>
      </c>
      <c r="AF239" s="134" t="str">
        <f>_xlfn.IFNA(MATCH(F239,Achievements[[#All],[Column111]],0)+10,"")</f>
        <v/>
      </c>
      <c r="AG239" s="134" t="str">
        <f>_xlfn.IFNA(MATCH(G239,Achievements[[#All],[Column111]],0)+10,"")</f>
        <v/>
      </c>
      <c r="AH239" s="134" t="str">
        <f>_xlfn.IFNA(MATCH(H239,Achievements[[#All],[Column112]],0)+10,"")</f>
        <v/>
      </c>
      <c r="AI239" s="134" t="str">
        <f>_xlfn.IFNA(MATCH(I239,Achievements[[#All],[Column112]],0)+10,"")</f>
        <v/>
      </c>
      <c r="AJ239" s="134" t="str">
        <f>_xlfn.IFNA(MATCH(J239,Achievements[[#All],[Column113]],0)+10,"")</f>
        <v/>
      </c>
      <c r="AK239" s="134" t="str">
        <f>_xlfn.IFNA(MATCH(K239,Achievements[[#All],[Column113]],0)+10,"")</f>
        <v/>
      </c>
      <c r="AL239" s="134" t="str">
        <f>_xlfn.IFNA(MATCH(L239,Achievements[[#All],[Column114]],0)+10,"")</f>
        <v/>
      </c>
      <c r="AM239" s="134" t="str">
        <f>_xlfn.IFNA(MATCH(M239,Achievements[[#All],[Column114]],0)+10,"")</f>
        <v/>
      </c>
      <c r="AN239" s="134" t="str">
        <f>_xlfn.IFNA(MATCH(N239,Achievements[[#All],[Column115]],0)+10,"")</f>
        <v/>
      </c>
      <c r="AO239" s="134" t="str">
        <f>_xlfn.IFNA(MATCH(O239,Achievements[[#All],[Column115]],0)+10,"")</f>
        <v/>
      </c>
      <c r="AP239" s="134" t="str">
        <f>_xlfn.IFNA(MATCH(P239,Achievements[[#All],[Column116]],0)+10,"")</f>
        <v/>
      </c>
      <c r="AQ239" s="134" t="str">
        <f>_xlfn.IFNA(MATCH(Q239,Achievements[[#All],[Column116]],0)+10,"")</f>
        <v/>
      </c>
      <c r="AR239" s="134" t="str">
        <f>_xlfn.IFNA(MATCH(R239,Achievements[[#All],[Column117]],0)+10,"")</f>
        <v/>
      </c>
      <c r="AS239" s="134" t="str">
        <f>_xlfn.IFNA(MATCH(S239,Achievements[[#All],[Column117]],0)+10,"")</f>
        <v/>
      </c>
      <c r="AT239" s="134" t="str">
        <f>_xlfn.IFNA(MATCH(T239,Achievements[[#All],[Column118]],0)+10,"")</f>
        <v/>
      </c>
      <c r="AU239" s="134" t="str">
        <f>_xlfn.IFNA(MATCH(U239,Achievements[[#All],[Column118]],0)+10,"")</f>
        <v/>
      </c>
      <c r="AV239" s="134" t="str">
        <f>_xlfn.IFNA(MATCH(V239,Achievements[[#All],[Column119]],0)+10,"")</f>
        <v/>
      </c>
      <c r="AW239" s="134" t="str">
        <f>_xlfn.IFNA(MATCH(W239,Achievements[[#All],[Column119]],0)+10,"")</f>
        <v/>
      </c>
      <c r="AX239" s="134" t="str">
        <f>_xlfn.IFNA(MATCH(X239,Achievements[[#All],[Column120]],0)+10,"")</f>
        <v/>
      </c>
      <c r="AY239" s="134" t="str">
        <f>_xlfn.IFNA(MATCH(Y239,Achievements[[#All],[Column120]],0)+10,"")</f>
        <v/>
      </c>
      <c r="AZ239" s="116" t="e">
        <f t="shared" ca="1" si="6"/>
        <v>#NAME?</v>
      </c>
      <c r="BA239" s="134" t="e" cm="1">
        <f t="array" aca="1" ref="BA239" ca="1">SplitValues("; ",Persons[[#This Row],[Column1]])</f>
        <v>#NAME?</v>
      </c>
      <c r="CA239" s="134" t="e">
        <f ca="1">_xlfn.IFNA(MATCH(BA239,Achievements[[#All],[Column1]],0)+10,"")</f>
        <v>#NAME?</v>
      </c>
      <c r="CB239" s="134" t="str">
        <f>_xlfn.IFNA(MATCH(BB239,Achievements[[#All],[Column1]],0)+10,"")</f>
        <v/>
      </c>
      <c r="CC239" s="134" t="str">
        <f>_xlfn.IFNA(MATCH(BC239,Achievements[[#All],[Column110]],0)+10,"")</f>
        <v/>
      </c>
      <c r="CD239" s="134" t="str">
        <f>_xlfn.IFNA(MATCH(BD239,Achievements[[#All],[Column110]],0)+10,"")</f>
        <v/>
      </c>
      <c r="CE239" s="134" t="str">
        <f>_xlfn.IFNA(MATCH(BE239,Achievements[[#All],[Column111]],0)+10,"")</f>
        <v/>
      </c>
      <c r="CF239" s="134" t="str">
        <f>_xlfn.IFNA(MATCH(BF239,Achievements[[#All],[Column111]],0)+10,"")</f>
        <v/>
      </c>
      <c r="CG239" s="134" t="str">
        <f>_xlfn.IFNA(MATCH(BG239,Achievements[[#All],[Column112]],0)+10,"")</f>
        <v/>
      </c>
      <c r="CH239" s="134" t="str">
        <f>_xlfn.IFNA(MATCH(BH239,Achievements[[#All],[Column112]],0)+10,"")</f>
        <v/>
      </c>
      <c r="CI239" s="134" t="str">
        <f>_xlfn.IFNA(MATCH(BI239,Achievements[[#All],[Column113]],0)+10,"")</f>
        <v/>
      </c>
      <c r="CJ239" s="134" t="str">
        <f>_xlfn.IFNA(MATCH(BJ239,Achievements[[#All],[Column113]],0)+10,"")</f>
        <v/>
      </c>
      <c r="CK239" s="134" t="str">
        <f>_xlfn.IFNA(MATCH(BK239,Achievements[[#All],[Column114]],0)+10,"")</f>
        <v/>
      </c>
      <c r="CL239" s="134" t="str">
        <f>_xlfn.IFNA(MATCH(BL239,Achievements[[#All],[Column114]],0)+10,"")</f>
        <v/>
      </c>
      <c r="CM239" s="134" t="str">
        <f>_xlfn.IFNA(MATCH(BM239,Achievements[[#All],[Column115]],0)+10,"")</f>
        <v/>
      </c>
      <c r="CN239" s="134" t="str">
        <f>_xlfn.IFNA(MATCH(BN239,Achievements[[#All],[Column115]],0)+10,"")</f>
        <v/>
      </c>
      <c r="CO239" s="134" t="str">
        <f>_xlfn.IFNA(MATCH(BO239,Achievements[[#All],[Column116]],0)+10,"")</f>
        <v/>
      </c>
      <c r="CP239" s="134" t="str">
        <f>_xlfn.IFNA(MATCH(BP239,Achievements[[#All],[Column116]],0)+10,"")</f>
        <v/>
      </c>
      <c r="CQ239" s="134" t="str">
        <f>_xlfn.IFNA(MATCH(BQ239,Achievements[[#All],[Column117]],0)+10,"")</f>
        <v/>
      </c>
      <c r="CR239" s="134" t="str">
        <f>_xlfn.IFNA(MATCH(BR239,Achievements[[#All],[Column117]],0)+10,"")</f>
        <v/>
      </c>
      <c r="CS239" s="134" t="str">
        <f>_xlfn.IFNA(MATCH(BS239,Achievements[[#All],[Column118]],0)+10,"")</f>
        <v/>
      </c>
      <c r="CT239" s="134" t="str">
        <f>_xlfn.IFNA(MATCH(BT239,Achievements[[#All],[Column118]],0)+10,"")</f>
        <v/>
      </c>
      <c r="CU239" s="134" t="str">
        <f>_xlfn.IFNA(MATCH(BU239,Achievements[[#All],[Column119]],0)+10,"")</f>
        <v/>
      </c>
      <c r="CV239" s="134" t="str">
        <f>_xlfn.IFNA(MATCH(BV239,Achievements[[#All],[Column119]],0)+10,"")</f>
        <v/>
      </c>
      <c r="CW239" s="134" t="str">
        <f>_xlfn.IFNA(MATCH(BW239,Achievements[[#All],[Column120]],0)+10,"")</f>
        <v/>
      </c>
      <c r="CX239" s="134" t="str">
        <f>_xlfn.IFNA(MATCH(BX239,Achievements[[#All],[Column120]],0)+10,"")</f>
        <v/>
      </c>
      <c r="CY239" s="134" t="str">
        <f>_xlfn.IFNA(MATCH(BY239,Achievements[[#All],[Column121]],0)+10,"")</f>
        <v/>
      </c>
      <c r="CZ239" s="118" t="e">
        <f t="shared" ca="1" si="7"/>
        <v>#NAME?</v>
      </c>
    </row>
    <row r="240" spans="1:104" x14ac:dyDescent="0.25">
      <c r="A240" t="e" cm="1">
        <f t="array" aca="1" ref="A240" ca="1">SplitValues("; ",#REF!)</f>
        <v>#NAME?</v>
      </c>
      <c r="AA240" t="e">
        <f ca="1">_xlfn.IFNA(MATCH(A240,Achievements[[#All],[Column1]],0)+11,"")</f>
        <v>#NAME?</v>
      </c>
      <c r="AB240" s="134" t="str">
        <f>_xlfn.IFNA(MATCH(B240,Achievements[[#All],[Column1]],0)+10,"")</f>
        <v/>
      </c>
      <c r="AC240" s="134" t="str">
        <f>_xlfn.IFNA(MATCH(C240,Achievements[[#All],[Column1]],0)+10,"")</f>
        <v/>
      </c>
      <c r="AD240" s="134" t="str">
        <f>_xlfn.IFNA(MATCH(D240,Achievements[[#All],[Column110]],0)+10,"")</f>
        <v/>
      </c>
      <c r="AE240" s="134" t="str">
        <f>_xlfn.IFNA(MATCH(E240,Achievements[[#All],[Column110]],0)+10,"")</f>
        <v/>
      </c>
      <c r="AF240" s="134" t="str">
        <f>_xlfn.IFNA(MATCH(F240,Achievements[[#All],[Column111]],0)+10,"")</f>
        <v/>
      </c>
      <c r="AG240" s="134" t="str">
        <f>_xlfn.IFNA(MATCH(G240,Achievements[[#All],[Column111]],0)+10,"")</f>
        <v/>
      </c>
      <c r="AH240" s="134" t="str">
        <f>_xlfn.IFNA(MATCH(H240,Achievements[[#All],[Column112]],0)+10,"")</f>
        <v/>
      </c>
      <c r="AI240" s="134" t="str">
        <f>_xlfn.IFNA(MATCH(I240,Achievements[[#All],[Column112]],0)+10,"")</f>
        <v/>
      </c>
      <c r="AJ240" s="134" t="str">
        <f>_xlfn.IFNA(MATCH(J240,Achievements[[#All],[Column113]],0)+10,"")</f>
        <v/>
      </c>
      <c r="AK240" s="134" t="str">
        <f>_xlfn.IFNA(MATCH(K240,Achievements[[#All],[Column113]],0)+10,"")</f>
        <v/>
      </c>
      <c r="AL240" s="134" t="str">
        <f>_xlfn.IFNA(MATCH(L240,Achievements[[#All],[Column114]],0)+10,"")</f>
        <v/>
      </c>
      <c r="AM240" s="134" t="str">
        <f>_xlfn.IFNA(MATCH(M240,Achievements[[#All],[Column114]],0)+10,"")</f>
        <v/>
      </c>
      <c r="AN240" s="134" t="str">
        <f>_xlfn.IFNA(MATCH(N240,Achievements[[#All],[Column115]],0)+10,"")</f>
        <v/>
      </c>
      <c r="AO240" s="134" t="str">
        <f>_xlfn.IFNA(MATCH(O240,Achievements[[#All],[Column115]],0)+10,"")</f>
        <v/>
      </c>
      <c r="AP240" s="134" t="str">
        <f>_xlfn.IFNA(MATCH(P240,Achievements[[#All],[Column116]],0)+10,"")</f>
        <v/>
      </c>
      <c r="AQ240" s="134" t="str">
        <f>_xlfn.IFNA(MATCH(Q240,Achievements[[#All],[Column116]],0)+10,"")</f>
        <v/>
      </c>
      <c r="AR240" s="134" t="str">
        <f>_xlfn.IFNA(MATCH(R240,Achievements[[#All],[Column117]],0)+10,"")</f>
        <v/>
      </c>
      <c r="AS240" s="134" t="str">
        <f>_xlfn.IFNA(MATCH(S240,Achievements[[#All],[Column117]],0)+10,"")</f>
        <v/>
      </c>
      <c r="AT240" s="134" t="str">
        <f>_xlfn.IFNA(MATCH(T240,Achievements[[#All],[Column118]],0)+10,"")</f>
        <v/>
      </c>
      <c r="AU240" s="134" t="str">
        <f>_xlfn.IFNA(MATCH(U240,Achievements[[#All],[Column118]],0)+10,"")</f>
        <v/>
      </c>
      <c r="AV240" s="134" t="str">
        <f>_xlfn.IFNA(MATCH(V240,Achievements[[#All],[Column119]],0)+10,"")</f>
        <v/>
      </c>
      <c r="AW240" s="134" t="str">
        <f>_xlfn.IFNA(MATCH(W240,Achievements[[#All],[Column119]],0)+10,"")</f>
        <v/>
      </c>
      <c r="AX240" s="134" t="str">
        <f>_xlfn.IFNA(MATCH(X240,Achievements[[#All],[Column120]],0)+10,"")</f>
        <v/>
      </c>
      <c r="AY240" s="134" t="str">
        <f>_xlfn.IFNA(MATCH(Y240,Achievements[[#All],[Column120]],0)+10,"")</f>
        <v/>
      </c>
      <c r="AZ240" s="116" t="e">
        <f t="shared" ca="1" si="6"/>
        <v>#NAME?</v>
      </c>
      <c r="BA240" s="134" t="e" cm="1">
        <f t="array" aca="1" ref="BA240" ca="1">SplitValues("; ",Persons[[#This Row],[Column1]])</f>
        <v>#NAME?</v>
      </c>
      <c r="CA240" s="134" t="e">
        <f ca="1">_xlfn.IFNA(MATCH(BA240,Achievements[[#All],[Column1]],0)+10,"")</f>
        <v>#NAME?</v>
      </c>
      <c r="CB240" s="134" t="str">
        <f>_xlfn.IFNA(MATCH(BB240,Achievements[[#All],[Column1]],0)+10,"")</f>
        <v/>
      </c>
      <c r="CC240" s="134" t="str">
        <f>_xlfn.IFNA(MATCH(BC240,Achievements[[#All],[Column110]],0)+10,"")</f>
        <v/>
      </c>
      <c r="CD240" s="134" t="str">
        <f>_xlfn.IFNA(MATCH(BD240,Achievements[[#All],[Column110]],0)+10,"")</f>
        <v/>
      </c>
      <c r="CE240" s="134" t="str">
        <f>_xlfn.IFNA(MATCH(BE240,Achievements[[#All],[Column111]],0)+10,"")</f>
        <v/>
      </c>
      <c r="CF240" s="134" t="str">
        <f>_xlfn.IFNA(MATCH(BF240,Achievements[[#All],[Column111]],0)+10,"")</f>
        <v/>
      </c>
      <c r="CG240" s="134" t="str">
        <f>_xlfn.IFNA(MATCH(BG240,Achievements[[#All],[Column112]],0)+10,"")</f>
        <v/>
      </c>
      <c r="CH240" s="134" t="str">
        <f>_xlfn.IFNA(MATCH(BH240,Achievements[[#All],[Column112]],0)+10,"")</f>
        <v/>
      </c>
      <c r="CI240" s="134" t="str">
        <f>_xlfn.IFNA(MATCH(BI240,Achievements[[#All],[Column113]],0)+10,"")</f>
        <v/>
      </c>
      <c r="CJ240" s="134" t="str">
        <f>_xlfn.IFNA(MATCH(BJ240,Achievements[[#All],[Column113]],0)+10,"")</f>
        <v/>
      </c>
      <c r="CK240" s="134" t="str">
        <f>_xlfn.IFNA(MATCH(BK240,Achievements[[#All],[Column114]],0)+10,"")</f>
        <v/>
      </c>
      <c r="CL240" s="134" t="str">
        <f>_xlfn.IFNA(MATCH(BL240,Achievements[[#All],[Column114]],0)+10,"")</f>
        <v/>
      </c>
      <c r="CM240" s="134" t="str">
        <f>_xlfn.IFNA(MATCH(BM240,Achievements[[#All],[Column115]],0)+10,"")</f>
        <v/>
      </c>
      <c r="CN240" s="134" t="str">
        <f>_xlfn.IFNA(MATCH(BN240,Achievements[[#All],[Column115]],0)+10,"")</f>
        <v/>
      </c>
      <c r="CO240" s="134" t="str">
        <f>_xlfn.IFNA(MATCH(BO240,Achievements[[#All],[Column116]],0)+10,"")</f>
        <v/>
      </c>
      <c r="CP240" s="134" t="str">
        <f>_xlfn.IFNA(MATCH(BP240,Achievements[[#All],[Column116]],0)+10,"")</f>
        <v/>
      </c>
      <c r="CQ240" s="134" t="str">
        <f>_xlfn.IFNA(MATCH(BQ240,Achievements[[#All],[Column117]],0)+10,"")</f>
        <v/>
      </c>
      <c r="CR240" s="134" t="str">
        <f>_xlfn.IFNA(MATCH(BR240,Achievements[[#All],[Column117]],0)+10,"")</f>
        <v/>
      </c>
      <c r="CS240" s="134" t="str">
        <f>_xlfn.IFNA(MATCH(BS240,Achievements[[#All],[Column118]],0)+10,"")</f>
        <v/>
      </c>
      <c r="CT240" s="134" t="str">
        <f>_xlfn.IFNA(MATCH(BT240,Achievements[[#All],[Column118]],0)+10,"")</f>
        <v/>
      </c>
      <c r="CU240" s="134" t="str">
        <f>_xlfn.IFNA(MATCH(BU240,Achievements[[#All],[Column119]],0)+10,"")</f>
        <v/>
      </c>
      <c r="CV240" s="134" t="str">
        <f>_xlfn.IFNA(MATCH(BV240,Achievements[[#All],[Column119]],0)+10,"")</f>
        <v/>
      </c>
      <c r="CW240" s="134" t="str">
        <f>_xlfn.IFNA(MATCH(BW240,Achievements[[#All],[Column120]],0)+10,"")</f>
        <v/>
      </c>
      <c r="CX240" s="134" t="str">
        <f>_xlfn.IFNA(MATCH(BX240,Achievements[[#All],[Column120]],0)+10,"")</f>
        <v/>
      </c>
      <c r="CY240" s="134" t="str">
        <f>_xlfn.IFNA(MATCH(BY240,Achievements[[#All],[Column121]],0)+10,"")</f>
        <v/>
      </c>
      <c r="CZ240" s="118" t="e">
        <f t="shared" ca="1" si="7"/>
        <v>#NAME?</v>
      </c>
    </row>
    <row r="241" spans="1:104" x14ac:dyDescent="0.25">
      <c r="A241" t="e" cm="1">
        <f t="array" aca="1" ref="A241" ca="1">SplitValues("; ",#REF!)</f>
        <v>#NAME?</v>
      </c>
      <c r="AA241" t="e">
        <f ca="1">_xlfn.IFNA(MATCH(A241,Achievements[[#All],[Column1]],0)+11,"")</f>
        <v>#NAME?</v>
      </c>
      <c r="AB241" s="134" t="str">
        <f>_xlfn.IFNA(MATCH(B241,Achievements[[#All],[Column1]],0)+10,"")</f>
        <v/>
      </c>
      <c r="AC241" s="134" t="str">
        <f>_xlfn.IFNA(MATCH(C241,Achievements[[#All],[Column1]],0)+10,"")</f>
        <v/>
      </c>
      <c r="AD241" s="134" t="str">
        <f>_xlfn.IFNA(MATCH(D241,Achievements[[#All],[Column110]],0)+10,"")</f>
        <v/>
      </c>
      <c r="AE241" s="134" t="str">
        <f>_xlfn.IFNA(MATCH(E241,Achievements[[#All],[Column110]],0)+10,"")</f>
        <v/>
      </c>
      <c r="AF241" s="134" t="str">
        <f>_xlfn.IFNA(MATCH(F241,Achievements[[#All],[Column111]],0)+10,"")</f>
        <v/>
      </c>
      <c r="AG241" s="134" t="str">
        <f>_xlfn.IFNA(MATCH(G241,Achievements[[#All],[Column111]],0)+10,"")</f>
        <v/>
      </c>
      <c r="AH241" s="134" t="str">
        <f>_xlfn.IFNA(MATCH(H241,Achievements[[#All],[Column112]],0)+10,"")</f>
        <v/>
      </c>
      <c r="AI241" s="134" t="str">
        <f>_xlfn.IFNA(MATCH(I241,Achievements[[#All],[Column112]],0)+10,"")</f>
        <v/>
      </c>
      <c r="AJ241" s="134" t="str">
        <f>_xlfn.IFNA(MATCH(J241,Achievements[[#All],[Column113]],0)+10,"")</f>
        <v/>
      </c>
      <c r="AK241" s="134" t="str">
        <f>_xlfn.IFNA(MATCH(K241,Achievements[[#All],[Column113]],0)+10,"")</f>
        <v/>
      </c>
      <c r="AL241" s="134" t="str">
        <f>_xlfn.IFNA(MATCH(L241,Achievements[[#All],[Column114]],0)+10,"")</f>
        <v/>
      </c>
      <c r="AM241" s="134" t="str">
        <f>_xlfn.IFNA(MATCH(M241,Achievements[[#All],[Column114]],0)+10,"")</f>
        <v/>
      </c>
      <c r="AN241" s="134" t="str">
        <f>_xlfn.IFNA(MATCH(N241,Achievements[[#All],[Column115]],0)+10,"")</f>
        <v/>
      </c>
      <c r="AO241" s="134" t="str">
        <f>_xlfn.IFNA(MATCH(O241,Achievements[[#All],[Column115]],0)+10,"")</f>
        <v/>
      </c>
      <c r="AP241" s="134" t="str">
        <f>_xlfn.IFNA(MATCH(P241,Achievements[[#All],[Column116]],0)+10,"")</f>
        <v/>
      </c>
      <c r="AQ241" s="134" t="str">
        <f>_xlfn.IFNA(MATCH(Q241,Achievements[[#All],[Column116]],0)+10,"")</f>
        <v/>
      </c>
      <c r="AR241" s="134" t="str">
        <f>_xlfn.IFNA(MATCH(R241,Achievements[[#All],[Column117]],0)+10,"")</f>
        <v/>
      </c>
      <c r="AS241" s="134" t="str">
        <f>_xlfn.IFNA(MATCH(S241,Achievements[[#All],[Column117]],0)+10,"")</f>
        <v/>
      </c>
      <c r="AT241" s="134" t="str">
        <f>_xlfn.IFNA(MATCH(T241,Achievements[[#All],[Column118]],0)+10,"")</f>
        <v/>
      </c>
      <c r="AU241" s="134" t="str">
        <f>_xlfn.IFNA(MATCH(U241,Achievements[[#All],[Column118]],0)+10,"")</f>
        <v/>
      </c>
      <c r="AV241" s="134" t="str">
        <f>_xlfn.IFNA(MATCH(V241,Achievements[[#All],[Column119]],0)+10,"")</f>
        <v/>
      </c>
      <c r="AW241" s="134" t="str">
        <f>_xlfn.IFNA(MATCH(W241,Achievements[[#All],[Column119]],0)+10,"")</f>
        <v/>
      </c>
      <c r="AX241" s="134" t="str">
        <f>_xlfn.IFNA(MATCH(X241,Achievements[[#All],[Column120]],0)+10,"")</f>
        <v/>
      </c>
      <c r="AY241" s="134" t="str">
        <f>_xlfn.IFNA(MATCH(Y241,Achievements[[#All],[Column120]],0)+10,"")</f>
        <v/>
      </c>
      <c r="AZ241" s="116" t="e">
        <f t="shared" ca="1" si="6"/>
        <v>#NAME?</v>
      </c>
      <c r="BA241" s="134" t="e" cm="1">
        <f t="array" aca="1" ref="BA241" ca="1">SplitValues("; ",Persons[[#This Row],[Column1]])</f>
        <v>#NAME?</v>
      </c>
      <c r="CA241" s="134" t="e">
        <f ca="1">_xlfn.IFNA(MATCH(BA241,Achievements[[#All],[Column1]],0)+10,"")</f>
        <v>#NAME?</v>
      </c>
      <c r="CB241" s="134" t="str">
        <f>_xlfn.IFNA(MATCH(BB241,Achievements[[#All],[Column1]],0)+10,"")</f>
        <v/>
      </c>
      <c r="CC241" s="134" t="str">
        <f>_xlfn.IFNA(MATCH(BC241,Achievements[[#All],[Column110]],0)+10,"")</f>
        <v/>
      </c>
      <c r="CD241" s="134" t="str">
        <f>_xlfn.IFNA(MATCH(BD241,Achievements[[#All],[Column110]],0)+10,"")</f>
        <v/>
      </c>
      <c r="CE241" s="134" t="str">
        <f>_xlfn.IFNA(MATCH(BE241,Achievements[[#All],[Column111]],0)+10,"")</f>
        <v/>
      </c>
      <c r="CF241" s="134" t="str">
        <f>_xlfn.IFNA(MATCH(BF241,Achievements[[#All],[Column111]],0)+10,"")</f>
        <v/>
      </c>
      <c r="CG241" s="134" t="str">
        <f>_xlfn.IFNA(MATCH(BG241,Achievements[[#All],[Column112]],0)+10,"")</f>
        <v/>
      </c>
      <c r="CH241" s="134" t="str">
        <f>_xlfn.IFNA(MATCH(BH241,Achievements[[#All],[Column112]],0)+10,"")</f>
        <v/>
      </c>
      <c r="CI241" s="134" t="str">
        <f>_xlfn.IFNA(MATCH(BI241,Achievements[[#All],[Column113]],0)+10,"")</f>
        <v/>
      </c>
      <c r="CJ241" s="134" t="str">
        <f>_xlfn.IFNA(MATCH(BJ241,Achievements[[#All],[Column113]],0)+10,"")</f>
        <v/>
      </c>
      <c r="CK241" s="134" t="str">
        <f>_xlfn.IFNA(MATCH(BK241,Achievements[[#All],[Column114]],0)+10,"")</f>
        <v/>
      </c>
      <c r="CL241" s="134" t="str">
        <f>_xlfn.IFNA(MATCH(BL241,Achievements[[#All],[Column114]],0)+10,"")</f>
        <v/>
      </c>
      <c r="CM241" s="134" t="str">
        <f>_xlfn.IFNA(MATCH(BM241,Achievements[[#All],[Column115]],0)+10,"")</f>
        <v/>
      </c>
      <c r="CN241" s="134" t="str">
        <f>_xlfn.IFNA(MATCH(BN241,Achievements[[#All],[Column115]],0)+10,"")</f>
        <v/>
      </c>
      <c r="CO241" s="134" t="str">
        <f>_xlfn.IFNA(MATCH(BO241,Achievements[[#All],[Column116]],0)+10,"")</f>
        <v/>
      </c>
      <c r="CP241" s="134" t="str">
        <f>_xlfn.IFNA(MATCH(BP241,Achievements[[#All],[Column116]],0)+10,"")</f>
        <v/>
      </c>
      <c r="CQ241" s="134" t="str">
        <f>_xlfn.IFNA(MATCH(BQ241,Achievements[[#All],[Column117]],0)+10,"")</f>
        <v/>
      </c>
      <c r="CR241" s="134" t="str">
        <f>_xlfn.IFNA(MATCH(BR241,Achievements[[#All],[Column117]],0)+10,"")</f>
        <v/>
      </c>
      <c r="CS241" s="134" t="str">
        <f>_xlfn.IFNA(MATCH(BS241,Achievements[[#All],[Column118]],0)+10,"")</f>
        <v/>
      </c>
      <c r="CT241" s="134" t="str">
        <f>_xlfn.IFNA(MATCH(BT241,Achievements[[#All],[Column118]],0)+10,"")</f>
        <v/>
      </c>
      <c r="CU241" s="134" t="str">
        <f>_xlfn.IFNA(MATCH(BU241,Achievements[[#All],[Column119]],0)+10,"")</f>
        <v/>
      </c>
      <c r="CV241" s="134" t="str">
        <f>_xlfn.IFNA(MATCH(BV241,Achievements[[#All],[Column119]],0)+10,"")</f>
        <v/>
      </c>
      <c r="CW241" s="134" t="str">
        <f>_xlfn.IFNA(MATCH(BW241,Achievements[[#All],[Column120]],0)+10,"")</f>
        <v/>
      </c>
      <c r="CX241" s="134" t="str">
        <f>_xlfn.IFNA(MATCH(BX241,Achievements[[#All],[Column120]],0)+10,"")</f>
        <v/>
      </c>
      <c r="CY241" s="134" t="str">
        <f>_xlfn.IFNA(MATCH(BY241,Achievements[[#All],[Column121]],0)+10,"")</f>
        <v/>
      </c>
      <c r="CZ241" s="118" t="e">
        <f t="shared" ca="1" si="7"/>
        <v>#NAME?</v>
      </c>
    </row>
    <row r="242" spans="1:104" x14ac:dyDescent="0.25">
      <c r="A242" t="e" cm="1">
        <f t="array" aca="1" ref="A242" ca="1">SplitValues("; ",#REF!)</f>
        <v>#NAME?</v>
      </c>
      <c r="AA242" t="e">
        <f ca="1">_xlfn.IFNA(MATCH(A242,Achievements[[#All],[Column1]],0)+11,"")</f>
        <v>#NAME?</v>
      </c>
      <c r="AB242" s="134" t="str">
        <f>_xlfn.IFNA(MATCH(B242,Achievements[[#All],[Column1]],0)+10,"")</f>
        <v/>
      </c>
      <c r="AC242" s="134" t="str">
        <f>_xlfn.IFNA(MATCH(C242,Achievements[[#All],[Column1]],0)+10,"")</f>
        <v/>
      </c>
      <c r="AD242" s="134" t="str">
        <f>_xlfn.IFNA(MATCH(D242,Achievements[[#All],[Column110]],0)+10,"")</f>
        <v/>
      </c>
      <c r="AE242" s="134" t="str">
        <f>_xlfn.IFNA(MATCH(E242,Achievements[[#All],[Column110]],0)+10,"")</f>
        <v/>
      </c>
      <c r="AF242" s="134" t="str">
        <f>_xlfn.IFNA(MATCH(F242,Achievements[[#All],[Column111]],0)+10,"")</f>
        <v/>
      </c>
      <c r="AG242" s="134" t="str">
        <f>_xlfn.IFNA(MATCH(G242,Achievements[[#All],[Column111]],0)+10,"")</f>
        <v/>
      </c>
      <c r="AH242" s="134" t="str">
        <f>_xlfn.IFNA(MATCH(H242,Achievements[[#All],[Column112]],0)+10,"")</f>
        <v/>
      </c>
      <c r="AI242" s="134" t="str">
        <f>_xlfn.IFNA(MATCH(I242,Achievements[[#All],[Column112]],0)+10,"")</f>
        <v/>
      </c>
      <c r="AJ242" s="134" t="str">
        <f>_xlfn.IFNA(MATCH(J242,Achievements[[#All],[Column113]],0)+10,"")</f>
        <v/>
      </c>
      <c r="AK242" s="134" t="str">
        <f>_xlfn.IFNA(MATCH(K242,Achievements[[#All],[Column113]],0)+10,"")</f>
        <v/>
      </c>
      <c r="AL242" s="134" t="str">
        <f>_xlfn.IFNA(MATCH(L242,Achievements[[#All],[Column114]],0)+10,"")</f>
        <v/>
      </c>
      <c r="AM242" s="134" t="str">
        <f>_xlfn.IFNA(MATCH(M242,Achievements[[#All],[Column114]],0)+10,"")</f>
        <v/>
      </c>
      <c r="AN242" s="134" t="str">
        <f>_xlfn.IFNA(MATCH(N242,Achievements[[#All],[Column115]],0)+10,"")</f>
        <v/>
      </c>
      <c r="AO242" s="134" t="str">
        <f>_xlfn.IFNA(MATCH(O242,Achievements[[#All],[Column115]],0)+10,"")</f>
        <v/>
      </c>
      <c r="AP242" s="134" t="str">
        <f>_xlfn.IFNA(MATCH(P242,Achievements[[#All],[Column116]],0)+10,"")</f>
        <v/>
      </c>
      <c r="AQ242" s="134" t="str">
        <f>_xlfn.IFNA(MATCH(Q242,Achievements[[#All],[Column116]],0)+10,"")</f>
        <v/>
      </c>
      <c r="AR242" s="134" t="str">
        <f>_xlfn.IFNA(MATCH(R242,Achievements[[#All],[Column117]],0)+10,"")</f>
        <v/>
      </c>
      <c r="AS242" s="134" t="str">
        <f>_xlfn.IFNA(MATCH(S242,Achievements[[#All],[Column117]],0)+10,"")</f>
        <v/>
      </c>
      <c r="AT242" s="134" t="str">
        <f>_xlfn.IFNA(MATCH(T242,Achievements[[#All],[Column118]],0)+10,"")</f>
        <v/>
      </c>
      <c r="AU242" s="134" t="str">
        <f>_xlfn.IFNA(MATCH(U242,Achievements[[#All],[Column118]],0)+10,"")</f>
        <v/>
      </c>
      <c r="AV242" s="134" t="str">
        <f>_xlfn.IFNA(MATCH(V242,Achievements[[#All],[Column119]],0)+10,"")</f>
        <v/>
      </c>
      <c r="AW242" s="134" t="str">
        <f>_xlfn.IFNA(MATCH(W242,Achievements[[#All],[Column119]],0)+10,"")</f>
        <v/>
      </c>
      <c r="AX242" s="134" t="str">
        <f>_xlfn.IFNA(MATCH(X242,Achievements[[#All],[Column120]],0)+10,"")</f>
        <v/>
      </c>
      <c r="AY242" s="134" t="str">
        <f>_xlfn.IFNA(MATCH(Y242,Achievements[[#All],[Column120]],0)+10,"")</f>
        <v/>
      </c>
      <c r="AZ242" s="116" t="e">
        <f t="shared" ca="1" si="6"/>
        <v>#NAME?</v>
      </c>
      <c r="BA242" s="134" t="e" cm="1">
        <f t="array" aca="1" ref="BA242" ca="1">SplitValues("; ",Persons[[#This Row],[Column1]])</f>
        <v>#NAME?</v>
      </c>
      <c r="CA242" s="134" t="e">
        <f ca="1">_xlfn.IFNA(MATCH(BA242,Achievements[[#All],[Column1]],0)+10,"")</f>
        <v>#NAME?</v>
      </c>
      <c r="CB242" s="134" t="str">
        <f>_xlfn.IFNA(MATCH(BB242,Achievements[[#All],[Column1]],0)+10,"")</f>
        <v/>
      </c>
      <c r="CC242" s="134" t="str">
        <f>_xlfn.IFNA(MATCH(BC242,Achievements[[#All],[Column110]],0)+10,"")</f>
        <v/>
      </c>
      <c r="CD242" s="134" t="str">
        <f>_xlfn.IFNA(MATCH(BD242,Achievements[[#All],[Column110]],0)+10,"")</f>
        <v/>
      </c>
      <c r="CE242" s="134" t="str">
        <f>_xlfn.IFNA(MATCH(BE242,Achievements[[#All],[Column111]],0)+10,"")</f>
        <v/>
      </c>
      <c r="CF242" s="134" t="str">
        <f>_xlfn.IFNA(MATCH(BF242,Achievements[[#All],[Column111]],0)+10,"")</f>
        <v/>
      </c>
      <c r="CG242" s="134" t="str">
        <f>_xlfn.IFNA(MATCH(BG242,Achievements[[#All],[Column112]],0)+10,"")</f>
        <v/>
      </c>
      <c r="CH242" s="134" t="str">
        <f>_xlfn.IFNA(MATCH(BH242,Achievements[[#All],[Column112]],0)+10,"")</f>
        <v/>
      </c>
      <c r="CI242" s="134" t="str">
        <f>_xlfn.IFNA(MATCH(BI242,Achievements[[#All],[Column113]],0)+10,"")</f>
        <v/>
      </c>
      <c r="CJ242" s="134" t="str">
        <f>_xlfn.IFNA(MATCH(BJ242,Achievements[[#All],[Column113]],0)+10,"")</f>
        <v/>
      </c>
      <c r="CK242" s="134" t="str">
        <f>_xlfn.IFNA(MATCH(BK242,Achievements[[#All],[Column114]],0)+10,"")</f>
        <v/>
      </c>
      <c r="CL242" s="134" t="str">
        <f>_xlfn.IFNA(MATCH(BL242,Achievements[[#All],[Column114]],0)+10,"")</f>
        <v/>
      </c>
      <c r="CM242" s="134" t="str">
        <f>_xlfn.IFNA(MATCH(BM242,Achievements[[#All],[Column115]],0)+10,"")</f>
        <v/>
      </c>
      <c r="CN242" s="134" t="str">
        <f>_xlfn.IFNA(MATCH(BN242,Achievements[[#All],[Column115]],0)+10,"")</f>
        <v/>
      </c>
      <c r="CO242" s="134" t="str">
        <f>_xlfn.IFNA(MATCH(BO242,Achievements[[#All],[Column116]],0)+10,"")</f>
        <v/>
      </c>
      <c r="CP242" s="134" t="str">
        <f>_xlfn.IFNA(MATCH(BP242,Achievements[[#All],[Column116]],0)+10,"")</f>
        <v/>
      </c>
      <c r="CQ242" s="134" t="str">
        <f>_xlfn.IFNA(MATCH(BQ242,Achievements[[#All],[Column117]],0)+10,"")</f>
        <v/>
      </c>
      <c r="CR242" s="134" t="str">
        <f>_xlfn.IFNA(MATCH(BR242,Achievements[[#All],[Column117]],0)+10,"")</f>
        <v/>
      </c>
      <c r="CS242" s="134" t="str">
        <f>_xlfn.IFNA(MATCH(BS242,Achievements[[#All],[Column118]],0)+10,"")</f>
        <v/>
      </c>
      <c r="CT242" s="134" t="str">
        <f>_xlfn.IFNA(MATCH(BT242,Achievements[[#All],[Column118]],0)+10,"")</f>
        <v/>
      </c>
      <c r="CU242" s="134" t="str">
        <f>_xlfn.IFNA(MATCH(BU242,Achievements[[#All],[Column119]],0)+10,"")</f>
        <v/>
      </c>
      <c r="CV242" s="134" t="str">
        <f>_xlfn.IFNA(MATCH(BV242,Achievements[[#All],[Column119]],0)+10,"")</f>
        <v/>
      </c>
      <c r="CW242" s="134" t="str">
        <f>_xlfn.IFNA(MATCH(BW242,Achievements[[#All],[Column120]],0)+10,"")</f>
        <v/>
      </c>
      <c r="CX242" s="134" t="str">
        <f>_xlfn.IFNA(MATCH(BX242,Achievements[[#All],[Column120]],0)+10,"")</f>
        <v/>
      </c>
      <c r="CY242" s="134" t="str">
        <f>_xlfn.IFNA(MATCH(BY242,Achievements[[#All],[Column121]],0)+10,"")</f>
        <v/>
      </c>
      <c r="CZ242" s="118" t="e">
        <f t="shared" ca="1" si="7"/>
        <v>#NAME?</v>
      </c>
    </row>
    <row r="243" spans="1:104" x14ac:dyDescent="0.25">
      <c r="A243" t="e" cm="1">
        <f t="array" aca="1" ref="A243" ca="1">SplitValues("; ",#REF!)</f>
        <v>#NAME?</v>
      </c>
      <c r="AA243" t="e">
        <f ca="1">_xlfn.IFNA(MATCH(A243,Achievements[[#All],[Column1]],0)+11,"")</f>
        <v>#NAME?</v>
      </c>
      <c r="AB243" s="134" t="str">
        <f>_xlfn.IFNA(MATCH(B243,Achievements[[#All],[Column1]],0)+10,"")</f>
        <v/>
      </c>
      <c r="AC243" s="134" t="str">
        <f>_xlfn.IFNA(MATCH(C243,Achievements[[#All],[Column1]],0)+10,"")</f>
        <v/>
      </c>
      <c r="AD243" s="134" t="str">
        <f>_xlfn.IFNA(MATCH(D243,Achievements[[#All],[Column110]],0)+10,"")</f>
        <v/>
      </c>
      <c r="AE243" s="134" t="str">
        <f>_xlfn.IFNA(MATCH(E243,Achievements[[#All],[Column110]],0)+10,"")</f>
        <v/>
      </c>
      <c r="AF243" s="134" t="str">
        <f>_xlfn.IFNA(MATCH(F243,Achievements[[#All],[Column111]],0)+10,"")</f>
        <v/>
      </c>
      <c r="AG243" s="134" t="str">
        <f>_xlfn.IFNA(MATCH(G243,Achievements[[#All],[Column111]],0)+10,"")</f>
        <v/>
      </c>
      <c r="AH243" s="134" t="str">
        <f>_xlfn.IFNA(MATCH(H243,Achievements[[#All],[Column112]],0)+10,"")</f>
        <v/>
      </c>
      <c r="AI243" s="134" t="str">
        <f>_xlfn.IFNA(MATCH(I243,Achievements[[#All],[Column112]],0)+10,"")</f>
        <v/>
      </c>
      <c r="AJ243" s="134" t="str">
        <f>_xlfn.IFNA(MATCH(J243,Achievements[[#All],[Column113]],0)+10,"")</f>
        <v/>
      </c>
      <c r="AK243" s="134" t="str">
        <f>_xlfn.IFNA(MATCH(K243,Achievements[[#All],[Column113]],0)+10,"")</f>
        <v/>
      </c>
      <c r="AL243" s="134" t="str">
        <f>_xlfn.IFNA(MATCH(L243,Achievements[[#All],[Column114]],0)+10,"")</f>
        <v/>
      </c>
      <c r="AM243" s="134" t="str">
        <f>_xlfn.IFNA(MATCH(M243,Achievements[[#All],[Column114]],0)+10,"")</f>
        <v/>
      </c>
      <c r="AN243" s="134" t="str">
        <f>_xlfn.IFNA(MATCH(N243,Achievements[[#All],[Column115]],0)+10,"")</f>
        <v/>
      </c>
      <c r="AO243" s="134" t="str">
        <f>_xlfn.IFNA(MATCH(O243,Achievements[[#All],[Column115]],0)+10,"")</f>
        <v/>
      </c>
      <c r="AP243" s="134" t="str">
        <f>_xlfn.IFNA(MATCH(P243,Achievements[[#All],[Column116]],0)+10,"")</f>
        <v/>
      </c>
      <c r="AQ243" s="134" t="str">
        <f>_xlfn.IFNA(MATCH(Q243,Achievements[[#All],[Column116]],0)+10,"")</f>
        <v/>
      </c>
      <c r="AR243" s="134" t="str">
        <f>_xlfn.IFNA(MATCH(R243,Achievements[[#All],[Column117]],0)+10,"")</f>
        <v/>
      </c>
      <c r="AS243" s="134" t="str">
        <f>_xlfn.IFNA(MATCH(S243,Achievements[[#All],[Column117]],0)+10,"")</f>
        <v/>
      </c>
      <c r="AT243" s="134" t="str">
        <f>_xlfn.IFNA(MATCH(T243,Achievements[[#All],[Column118]],0)+10,"")</f>
        <v/>
      </c>
      <c r="AU243" s="134" t="str">
        <f>_xlfn.IFNA(MATCH(U243,Achievements[[#All],[Column118]],0)+10,"")</f>
        <v/>
      </c>
      <c r="AV243" s="134" t="str">
        <f>_xlfn.IFNA(MATCH(V243,Achievements[[#All],[Column119]],0)+10,"")</f>
        <v/>
      </c>
      <c r="AW243" s="134" t="str">
        <f>_xlfn.IFNA(MATCH(W243,Achievements[[#All],[Column119]],0)+10,"")</f>
        <v/>
      </c>
      <c r="AX243" s="134" t="str">
        <f>_xlfn.IFNA(MATCH(X243,Achievements[[#All],[Column120]],0)+10,"")</f>
        <v/>
      </c>
      <c r="AY243" s="134" t="str">
        <f>_xlfn.IFNA(MATCH(Y243,Achievements[[#All],[Column120]],0)+10,"")</f>
        <v/>
      </c>
      <c r="AZ243" s="116" t="e">
        <f t="shared" ca="1" si="6"/>
        <v>#NAME?</v>
      </c>
      <c r="BA243" s="134" t="e" cm="1">
        <f t="array" aca="1" ref="BA243" ca="1">SplitValues("; ",Persons[[#This Row],[Column1]])</f>
        <v>#NAME?</v>
      </c>
      <c r="CA243" s="134" t="e">
        <f ca="1">_xlfn.IFNA(MATCH(BA243,Achievements[[#All],[Column1]],0)+10,"")</f>
        <v>#NAME?</v>
      </c>
      <c r="CB243" s="134" t="str">
        <f>_xlfn.IFNA(MATCH(BB243,Achievements[[#All],[Column1]],0)+10,"")</f>
        <v/>
      </c>
      <c r="CC243" s="134" t="str">
        <f>_xlfn.IFNA(MATCH(BC243,Achievements[[#All],[Column110]],0)+10,"")</f>
        <v/>
      </c>
      <c r="CD243" s="134" t="str">
        <f>_xlfn.IFNA(MATCH(BD243,Achievements[[#All],[Column110]],0)+10,"")</f>
        <v/>
      </c>
      <c r="CE243" s="134" t="str">
        <f>_xlfn.IFNA(MATCH(BE243,Achievements[[#All],[Column111]],0)+10,"")</f>
        <v/>
      </c>
      <c r="CF243" s="134" t="str">
        <f>_xlfn.IFNA(MATCH(BF243,Achievements[[#All],[Column111]],0)+10,"")</f>
        <v/>
      </c>
      <c r="CG243" s="134" t="str">
        <f>_xlfn.IFNA(MATCH(BG243,Achievements[[#All],[Column112]],0)+10,"")</f>
        <v/>
      </c>
      <c r="CH243" s="134" t="str">
        <f>_xlfn.IFNA(MATCH(BH243,Achievements[[#All],[Column112]],0)+10,"")</f>
        <v/>
      </c>
      <c r="CI243" s="134" t="str">
        <f>_xlfn.IFNA(MATCH(BI243,Achievements[[#All],[Column113]],0)+10,"")</f>
        <v/>
      </c>
      <c r="CJ243" s="134" t="str">
        <f>_xlfn.IFNA(MATCH(BJ243,Achievements[[#All],[Column113]],0)+10,"")</f>
        <v/>
      </c>
      <c r="CK243" s="134" t="str">
        <f>_xlfn.IFNA(MATCH(BK243,Achievements[[#All],[Column114]],0)+10,"")</f>
        <v/>
      </c>
      <c r="CL243" s="134" t="str">
        <f>_xlfn.IFNA(MATCH(BL243,Achievements[[#All],[Column114]],0)+10,"")</f>
        <v/>
      </c>
      <c r="CM243" s="134" t="str">
        <f>_xlfn.IFNA(MATCH(BM243,Achievements[[#All],[Column115]],0)+10,"")</f>
        <v/>
      </c>
      <c r="CN243" s="134" t="str">
        <f>_xlfn.IFNA(MATCH(BN243,Achievements[[#All],[Column115]],0)+10,"")</f>
        <v/>
      </c>
      <c r="CO243" s="134" t="str">
        <f>_xlfn.IFNA(MATCH(BO243,Achievements[[#All],[Column116]],0)+10,"")</f>
        <v/>
      </c>
      <c r="CP243" s="134" t="str">
        <f>_xlfn.IFNA(MATCH(BP243,Achievements[[#All],[Column116]],0)+10,"")</f>
        <v/>
      </c>
      <c r="CQ243" s="134" t="str">
        <f>_xlfn.IFNA(MATCH(BQ243,Achievements[[#All],[Column117]],0)+10,"")</f>
        <v/>
      </c>
      <c r="CR243" s="134" t="str">
        <f>_xlfn.IFNA(MATCH(BR243,Achievements[[#All],[Column117]],0)+10,"")</f>
        <v/>
      </c>
      <c r="CS243" s="134" t="str">
        <f>_xlfn.IFNA(MATCH(BS243,Achievements[[#All],[Column118]],0)+10,"")</f>
        <v/>
      </c>
      <c r="CT243" s="134" t="str">
        <f>_xlfn.IFNA(MATCH(BT243,Achievements[[#All],[Column118]],0)+10,"")</f>
        <v/>
      </c>
      <c r="CU243" s="134" t="str">
        <f>_xlfn.IFNA(MATCH(BU243,Achievements[[#All],[Column119]],0)+10,"")</f>
        <v/>
      </c>
      <c r="CV243" s="134" t="str">
        <f>_xlfn.IFNA(MATCH(BV243,Achievements[[#All],[Column119]],0)+10,"")</f>
        <v/>
      </c>
      <c r="CW243" s="134" t="str">
        <f>_xlfn.IFNA(MATCH(BW243,Achievements[[#All],[Column120]],0)+10,"")</f>
        <v/>
      </c>
      <c r="CX243" s="134" t="str">
        <f>_xlfn.IFNA(MATCH(BX243,Achievements[[#All],[Column120]],0)+10,"")</f>
        <v/>
      </c>
      <c r="CY243" s="134" t="str">
        <f>_xlfn.IFNA(MATCH(BY243,Achievements[[#All],[Column121]],0)+10,"")</f>
        <v/>
      </c>
      <c r="CZ243" s="118" t="e">
        <f t="shared" ca="1" si="7"/>
        <v>#NAME?</v>
      </c>
    </row>
    <row r="244" spans="1:104" x14ac:dyDescent="0.25">
      <c r="A244" t="e" cm="1">
        <f t="array" aca="1" ref="A244" ca="1">SplitValues("; ",#REF!)</f>
        <v>#NAME?</v>
      </c>
      <c r="AA244" t="e">
        <f ca="1">_xlfn.IFNA(MATCH(A244,Achievements[[#All],[Column1]],0)+11,"")</f>
        <v>#NAME?</v>
      </c>
      <c r="AB244" s="134" t="str">
        <f>_xlfn.IFNA(MATCH(B244,Achievements[[#All],[Column1]],0)+10,"")</f>
        <v/>
      </c>
      <c r="AC244" s="134" t="str">
        <f>_xlfn.IFNA(MATCH(C244,Achievements[[#All],[Column1]],0)+10,"")</f>
        <v/>
      </c>
      <c r="AD244" s="134" t="str">
        <f>_xlfn.IFNA(MATCH(D244,Achievements[[#All],[Column110]],0)+10,"")</f>
        <v/>
      </c>
      <c r="AE244" s="134" t="str">
        <f>_xlfn.IFNA(MATCH(E244,Achievements[[#All],[Column110]],0)+10,"")</f>
        <v/>
      </c>
      <c r="AF244" s="134" t="str">
        <f>_xlfn.IFNA(MATCH(F244,Achievements[[#All],[Column111]],0)+10,"")</f>
        <v/>
      </c>
      <c r="AG244" s="134" t="str">
        <f>_xlfn.IFNA(MATCH(G244,Achievements[[#All],[Column111]],0)+10,"")</f>
        <v/>
      </c>
      <c r="AH244" s="134" t="str">
        <f>_xlfn.IFNA(MATCH(H244,Achievements[[#All],[Column112]],0)+10,"")</f>
        <v/>
      </c>
      <c r="AI244" s="134" t="str">
        <f>_xlfn.IFNA(MATCH(I244,Achievements[[#All],[Column112]],0)+10,"")</f>
        <v/>
      </c>
      <c r="AJ244" s="134" t="str">
        <f>_xlfn.IFNA(MATCH(J244,Achievements[[#All],[Column113]],0)+10,"")</f>
        <v/>
      </c>
      <c r="AK244" s="134" t="str">
        <f>_xlfn.IFNA(MATCH(K244,Achievements[[#All],[Column113]],0)+10,"")</f>
        <v/>
      </c>
      <c r="AL244" s="134" t="str">
        <f>_xlfn.IFNA(MATCH(L244,Achievements[[#All],[Column114]],0)+10,"")</f>
        <v/>
      </c>
      <c r="AM244" s="134" t="str">
        <f>_xlfn.IFNA(MATCH(M244,Achievements[[#All],[Column114]],0)+10,"")</f>
        <v/>
      </c>
      <c r="AN244" s="134" t="str">
        <f>_xlfn.IFNA(MATCH(N244,Achievements[[#All],[Column115]],0)+10,"")</f>
        <v/>
      </c>
      <c r="AO244" s="134" t="str">
        <f>_xlfn.IFNA(MATCH(O244,Achievements[[#All],[Column115]],0)+10,"")</f>
        <v/>
      </c>
      <c r="AP244" s="134" t="str">
        <f>_xlfn.IFNA(MATCH(P244,Achievements[[#All],[Column116]],0)+10,"")</f>
        <v/>
      </c>
      <c r="AQ244" s="134" t="str">
        <f>_xlfn.IFNA(MATCH(Q244,Achievements[[#All],[Column116]],0)+10,"")</f>
        <v/>
      </c>
      <c r="AR244" s="134" t="str">
        <f>_xlfn.IFNA(MATCH(R244,Achievements[[#All],[Column117]],0)+10,"")</f>
        <v/>
      </c>
      <c r="AS244" s="134" t="str">
        <f>_xlfn.IFNA(MATCH(S244,Achievements[[#All],[Column117]],0)+10,"")</f>
        <v/>
      </c>
      <c r="AT244" s="134" t="str">
        <f>_xlfn.IFNA(MATCH(T244,Achievements[[#All],[Column118]],0)+10,"")</f>
        <v/>
      </c>
      <c r="AU244" s="134" t="str">
        <f>_xlfn.IFNA(MATCH(U244,Achievements[[#All],[Column118]],0)+10,"")</f>
        <v/>
      </c>
      <c r="AV244" s="134" t="str">
        <f>_xlfn.IFNA(MATCH(V244,Achievements[[#All],[Column119]],0)+10,"")</f>
        <v/>
      </c>
      <c r="AW244" s="134" t="str">
        <f>_xlfn.IFNA(MATCH(W244,Achievements[[#All],[Column119]],0)+10,"")</f>
        <v/>
      </c>
      <c r="AX244" s="134" t="str">
        <f>_xlfn.IFNA(MATCH(X244,Achievements[[#All],[Column120]],0)+10,"")</f>
        <v/>
      </c>
      <c r="AY244" s="134" t="str">
        <f>_xlfn.IFNA(MATCH(Y244,Achievements[[#All],[Column120]],0)+10,"")</f>
        <v/>
      </c>
      <c r="AZ244" s="116" t="e">
        <f t="shared" ca="1" si="6"/>
        <v>#NAME?</v>
      </c>
      <c r="BA244" s="134" t="e" cm="1">
        <f t="array" aca="1" ref="BA244" ca="1">SplitValues("; ",Persons[[#This Row],[Column1]])</f>
        <v>#NAME?</v>
      </c>
      <c r="CA244" s="134" t="e">
        <f ca="1">_xlfn.IFNA(MATCH(BA244,Achievements[[#All],[Column1]],0)+10,"")</f>
        <v>#NAME?</v>
      </c>
      <c r="CB244" s="134" t="str">
        <f>_xlfn.IFNA(MATCH(BB244,Achievements[[#All],[Column1]],0)+10,"")</f>
        <v/>
      </c>
      <c r="CC244" s="134" t="str">
        <f>_xlfn.IFNA(MATCH(BC244,Achievements[[#All],[Column110]],0)+10,"")</f>
        <v/>
      </c>
      <c r="CD244" s="134" t="str">
        <f>_xlfn.IFNA(MATCH(BD244,Achievements[[#All],[Column110]],0)+10,"")</f>
        <v/>
      </c>
      <c r="CE244" s="134" t="str">
        <f>_xlfn.IFNA(MATCH(BE244,Achievements[[#All],[Column111]],0)+10,"")</f>
        <v/>
      </c>
      <c r="CF244" s="134" t="str">
        <f>_xlfn.IFNA(MATCH(BF244,Achievements[[#All],[Column111]],0)+10,"")</f>
        <v/>
      </c>
      <c r="CG244" s="134" t="str">
        <f>_xlfn.IFNA(MATCH(BG244,Achievements[[#All],[Column112]],0)+10,"")</f>
        <v/>
      </c>
      <c r="CH244" s="134" t="str">
        <f>_xlfn.IFNA(MATCH(BH244,Achievements[[#All],[Column112]],0)+10,"")</f>
        <v/>
      </c>
      <c r="CI244" s="134" t="str">
        <f>_xlfn.IFNA(MATCH(BI244,Achievements[[#All],[Column113]],0)+10,"")</f>
        <v/>
      </c>
      <c r="CJ244" s="134" t="str">
        <f>_xlfn.IFNA(MATCH(BJ244,Achievements[[#All],[Column113]],0)+10,"")</f>
        <v/>
      </c>
      <c r="CK244" s="134" t="str">
        <f>_xlfn.IFNA(MATCH(BK244,Achievements[[#All],[Column114]],0)+10,"")</f>
        <v/>
      </c>
      <c r="CL244" s="134" t="str">
        <f>_xlfn.IFNA(MATCH(BL244,Achievements[[#All],[Column114]],0)+10,"")</f>
        <v/>
      </c>
      <c r="CM244" s="134" t="str">
        <f>_xlfn.IFNA(MATCH(BM244,Achievements[[#All],[Column115]],0)+10,"")</f>
        <v/>
      </c>
      <c r="CN244" s="134" t="str">
        <f>_xlfn.IFNA(MATCH(BN244,Achievements[[#All],[Column115]],0)+10,"")</f>
        <v/>
      </c>
      <c r="CO244" s="134" t="str">
        <f>_xlfn.IFNA(MATCH(BO244,Achievements[[#All],[Column116]],0)+10,"")</f>
        <v/>
      </c>
      <c r="CP244" s="134" t="str">
        <f>_xlfn.IFNA(MATCH(BP244,Achievements[[#All],[Column116]],0)+10,"")</f>
        <v/>
      </c>
      <c r="CQ244" s="134" t="str">
        <f>_xlfn.IFNA(MATCH(BQ244,Achievements[[#All],[Column117]],0)+10,"")</f>
        <v/>
      </c>
      <c r="CR244" s="134" t="str">
        <f>_xlfn.IFNA(MATCH(BR244,Achievements[[#All],[Column117]],0)+10,"")</f>
        <v/>
      </c>
      <c r="CS244" s="134" t="str">
        <f>_xlfn.IFNA(MATCH(BS244,Achievements[[#All],[Column118]],0)+10,"")</f>
        <v/>
      </c>
      <c r="CT244" s="134" t="str">
        <f>_xlfn.IFNA(MATCH(BT244,Achievements[[#All],[Column118]],0)+10,"")</f>
        <v/>
      </c>
      <c r="CU244" s="134" t="str">
        <f>_xlfn.IFNA(MATCH(BU244,Achievements[[#All],[Column119]],0)+10,"")</f>
        <v/>
      </c>
      <c r="CV244" s="134" t="str">
        <f>_xlfn.IFNA(MATCH(BV244,Achievements[[#All],[Column119]],0)+10,"")</f>
        <v/>
      </c>
      <c r="CW244" s="134" t="str">
        <f>_xlfn.IFNA(MATCH(BW244,Achievements[[#All],[Column120]],0)+10,"")</f>
        <v/>
      </c>
      <c r="CX244" s="134" t="str">
        <f>_xlfn.IFNA(MATCH(BX244,Achievements[[#All],[Column120]],0)+10,"")</f>
        <v/>
      </c>
      <c r="CY244" s="134" t="str">
        <f>_xlfn.IFNA(MATCH(BY244,Achievements[[#All],[Column121]],0)+10,"")</f>
        <v/>
      </c>
      <c r="CZ244" s="118" t="e">
        <f t="shared" ca="1" si="7"/>
        <v>#NAME?</v>
      </c>
    </row>
    <row r="245" spans="1:104" x14ac:dyDescent="0.25">
      <c r="A245" t="e" cm="1">
        <f t="array" aca="1" ref="A245" ca="1">SplitValues("; ",#REF!)</f>
        <v>#NAME?</v>
      </c>
      <c r="AA245" t="e">
        <f ca="1">_xlfn.IFNA(MATCH(A245,Achievements[[#All],[Column1]],0)+11,"")</f>
        <v>#NAME?</v>
      </c>
      <c r="AB245" s="134" t="str">
        <f>_xlfn.IFNA(MATCH(B245,Achievements[[#All],[Column1]],0)+10,"")</f>
        <v/>
      </c>
      <c r="AC245" s="134" t="str">
        <f>_xlfn.IFNA(MATCH(C245,Achievements[[#All],[Column1]],0)+10,"")</f>
        <v/>
      </c>
      <c r="AD245" s="134" t="str">
        <f>_xlfn.IFNA(MATCH(D245,Achievements[[#All],[Column110]],0)+10,"")</f>
        <v/>
      </c>
      <c r="AE245" s="134" t="str">
        <f>_xlfn.IFNA(MATCH(E245,Achievements[[#All],[Column110]],0)+10,"")</f>
        <v/>
      </c>
      <c r="AF245" s="134" t="str">
        <f>_xlfn.IFNA(MATCH(F245,Achievements[[#All],[Column111]],0)+10,"")</f>
        <v/>
      </c>
      <c r="AG245" s="134" t="str">
        <f>_xlfn.IFNA(MATCH(G245,Achievements[[#All],[Column111]],0)+10,"")</f>
        <v/>
      </c>
      <c r="AH245" s="134" t="str">
        <f>_xlfn.IFNA(MATCH(H245,Achievements[[#All],[Column112]],0)+10,"")</f>
        <v/>
      </c>
      <c r="AI245" s="134" t="str">
        <f>_xlfn.IFNA(MATCH(I245,Achievements[[#All],[Column112]],0)+10,"")</f>
        <v/>
      </c>
      <c r="AJ245" s="134" t="str">
        <f>_xlfn.IFNA(MATCH(J245,Achievements[[#All],[Column113]],0)+10,"")</f>
        <v/>
      </c>
      <c r="AK245" s="134" t="str">
        <f>_xlfn.IFNA(MATCH(K245,Achievements[[#All],[Column113]],0)+10,"")</f>
        <v/>
      </c>
      <c r="AL245" s="134" t="str">
        <f>_xlfn.IFNA(MATCH(L245,Achievements[[#All],[Column114]],0)+10,"")</f>
        <v/>
      </c>
      <c r="AM245" s="134" t="str">
        <f>_xlfn.IFNA(MATCH(M245,Achievements[[#All],[Column114]],0)+10,"")</f>
        <v/>
      </c>
      <c r="AN245" s="134" t="str">
        <f>_xlfn.IFNA(MATCH(N245,Achievements[[#All],[Column115]],0)+10,"")</f>
        <v/>
      </c>
      <c r="AO245" s="134" t="str">
        <f>_xlfn.IFNA(MATCH(O245,Achievements[[#All],[Column115]],0)+10,"")</f>
        <v/>
      </c>
      <c r="AP245" s="134" t="str">
        <f>_xlfn.IFNA(MATCH(P245,Achievements[[#All],[Column116]],0)+10,"")</f>
        <v/>
      </c>
      <c r="AQ245" s="134" t="str">
        <f>_xlfn.IFNA(MATCH(Q245,Achievements[[#All],[Column116]],0)+10,"")</f>
        <v/>
      </c>
      <c r="AR245" s="134" t="str">
        <f>_xlfn.IFNA(MATCH(R245,Achievements[[#All],[Column117]],0)+10,"")</f>
        <v/>
      </c>
      <c r="AS245" s="134" t="str">
        <f>_xlfn.IFNA(MATCH(S245,Achievements[[#All],[Column117]],0)+10,"")</f>
        <v/>
      </c>
      <c r="AT245" s="134" t="str">
        <f>_xlfn.IFNA(MATCH(T245,Achievements[[#All],[Column118]],0)+10,"")</f>
        <v/>
      </c>
      <c r="AU245" s="134" t="str">
        <f>_xlfn.IFNA(MATCH(U245,Achievements[[#All],[Column118]],0)+10,"")</f>
        <v/>
      </c>
      <c r="AV245" s="134" t="str">
        <f>_xlfn.IFNA(MATCH(V245,Achievements[[#All],[Column119]],0)+10,"")</f>
        <v/>
      </c>
      <c r="AW245" s="134" t="str">
        <f>_xlfn.IFNA(MATCH(W245,Achievements[[#All],[Column119]],0)+10,"")</f>
        <v/>
      </c>
      <c r="AX245" s="134" t="str">
        <f>_xlfn.IFNA(MATCH(X245,Achievements[[#All],[Column120]],0)+10,"")</f>
        <v/>
      </c>
      <c r="AY245" s="134" t="str">
        <f>_xlfn.IFNA(MATCH(Y245,Achievements[[#All],[Column120]],0)+10,"")</f>
        <v/>
      </c>
      <c r="AZ245" s="116" t="e">
        <f t="shared" ca="1" si="6"/>
        <v>#NAME?</v>
      </c>
      <c r="BA245" s="134" t="e" cm="1">
        <f t="array" aca="1" ref="BA245" ca="1">SplitValues("; ",Persons[[#This Row],[Column1]])</f>
        <v>#NAME?</v>
      </c>
      <c r="CA245" s="134" t="e">
        <f ca="1">_xlfn.IFNA(MATCH(BA245,Achievements[[#All],[Column1]],0)+10,"")</f>
        <v>#NAME?</v>
      </c>
      <c r="CB245" s="134" t="str">
        <f>_xlfn.IFNA(MATCH(BB245,Achievements[[#All],[Column1]],0)+10,"")</f>
        <v/>
      </c>
      <c r="CC245" s="134" t="str">
        <f>_xlfn.IFNA(MATCH(BC245,Achievements[[#All],[Column110]],0)+10,"")</f>
        <v/>
      </c>
      <c r="CD245" s="134" t="str">
        <f>_xlfn.IFNA(MATCH(BD245,Achievements[[#All],[Column110]],0)+10,"")</f>
        <v/>
      </c>
      <c r="CE245" s="134" t="str">
        <f>_xlfn.IFNA(MATCH(BE245,Achievements[[#All],[Column111]],0)+10,"")</f>
        <v/>
      </c>
      <c r="CF245" s="134" t="str">
        <f>_xlfn.IFNA(MATCH(BF245,Achievements[[#All],[Column111]],0)+10,"")</f>
        <v/>
      </c>
      <c r="CG245" s="134" t="str">
        <f>_xlfn.IFNA(MATCH(BG245,Achievements[[#All],[Column112]],0)+10,"")</f>
        <v/>
      </c>
      <c r="CH245" s="134" t="str">
        <f>_xlfn.IFNA(MATCH(BH245,Achievements[[#All],[Column112]],0)+10,"")</f>
        <v/>
      </c>
      <c r="CI245" s="134" t="str">
        <f>_xlfn.IFNA(MATCH(BI245,Achievements[[#All],[Column113]],0)+10,"")</f>
        <v/>
      </c>
      <c r="CJ245" s="134" t="str">
        <f>_xlfn.IFNA(MATCH(BJ245,Achievements[[#All],[Column113]],0)+10,"")</f>
        <v/>
      </c>
      <c r="CK245" s="134" t="str">
        <f>_xlfn.IFNA(MATCH(BK245,Achievements[[#All],[Column114]],0)+10,"")</f>
        <v/>
      </c>
      <c r="CL245" s="134" t="str">
        <f>_xlfn.IFNA(MATCH(BL245,Achievements[[#All],[Column114]],0)+10,"")</f>
        <v/>
      </c>
      <c r="CM245" s="134" t="str">
        <f>_xlfn.IFNA(MATCH(BM245,Achievements[[#All],[Column115]],0)+10,"")</f>
        <v/>
      </c>
      <c r="CN245" s="134" t="str">
        <f>_xlfn.IFNA(MATCH(BN245,Achievements[[#All],[Column115]],0)+10,"")</f>
        <v/>
      </c>
      <c r="CO245" s="134" t="str">
        <f>_xlfn.IFNA(MATCH(BO245,Achievements[[#All],[Column116]],0)+10,"")</f>
        <v/>
      </c>
      <c r="CP245" s="134" t="str">
        <f>_xlfn.IFNA(MATCH(BP245,Achievements[[#All],[Column116]],0)+10,"")</f>
        <v/>
      </c>
      <c r="CQ245" s="134" t="str">
        <f>_xlfn.IFNA(MATCH(BQ245,Achievements[[#All],[Column117]],0)+10,"")</f>
        <v/>
      </c>
      <c r="CR245" s="134" t="str">
        <f>_xlfn.IFNA(MATCH(BR245,Achievements[[#All],[Column117]],0)+10,"")</f>
        <v/>
      </c>
      <c r="CS245" s="134" t="str">
        <f>_xlfn.IFNA(MATCH(BS245,Achievements[[#All],[Column118]],0)+10,"")</f>
        <v/>
      </c>
      <c r="CT245" s="134" t="str">
        <f>_xlfn.IFNA(MATCH(BT245,Achievements[[#All],[Column118]],0)+10,"")</f>
        <v/>
      </c>
      <c r="CU245" s="134" t="str">
        <f>_xlfn.IFNA(MATCH(BU245,Achievements[[#All],[Column119]],0)+10,"")</f>
        <v/>
      </c>
      <c r="CV245" s="134" t="str">
        <f>_xlfn.IFNA(MATCH(BV245,Achievements[[#All],[Column119]],0)+10,"")</f>
        <v/>
      </c>
      <c r="CW245" s="134" t="str">
        <f>_xlfn.IFNA(MATCH(BW245,Achievements[[#All],[Column120]],0)+10,"")</f>
        <v/>
      </c>
      <c r="CX245" s="134" t="str">
        <f>_xlfn.IFNA(MATCH(BX245,Achievements[[#All],[Column120]],0)+10,"")</f>
        <v/>
      </c>
      <c r="CY245" s="134" t="str">
        <f>_xlfn.IFNA(MATCH(BY245,Achievements[[#All],[Column121]],0)+10,"")</f>
        <v/>
      </c>
      <c r="CZ245" s="118" t="e">
        <f t="shared" ca="1" si="7"/>
        <v>#NAME?</v>
      </c>
    </row>
    <row r="246" spans="1:104" x14ac:dyDescent="0.25">
      <c r="A246" t="e" cm="1">
        <f t="array" aca="1" ref="A246" ca="1">SplitValues("; ",#REF!)</f>
        <v>#NAME?</v>
      </c>
      <c r="AA246" t="e">
        <f ca="1">_xlfn.IFNA(MATCH(A246,Achievements[[#All],[Column1]],0)+11,"")</f>
        <v>#NAME?</v>
      </c>
      <c r="AB246" s="134" t="str">
        <f>_xlfn.IFNA(MATCH(B246,Achievements[[#All],[Column1]],0)+10,"")</f>
        <v/>
      </c>
      <c r="AC246" s="134" t="str">
        <f>_xlfn.IFNA(MATCH(C246,Achievements[[#All],[Column1]],0)+10,"")</f>
        <v/>
      </c>
      <c r="AD246" s="134" t="str">
        <f>_xlfn.IFNA(MATCH(D246,Achievements[[#All],[Column110]],0)+10,"")</f>
        <v/>
      </c>
      <c r="AE246" s="134" t="str">
        <f>_xlfn.IFNA(MATCH(E246,Achievements[[#All],[Column110]],0)+10,"")</f>
        <v/>
      </c>
      <c r="AF246" s="134" t="str">
        <f>_xlfn.IFNA(MATCH(F246,Achievements[[#All],[Column111]],0)+10,"")</f>
        <v/>
      </c>
      <c r="AG246" s="134" t="str">
        <f>_xlfn.IFNA(MATCH(G246,Achievements[[#All],[Column111]],0)+10,"")</f>
        <v/>
      </c>
      <c r="AH246" s="134" t="str">
        <f>_xlfn.IFNA(MATCH(H246,Achievements[[#All],[Column112]],0)+10,"")</f>
        <v/>
      </c>
      <c r="AI246" s="134" t="str">
        <f>_xlfn.IFNA(MATCH(I246,Achievements[[#All],[Column112]],0)+10,"")</f>
        <v/>
      </c>
      <c r="AJ246" s="134" t="str">
        <f>_xlfn.IFNA(MATCH(J246,Achievements[[#All],[Column113]],0)+10,"")</f>
        <v/>
      </c>
      <c r="AK246" s="134" t="str">
        <f>_xlfn.IFNA(MATCH(K246,Achievements[[#All],[Column113]],0)+10,"")</f>
        <v/>
      </c>
      <c r="AL246" s="134" t="str">
        <f>_xlfn.IFNA(MATCH(L246,Achievements[[#All],[Column114]],0)+10,"")</f>
        <v/>
      </c>
      <c r="AM246" s="134" t="str">
        <f>_xlfn.IFNA(MATCH(M246,Achievements[[#All],[Column114]],0)+10,"")</f>
        <v/>
      </c>
      <c r="AN246" s="134" t="str">
        <f>_xlfn.IFNA(MATCH(N246,Achievements[[#All],[Column115]],0)+10,"")</f>
        <v/>
      </c>
      <c r="AO246" s="134" t="str">
        <f>_xlfn.IFNA(MATCH(O246,Achievements[[#All],[Column115]],0)+10,"")</f>
        <v/>
      </c>
      <c r="AP246" s="134" t="str">
        <f>_xlfn.IFNA(MATCH(P246,Achievements[[#All],[Column116]],0)+10,"")</f>
        <v/>
      </c>
      <c r="AQ246" s="134" t="str">
        <f>_xlfn.IFNA(MATCH(Q246,Achievements[[#All],[Column116]],0)+10,"")</f>
        <v/>
      </c>
      <c r="AR246" s="134" t="str">
        <f>_xlfn.IFNA(MATCH(R246,Achievements[[#All],[Column117]],0)+10,"")</f>
        <v/>
      </c>
      <c r="AS246" s="134" t="str">
        <f>_xlfn.IFNA(MATCH(S246,Achievements[[#All],[Column117]],0)+10,"")</f>
        <v/>
      </c>
      <c r="AT246" s="134" t="str">
        <f>_xlfn.IFNA(MATCH(T246,Achievements[[#All],[Column118]],0)+10,"")</f>
        <v/>
      </c>
      <c r="AU246" s="134" t="str">
        <f>_xlfn.IFNA(MATCH(U246,Achievements[[#All],[Column118]],0)+10,"")</f>
        <v/>
      </c>
      <c r="AV246" s="134" t="str">
        <f>_xlfn.IFNA(MATCH(V246,Achievements[[#All],[Column119]],0)+10,"")</f>
        <v/>
      </c>
      <c r="AW246" s="134" t="str">
        <f>_xlfn.IFNA(MATCH(W246,Achievements[[#All],[Column119]],0)+10,"")</f>
        <v/>
      </c>
      <c r="AX246" s="134" t="str">
        <f>_xlfn.IFNA(MATCH(X246,Achievements[[#All],[Column120]],0)+10,"")</f>
        <v/>
      </c>
      <c r="AY246" s="134" t="str">
        <f>_xlfn.IFNA(MATCH(Y246,Achievements[[#All],[Column120]],0)+10,"")</f>
        <v/>
      </c>
      <c r="AZ246" s="116" t="e">
        <f t="shared" ca="1" si="6"/>
        <v>#NAME?</v>
      </c>
      <c r="BA246" s="134" t="e" cm="1">
        <f t="array" aca="1" ref="BA246" ca="1">SplitValues("; ",Persons[[#This Row],[Column1]])</f>
        <v>#NAME?</v>
      </c>
      <c r="CA246" s="134" t="e">
        <f ca="1">_xlfn.IFNA(MATCH(BA246,Achievements[[#All],[Column1]],0)+10,"")</f>
        <v>#NAME?</v>
      </c>
      <c r="CB246" s="134" t="str">
        <f>_xlfn.IFNA(MATCH(BB246,Achievements[[#All],[Column1]],0)+10,"")</f>
        <v/>
      </c>
      <c r="CC246" s="134" t="str">
        <f>_xlfn.IFNA(MATCH(BC246,Achievements[[#All],[Column110]],0)+10,"")</f>
        <v/>
      </c>
      <c r="CD246" s="134" t="str">
        <f>_xlfn.IFNA(MATCH(BD246,Achievements[[#All],[Column110]],0)+10,"")</f>
        <v/>
      </c>
      <c r="CE246" s="134" t="str">
        <f>_xlfn.IFNA(MATCH(BE246,Achievements[[#All],[Column111]],0)+10,"")</f>
        <v/>
      </c>
      <c r="CF246" s="134" t="str">
        <f>_xlfn.IFNA(MATCH(BF246,Achievements[[#All],[Column111]],0)+10,"")</f>
        <v/>
      </c>
      <c r="CG246" s="134" t="str">
        <f>_xlfn.IFNA(MATCH(BG246,Achievements[[#All],[Column112]],0)+10,"")</f>
        <v/>
      </c>
      <c r="CH246" s="134" t="str">
        <f>_xlfn.IFNA(MATCH(BH246,Achievements[[#All],[Column112]],0)+10,"")</f>
        <v/>
      </c>
      <c r="CI246" s="134" t="str">
        <f>_xlfn.IFNA(MATCH(BI246,Achievements[[#All],[Column113]],0)+10,"")</f>
        <v/>
      </c>
      <c r="CJ246" s="134" t="str">
        <f>_xlfn.IFNA(MATCH(BJ246,Achievements[[#All],[Column113]],0)+10,"")</f>
        <v/>
      </c>
      <c r="CK246" s="134" t="str">
        <f>_xlfn.IFNA(MATCH(BK246,Achievements[[#All],[Column114]],0)+10,"")</f>
        <v/>
      </c>
      <c r="CL246" s="134" t="str">
        <f>_xlfn.IFNA(MATCH(BL246,Achievements[[#All],[Column114]],0)+10,"")</f>
        <v/>
      </c>
      <c r="CM246" s="134" t="str">
        <f>_xlfn.IFNA(MATCH(BM246,Achievements[[#All],[Column115]],0)+10,"")</f>
        <v/>
      </c>
      <c r="CN246" s="134" t="str">
        <f>_xlfn.IFNA(MATCH(BN246,Achievements[[#All],[Column115]],0)+10,"")</f>
        <v/>
      </c>
      <c r="CO246" s="134" t="str">
        <f>_xlfn.IFNA(MATCH(BO246,Achievements[[#All],[Column116]],0)+10,"")</f>
        <v/>
      </c>
      <c r="CP246" s="134" t="str">
        <f>_xlfn.IFNA(MATCH(BP246,Achievements[[#All],[Column116]],0)+10,"")</f>
        <v/>
      </c>
      <c r="CQ246" s="134" t="str">
        <f>_xlfn.IFNA(MATCH(BQ246,Achievements[[#All],[Column117]],0)+10,"")</f>
        <v/>
      </c>
      <c r="CR246" s="134" t="str">
        <f>_xlfn.IFNA(MATCH(BR246,Achievements[[#All],[Column117]],0)+10,"")</f>
        <v/>
      </c>
      <c r="CS246" s="134" t="str">
        <f>_xlfn.IFNA(MATCH(BS246,Achievements[[#All],[Column118]],0)+10,"")</f>
        <v/>
      </c>
      <c r="CT246" s="134" t="str">
        <f>_xlfn.IFNA(MATCH(BT246,Achievements[[#All],[Column118]],0)+10,"")</f>
        <v/>
      </c>
      <c r="CU246" s="134" t="str">
        <f>_xlfn.IFNA(MATCH(BU246,Achievements[[#All],[Column119]],0)+10,"")</f>
        <v/>
      </c>
      <c r="CV246" s="134" t="str">
        <f>_xlfn.IFNA(MATCH(BV246,Achievements[[#All],[Column119]],0)+10,"")</f>
        <v/>
      </c>
      <c r="CW246" s="134" t="str">
        <f>_xlfn.IFNA(MATCH(BW246,Achievements[[#All],[Column120]],0)+10,"")</f>
        <v/>
      </c>
      <c r="CX246" s="134" t="str">
        <f>_xlfn.IFNA(MATCH(BX246,Achievements[[#All],[Column120]],0)+10,"")</f>
        <v/>
      </c>
      <c r="CY246" s="134" t="str">
        <f>_xlfn.IFNA(MATCH(BY246,Achievements[[#All],[Column121]],0)+10,"")</f>
        <v/>
      </c>
      <c r="CZ246" s="118" t="e">
        <f t="shared" ca="1" si="7"/>
        <v>#NAME?</v>
      </c>
    </row>
    <row r="247" spans="1:104" x14ac:dyDescent="0.25">
      <c r="A247" t="e" cm="1">
        <f t="array" aca="1" ref="A247" ca="1">SplitValues("; ",#REF!)</f>
        <v>#NAME?</v>
      </c>
      <c r="AA247" t="e">
        <f ca="1">_xlfn.IFNA(MATCH(A247,Achievements[[#All],[Column1]],0)+11,"")</f>
        <v>#NAME?</v>
      </c>
      <c r="AB247" s="134" t="str">
        <f>_xlfn.IFNA(MATCH(B247,Achievements[[#All],[Column1]],0)+10,"")</f>
        <v/>
      </c>
      <c r="AC247" s="134" t="str">
        <f>_xlfn.IFNA(MATCH(C247,Achievements[[#All],[Column1]],0)+10,"")</f>
        <v/>
      </c>
      <c r="AD247" s="134" t="str">
        <f>_xlfn.IFNA(MATCH(D247,Achievements[[#All],[Column110]],0)+10,"")</f>
        <v/>
      </c>
      <c r="AE247" s="134" t="str">
        <f>_xlfn.IFNA(MATCH(E247,Achievements[[#All],[Column110]],0)+10,"")</f>
        <v/>
      </c>
      <c r="AF247" s="134" t="str">
        <f>_xlfn.IFNA(MATCH(F247,Achievements[[#All],[Column111]],0)+10,"")</f>
        <v/>
      </c>
      <c r="AG247" s="134" t="str">
        <f>_xlfn.IFNA(MATCH(G247,Achievements[[#All],[Column111]],0)+10,"")</f>
        <v/>
      </c>
      <c r="AH247" s="134" t="str">
        <f>_xlfn.IFNA(MATCH(H247,Achievements[[#All],[Column112]],0)+10,"")</f>
        <v/>
      </c>
      <c r="AI247" s="134" t="str">
        <f>_xlfn.IFNA(MATCH(I247,Achievements[[#All],[Column112]],0)+10,"")</f>
        <v/>
      </c>
      <c r="AJ247" s="134" t="str">
        <f>_xlfn.IFNA(MATCH(J247,Achievements[[#All],[Column113]],0)+10,"")</f>
        <v/>
      </c>
      <c r="AK247" s="134" t="str">
        <f>_xlfn.IFNA(MATCH(K247,Achievements[[#All],[Column113]],0)+10,"")</f>
        <v/>
      </c>
      <c r="AL247" s="134" t="str">
        <f>_xlfn.IFNA(MATCH(L247,Achievements[[#All],[Column114]],0)+10,"")</f>
        <v/>
      </c>
      <c r="AM247" s="134" t="str">
        <f>_xlfn.IFNA(MATCH(M247,Achievements[[#All],[Column114]],0)+10,"")</f>
        <v/>
      </c>
      <c r="AN247" s="134" t="str">
        <f>_xlfn.IFNA(MATCH(N247,Achievements[[#All],[Column115]],0)+10,"")</f>
        <v/>
      </c>
      <c r="AO247" s="134" t="str">
        <f>_xlfn.IFNA(MATCH(O247,Achievements[[#All],[Column115]],0)+10,"")</f>
        <v/>
      </c>
      <c r="AP247" s="134" t="str">
        <f>_xlfn.IFNA(MATCH(P247,Achievements[[#All],[Column116]],0)+10,"")</f>
        <v/>
      </c>
      <c r="AQ247" s="134" t="str">
        <f>_xlfn.IFNA(MATCH(Q247,Achievements[[#All],[Column116]],0)+10,"")</f>
        <v/>
      </c>
      <c r="AR247" s="134" t="str">
        <f>_xlfn.IFNA(MATCH(R247,Achievements[[#All],[Column117]],0)+10,"")</f>
        <v/>
      </c>
      <c r="AS247" s="134" t="str">
        <f>_xlfn.IFNA(MATCH(S247,Achievements[[#All],[Column117]],0)+10,"")</f>
        <v/>
      </c>
      <c r="AT247" s="134" t="str">
        <f>_xlfn.IFNA(MATCH(T247,Achievements[[#All],[Column118]],0)+10,"")</f>
        <v/>
      </c>
      <c r="AU247" s="134" t="str">
        <f>_xlfn.IFNA(MATCH(U247,Achievements[[#All],[Column118]],0)+10,"")</f>
        <v/>
      </c>
      <c r="AV247" s="134" t="str">
        <f>_xlfn.IFNA(MATCH(V247,Achievements[[#All],[Column119]],0)+10,"")</f>
        <v/>
      </c>
      <c r="AW247" s="134" t="str">
        <f>_xlfn.IFNA(MATCH(W247,Achievements[[#All],[Column119]],0)+10,"")</f>
        <v/>
      </c>
      <c r="AX247" s="134" t="str">
        <f>_xlfn.IFNA(MATCH(X247,Achievements[[#All],[Column120]],0)+10,"")</f>
        <v/>
      </c>
      <c r="AY247" s="134" t="str">
        <f>_xlfn.IFNA(MATCH(Y247,Achievements[[#All],[Column120]],0)+10,"")</f>
        <v/>
      </c>
      <c r="AZ247" s="116" t="e">
        <f t="shared" ca="1" si="6"/>
        <v>#NAME?</v>
      </c>
      <c r="BA247" s="134" t="e" cm="1">
        <f t="array" aca="1" ref="BA247" ca="1">SplitValues("; ",Persons[[#This Row],[Column1]])</f>
        <v>#NAME?</v>
      </c>
      <c r="CA247" s="134" t="e">
        <f ca="1">_xlfn.IFNA(MATCH(BA247,Achievements[[#All],[Column1]],0)+10,"")</f>
        <v>#NAME?</v>
      </c>
      <c r="CB247" s="134" t="str">
        <f>_xlfn.IFNA(MATCH(BB247,Achievements[[#All],[Column1]],0)+10,"")</f>
        <v/>
      </c>
      <c r="CC247" s="134" t="str">
        <f>_xlfn.IFNA(MATCH(BC247,Achievements[[#All],[Column110]],0)+10,"")</f>
        <v/>
      </c>
      <c r="CD247" s="134" t="str">
        <f>_xlfn.IFNA(MATCH(BD247,Achievements[[#All],[Column110]],0)+10,"")</f>
        <v/>
      </c>
      <c r="CE247" s="134" t="str">
        <f>_xlfn.IFNA(MATCH(BE247,Achievements[[#All],[Column111]],0)+10,"")</f>
        <v/>
      </c>
      <c r="CF247" s="134" t="str">
        <f>_xlfn.IFNA(MATCH(BF247,Achievements[[#All],[Column111]],0)+10,"")</f>
        <v/>
      </c>
      <c r="CG247" s="134" t="str">
        <f>_xlfn.IFNA(MATCH(BG247,Achievements[[#All],[Column112]],0)+10,"")</f>
        <v/>
      </c>
      <c r="CH247" s="134" t="str">
        <f>_xlfn.IFNA(MATCH(BH247,Achievements[[#All],[Column112]],0)+10,"")</f>
        <v/>
      </c>
      <c r="CI247" s="134" t="str">
        <f>_xlfn.IFNA(MATCH(BI247,Achievements[[#All],[Column113]],0)+10,"")</f>
        <v/>
      </c>
      <c r="CJ247" s="134" t="str">
        <f>_xlfn.IFNA(MATCH(BJ247,Achievements[[#All],[Column113]],0)+10,"")</f>
        <v/>
      </c>
      <c r="CK247" s="134" t="str">
        <f>_xlfn.IFNA(MATCH(BK247,Achievements[[#All],[Column114]],0)+10,"")</f>
        <v/>
      </c>
      <c r="CL247" s="134" t="str">
        <f>_xlfn.IFNA(MATCH(BL247,Achievements[[#All],[Column114]],0)+10,"")</f>
        <v/>
      </c>
      <c r="CM247" s="134" t="str">
        <f>_xlfn.IFNA(MATCH(BM247,Achievements[[#All],[Column115]],0)+10,"")</f>
        <v/>
      </c>
      <c r="CN247" s="134" t="str">
        <f>_xlfn.IFNA(MATCH(BN247,Achievements[[#All],[Column115]],0)+10,"")</f>
        <v/>
      </c>
      <c r="CO247" s="134" t="str">
        <f>_xlfn.IFNA(MATCH(BO247,Achievements[[#All],[Column116]],0)+10,"")</f>
        <v/>
      </c>
      <c r="CP247" s="134" t="str">
        <f>_xlfn.IFNA(MATCH(BP247,Achievements[[#All],[Column116]],0)+10,"")</f>
        <v/>
      </c>
      <c r="CQ247" s="134" t="str">
        <f>_xlfn.IFNA(MATCH(BQ247,Achievements[[#All],[Column117]],0)+10,"")</f>
        <v/>
      </c>
      <c r="CR247" s="134" t="str">
        <f>_xlfn.IFNA(MATCH(BR247,Achievements[[#All],[Column117]],0)+10,"")</f>
        <v/>
      </c>
      <c r="CS247" s="134" t="str">
        <f>_xlfn.IFNA(MATCH(BS247,Achievements[[#All],[Column118]],0)+10,"")</f>
        <v/>
      </c>
      <c r="CT247" s="134" t="str">
        <f>_xlfn.IFNA(MATCH(BT247,Achievements[[#All],[Column118]],0)+10,"")</f>
        <v/>
      </c>
      <c r="CU247" s="134" t="str">
        <f>_xlfn.IFNA(MATCH(BU247,Achievements[[#All],[Column119]],0)+10,"")</f>
        <v/>
      </c>
      <c r="CV247" s="134" t="str">
        <f>_xlfn.IFNA(MATCH(BV247,Achievements[[#All],[Column119]],0)+10,"")</f>
        <v/>
      </c>
      <c r="CW247" s="134" t="str">
        <f>_xlfn.IFNA(MATCH(BW247,Achievements[[#All],[Column120]],0)+10,"")</f>
        <v/>
      </c>
      <c r="CX247" s="134" t="str">
        <f>_xlfn.IFNA(MATCH(BX247,Achievements[[#All],[Column120]],0)+10,"")</f>
        <v/>
      </c>
      <c r="CY247" s="134" t="str">
        <f>_xlfn.IFNA(MATCH(BY247,Achievements[[#All],[Column121]],0)+10,"")</f>
        <v/>
      </c>
      <c r="CZ247" s="118" t="e">
        <f t="shared" ca="1" si="7"/>
        <v>#NAME?</v>
      </c>
    </row>
    <row r="248" spans="1:104" x14ac:dyDescent="0.25">
      <c r="A248" t="e" cm="1">
        <f t="array" aca="1" ref="A248" ca="1">SplitValues("; ",#REF!)</f>
        <v>#NAME?</v>
      </c>
      <c r="AA248" t="e">
        <f ca="1">_xlfn.IFNA(MATCH(A248,Achievements[[#All],[Column1]],0)+11,"")</f>
        <v>#NAME?</v>
      </c>
      <c r="AB248" s="134" t="str">
        <f>_xlfn.IFNA(MATCH(B248,Achievements[[#All],[Column1]],0)+10,"")</f>
        <v/>
      </c>
      <c r="AC248" s="134" t="str">
        <f>_xlfn.IFNA(MATCH(C248,Achievements[[#All],[Column1]],0)+10,"")</f>
        <v/>
      </c>
      <c r="AD248" s="134" t="str">
        <f>_xlfn.IFNA(MATCH(D248,Achievements[[#All],[Column110]],0)+10,"")</f>
        <v/>
      </c>
      <c r="AE248" s="134" t="str">
        <f>_xlfn.IFNA(MATCH(E248,Achievements[[#All],[Column110]],0)+10,"")</f>
        <v/>
      </c>
      <c r="AF248" s="134" t="str">
        <f>_xlfn.IFNA(MATCH(F248,Achievements[[#All],[Column111]],0)+10,"")</f>
        <v/>
      </c>
      <c r="AG248" s="134" t="str">
        <f>_xlfn.IFNA(MATCH(G248,Achievements[[#All],[Column111]],0)+10,"")</f>
        <v/>
      </c>
      <c r="AH248" s="134" t="str">
        <f>_xlfn.IFNA(MATCH(H248,Achievements[[#All],[Column112]],0)+10,"")</f>
        <v/>
      </c>
      <c r="AI248" s="134" t="str">
        <f>_xlfn.IFNA(MATCH(I248,Achievements[[#All],[Column112]],0)+10,"")</f>
        <v/>
      </c>
      <c r="AJ248" s="134" t="str">
        <f>_xlfn.IFNA(MATCH(J248,Achievements[[#All],[Column113]],0)+10,"")</f>
        <v/>
      </c>
      <c r="AK248" s="134" t="str">
        <f>_xlfn.IFNA(MATCH(K248,Achievements[[#All],[Column113]],0)+10,"")</f>
        <v/>
      </c>
      <c r="AL248" s="134" t="str">
        <f>_xlfn.IFNA(MATCH(L248,Achievements[[#All],[Column114]],0)+10,"")</f>
        <v/>
      </c>
      <c r="AM248" s="134" t="str">
        <f>_xlfn.IFNA(MATCH(M248,Achievements[[#All],[Column114]],0)+10,"")</f>
        <v/>
      </c>
      <c r="AN248" s="134" t="str">
        <f>_xlfn.IFNA(MATCH(N248,Achievements[[#All],[Column115]],0)+10,"")</f>
        <v/>
      </c>
      <c r="AO248" s="134" t="str">
        <f>_xlfn.IFNA(MATCH(O248,Achievements[[#All],[Column115]],0)+10,"")</f>
        <v/>
      </c>
      <c r="AP248" s="134" t="str">
        <f>_xlfn.IFNA(MATCH(P248,Achievements[[#All],[Column116]],0)+10,"")</f>
        <v/>
      </c>
      <c r="AQ248" s="134" t="str">
        <f>_xlfn.IFNA(MATCH(Q248,Achievements[[#All],[Column116]],0)+10,"")</f>
        <v/>
      </c>
      <c r="AR248" s="134" t="str">
        <f>_xlfn.IFNA(MATCH(R248,Achievements[[#All],[Column117]],0)+10,"")</f>
        <v/>
      </c>
      <c r="AS248" s="134" t="str">
        <f>_xlfn.IFNA(MATCH(S248,Achievements[[#All],[Column117]],0)+10,"")</f>
        <v/>
      </c>
      <c r="AT248" s="134" t="str">
        <f>_xlfn.IFNA(MATCH(T248,Achievements[[#All],[Column118]],0)+10,"")</f>
        <v/>
      </c>
      <c r="AU248" s="134" t="str">
        <f>_xlfn.IFNA(MATCH(U248,Achievements[[#All],[Column118]],0)+10,"")</f>
        <v/>
      </c>
      <c r="AV248" s="134" t="str">
        <f>_xlfn.IFNA(MATCH(V248,Achievements[[#All],[Column119]],0)+10,"")</f>
        <v/>
      </c>
      <c r="AW248" s="134" t="str">
        <f>_xlfn.IFNA(MATCH(W248,Achievements[[#All],[Column119]],0)+10,"")</f>
        <v/>
      </c>
      <c r="AX248" s="134" t="str">
        <f>_xlfn.IFNA(MATCH(X248,Achievements[[#All],[Column120]],0)+10,"")</f>
        <v/>
      </c>
      <c r="AY248" s="134" t="str">
        <f>_xlfn.IFNA(MATCH(Y248,Achievements[[#All],[Column120]],0)+10,"")</f>
        <v/>
      </c>
      <c r="AZ248" s="116" t="e">
        <f t="shared" ca="1" si="6"/>
        <v>#NAME?</v>
      </c>
      <c r="BA248" s="134" t="e" cm="1">
        <f t="array" aca="1" ref="BA248" ca="1">SplitValues("; ",Persons[[#This Row],[Column1]])</f>
        <v>#NAME?</v>
      </c>
      <c r="CA248" s="134" t="e">
        <f ca="1">_xlfn.IFNA(MATCH(BA248,Achievements[[#All],[Column1]],0)+10,"")</f>
        <v>#NAME?</v>
      </c>
      <c r="CB248" s="134" t="str">
        <f>_xlfn.IFNA(MATCH(BB248,Achievements[[#All],[Column1]],0)+10,"")</f>
        <v/>
      </c>
      <c r="CC248" s="134" t="str">
        <f>_xlfn.IFNA(MATCH(BC248,Achievements[[#All],[Column110]],0)+10,"")</f>
        <v/>
      </c>
      <c r="CD248" s="134" t="str">
        <f>_xlfn.IFNA(MATCH(BD248,Achievements[[#All],[Column110]],0)+10,"")</f>
        <v/>
      </c>
      <c r="CE248" s="134" t="str">
        <f>_xlfn.IFNA(MATCH(BE248,Achievements[[#All],[Column111]],0)+10,"")</f>
        <v/>
      </c>
      <c r="CF248" s="134" t="str">
        <f>_xlfn.IFNA(MATCH(BF248,Achievements[[#All],[Column111]],0)+10,"")</f>
        <v/>
      </c>
      <c r="CG248" s="134" t="str">
        <f>_xlfn.IFNA(MATCH(BG248,Achievements[[#All],[Column112]],0)+10,"")</f>
        <v/>
      </c>
      <c r="CH248" s="134" t="str">
        <f>_xlfn.IFNA(MATCH(BH248,Achievements[[#All],[Column112]],0)+10,"")</f>
        <v/>
      </c>
      <c r="CI248" s="134" t="str">
        <f>_xlfn.IFNA(MATCH(BI248,Achievements[[#All],[Column113]],0)+10,"")</f>
        <v/>
      </c>
      <c r="CJ248" s="134" t="str">
        <f>_xlfn.IFNA(MATCH(BJ248,Achievements[[#All],[Column113]],0)+10,"")</f>
        <v/>
      </c>
      <c r="CK248" s="134" t="str">
        <f>_xlfn.IFNA(MATCH(BK248,Achievements[[#All],[Column114]],0)+10,"")</f>
        <v/>
      </c>
      <c r="CL248" s="134" t="str">
        <f>_xlfn.IFNA(MATCH(BL248,Achievements[[#All],[Column114]],0)+10,"")</f>
        <v/>
      </c>
      <c r="CM248" s="134" t="str">
        <f>_xlfn.IFNA(MATCH(BM248,Achievements[[#All],[Column115]],0)+10,"")</f>
        <v/>
      </c>
      <c r="CN248" s="134" t="str">
        <f>_xlfn.IFNA(MATCH(BN248,Achievements[[#All],[Column115]],0)+10,"")</f>
        <v/>
      </c>
      <c r="CO248" s="134" t="str">
        <f>_xlfn.IFNA(MATCH(BO248,Achievements[[#All],[Column116]],0)+10,"")</f>
        <v/>
      </c>
      <c r="CP248" s="134" t="str">
        <f>_xlfn.IFNA(MATCH(BP248,Achievements[[#All],[Column116]],0)+10,"")</f>
        <v/>
      </c>
      <c r="CQ248" s="134" t="str">
        <f>_xlfn.IFNA(MATCH(BQ248,Achievements[[#All],[Column117]],0)+10,"")</f>
        <v/>
      </c>
      <c r="CR248" s="134" t="str">
        <f>_xlfn.IFNA(MATCH(BR248,Achievements[[#All],[Column117]],0)+10,"")</f>
        <v/>
      </c>
      <c r="CS248" s="134" t="str">
        <f>_xlfn.IFNA(MATCH(BS248,Achievements[[#All],[Column118]],0)+10,"")</f>
        <v/>
      </c>
      <c r="CT248" s="134" t="str">
        <f>_xlfn.IFNA(MATCH(BT248,Achievements[[#All],[Column118]],0)+10,"")</f>
        <v/>
      </c>
      <c r="CU248" s="134" t="str">
        <f>_xlfn.IFNA(MATCH(BU248,Achievements[[#All],[Column119]],0)+10,"")</f>
        <v/>
      </c>
      <c r="CV248" s="134" t="str">
        <f>_xlfn.IFNA(MATCH(BV248,Achievements[[#All],[Column119]],0)+10,"")</f>
        <v/>
      </c>
      <c r="CW248" s="134" t="str">
        <f>_xlfn.IFNA(MATCH(BW248,Achievements[[#All],[Column120]],0)+10,"")</f>
        <v/>
      </c>
      <c r="CX248" s="134" t="str">
        <f>_xlfn.IFNA(MATCH(BX248,Achievements[[#All],[Column120]],0)+10,"")</f>
        <v/>
      </c>
      <c r="CY248" s="134" t="str">
        <f>_xlfn.IFNA(MATCH(BY248,Achievements[[#All],[Column121]],0)+10,"")</f>
        <v/>
      </c>
      <c r="CZ248" s="118" t="e">
        <f t="shared" ca="1" si="7"/>
        <v>#NAME?</v>
      </c>
    </row>
    <row r="249" spans="1:104" x14ac:dyDescent="0.25">
      <c r="A249" t="e" cm="1">
        <f t="array" aca="1" ref="A249" ca="1">SplitValues("; ",#REF!)</f>
        <v>#NAME?</v>
      </c>
      <c r="AA249" t="e">
        <f ca="1">_xlfn.IFNA(MATCH(A249,Achievements[[#All],[Column1]],0)+11,"")</f>
        <v>#NAME?</v>
      </c>
      <c r="AB249" s="134" t="str">
        <f>_xlfn.IFNA(MATCH(B249,Achievements[[#All],[Column1]],0)+10,"")</f>
        <v/>
      </c>
      <c r="AC249" s="134" t="str">
        <f>_xlfn.IFNA(MATCH(C249,Achievements[[#All],[Column1]],0)+10,"")</f>
        <v/>
      </c>
      <c r="AD249" s="134" t="str">
        <f>_xlfn.IFNA(MATCH(D249,Achievements[[#All],[Column110]],0)+10,"")</f>
        <v/>
      </c>
      <c r="AE249" s="134" t="str">
        <f>_xlfn.IFNA(MATCH(E249,Achievements[[#All],[Column110]],0)+10,"")</f>
        <v/>
      </c>
      <c r="AF249" s="134" t="str">
        <f>_xlfn.IFNA(MATCH(F249,Achievements[[#All],[Column111]],0)+10,"")</f>
        <v/>
      </c>
      <c r="AG249" s="134" t="str">
        <f>_xlfn.IFNA(MATCH(G249,Achievements[[#All],[Column111]],0)+10,"")</f>
        <v/>
      </c>
      <c r="AH249" s="134" t="str">
        <f>_xlfn.IFNA(MATCH(H249,Achievements[[#All],[Column112]],0)+10,"")</f>
        <v/>
      </c>
      <c r="AI249" s="134" t="str">
        <f>_xlfn.IFNA(MATCH(I249,Achievements[[#All],[Column112]],0)+10,"")</f>
        <v/>
      </c>
      <c r="AJ249" s="134" t="str">
        <f>_xlfn.IFNA(MATCH(J249,Achievements[[#All],[Column113]],0)+10,"")</f>
        <v/>
      </c>
      <c r="AK249" s="134" t="str">
        <f>_xlfn.IFNA(MATCH(K249,Achievements[[#All],[Column113]],0)+10,"")</f>
        <v/>
      </c>
      <c r="AL249" s="134" t="str">
        <f>_xlfn.IFNA(MATCH(L249,Achievements[[#All],[Column114]],0)+10,"")</f>
        <v/>
      </c>
      <c r="AM249" s="134" t="str">
        <f>_xlfn.IFNA(MATCH(M249,Achievements[[#All],[Column114]],0)+10,"")</f>
        <v/>
      </c>
      <c r="AN249" s="134" t="str">
        <f>_xlfn.IFNA(MATCH(N249,Achievements[[#All],[Column115]],0)+10,"")</f>
        <v/>
      </c>
      <c r="AO249" s="134" t="str">
        <f>_xlfn.IFNA(MATCH(O249,Achievements[[#All],[Column115]],0)+10,"")</f>
        <v/>
      </c>
      <c r="AP249" s="134" t="str">
        <f>_xlfn.IFNA(MATCH(P249,Achievements[[#All],[Column116]],0)+10,"")</f>
        <v/>
      </c>
      <c r="AQ249" s="134" t="str">
        <f>_xlfn.IFNA(MATCH(Q249,Achievements[[#All],[Column116]],0)+10,"")</f>
        <v/>
      </c>
      <c r="AR249" s="134" t="str">
        <f>_xlfn.IFNA(MATCH(R249,Achievements[[#All],[Column117]],0)+10,"")</f>
        <v/>
      </c>
      <c r="AS249" s="134" t="str">
        <f>_xlfn.IFNA(MATCH(S249,Achievements[[#All],[Column117]],0)+10,"")</f>
        <v/>
      </c>
      <c r="AT249" s="134" t="str">
        <f>_xlfn.IFNA(MATCH(T249,Achievements[[#All],[Column118]],0)+10,"")</f>
        <v/>
      </c>
      <c r="AU249" s="134" t="str">
        <f>_xlfn.IFNA(MATCH(U249,Achievements[[#All],[Column118]],0)+10,"")</f>
        <v/>
      </c>
      <c r="AV249" s="134" t="str">
        <f>_xlfn.IFNA(MATCH(V249,Achievements[[#All],[Column119]],0)+10,"")</f>
        <v/>
      </c>
      <c r="AW249" s="134" t="str">
        <f>_xlfn.IFNA(MATCH(W249,Achievements[[#All],[Column119]],0)+10,"")</f>
        <v/>
      </c>
      <c r="AX249" s="134" t="str">
        <f>_xlfn.IFNA(MATCH(X249,Achievements[[#All],[Column120]],0)+10,"")</f>
        <v/>
      </c>
      <c r="AY249" s="134" t="str">
        <f>_xlfn.IFNA(MATCH(Y249,Achievements[[#All],[Column120]],0)+10,"")</f>
        <v/>
      </c>
      <c r="AZ249" s="116" t="e">
        <f t="shared" ca="1" si="6"/>
        <v>#NAME?</v>
      </c>
      <c r="BA249" s="134" t="e" cm="1">
        <f t="array" aca="1" ref="BA249" ca="1">SplitValues("; ",Persons[[#This Row],[Column1]])</f>
        <v>#NAME?</v>
      </c>
      <c r="CA249" s="134" t="e">
        <f ca="1">_xlfn.IFNA(MATCH(BA249,Achievements[[#All],[Column1]],0)+10,"")</f>
        <v>#NAME?</v>
      </c>
      <c r="CB249" s="134" t="str">
        <f>_xlfn.IFNA(MATCH(BB249,Achievements[[#All],[Column1]],0)+10,"")</f>
        <v/>
      </c>
      <c r="CC249" s="134" t="str">
        <f>_xlfn.IFNA(MATCH(BC249,Achievements[[#All],[Column110]],0)+10,"")</f>
        <v/>
      </c>
      <c r="CD249" s="134" t="str">
        <f>_xlfn.IFNA(MATCH(BD249,Achievements[[#All],[Column110]],0)+10,"")</f>
        <v/>
      </c>
      <c r="CE249" s="134" t="str">
        <f>_xlfn.IFNA(MATCH(BE249,Achievements[[#All],[Column111]],0)+10,"")</f>
        <v/>
      </c>
      <c r="CF249" s="134" t="str">
        <f>_xlfn.IFNA(MATCH(BF249,Achievements[[#All],[Column111]],0)+10,"")</f>
        <v/>
      </c>
      <c r="CG249" s="134" t="str">
        <f>_xlfn.IFNA(MATCH(BG249,Achievements[[#All],[Column112]],0)+10,"")</f>
        <v/>
      </c>
      <c r="CH249" s="134" t="str">
        <f>_xlfn.IFNA(MATCH(BH249,Achievements[[#All],[Column112]],0)+10,"")</f>
        <v/>
      </c>
      <c r="CI249" s="134" t="str">
        <f>_xlfn.IFNA(MATCH(BI249,Achievements[[#All],[Column113]],0)+10,"")</f>
        <v/>
      </c>
      <c r="CJ249" s="134" t="str">
        <f>_xlfn.IFNA(MATCH(BJ249,Achievements[[#All],[Column113]],0)+10,"")</f>
        <v/>
      </c>
      <c r="CK249" s="134" t="str">
        <f>_xlfn.IFNA(MATCH(BK249,Achievements[[#All],[Column114]],0)+10,"")</f>
        <v/>
      </c>
      <c r="CL249" s="134" t="str">
        <f>_xlfn.IFNA(MATCH(BL249,Achievements[[#All],[Column114]],0)+10,"")</f>
        <v/>
      </c>
      <c r="CM249" s="134" t="str">
        <f>_xlfn.IFNA(MATCH(BM249,Achievements[[#All],[Column115]],0)+10,"")</f>
        <v/>
      </c>
      <c r="CN249" s="134" t="str">
        <f>_xlfn.IFNA(MATCH(BN249,Achievements[[#All],[Column115]],0)+10,"")</f>
        <v/>
      </c>
      <c r="CO249" s="134" t="str">
        <f>_xlfn.IFNA(MATCH(BO249,Achievements[[#All],[Column116]],0)+10,"")</f>
        <v/>
      </c>
      <c r="CP249" s="134" t="str">
        <f>_xlfn.IFNA(MATCH(BP249,Achievements[[#All],[Column116]],0)+10,"")</f>
        <v/>
      </c>
      <c r="CQ249" s="134" t="str">
        <f>_xlfn.IFNA(MATCH(BQ249,Achievements[[#All],[Column117]],0)+10,"")</f>
        <v/>
      </c>
      <c r="CR249" s="134" t="str">
        <f>_xlfn.IFNA(MATCH(BR249,Achievements[[#All],[Column117]],0)+10,"")</f>
        <v/>
      </c>
      <c r="CS249" s="134" t="str">
        <f>_xlfn.IFNA(MATCH(BS249,Achievements[[#All],[Column118]],0)+10,"")</f>
        <v/>
      </c>
      <c r="CT249" s="134" t="str">
        <f>_xlfn.IFNA(MATCH(BT249,Achievements[[#All],[Column118]],0)+10,"")</f>
        <v/>
      </c>
      <c r="CU249" s="134" t="str">
        <f>_xlfn.IFNA(MATCH(BU249,Achievements[[#All],[Column119]],0)+10,"")</f>
        <v/>
      </c>
      <c r="CV249" s="134" t="str">
        <f>_xlfn.IFNA(MATCH(BV249,Achievements[[#All],[Column119]],0)+10,"")</f>
        <v/>
      </c>
      <c r="CW249" s="134" t="str">
        <f>_xlfn.IFNA(MATCH(BW249,Achievements[[#All],[Column120]],0)+10,"")</f>
        <v/>
      </c>
      <c r="CX249" s="134" t="str">
        <f>_xlfn.IFNA(MATCH(BX249,Achievements[[#All],[Column120]],0)+10,"")</f>
        <v/>
      </c>
      <c r="CY249" s="134" t="str">
        <f>_xlfn.IFNA(MATCH(BY249,Achievements[[#All],[Column121]],0)+10,"")</f>
        <v/>
      </c>
      <c r="CZ249" s="118" t="e">
        <f t="shared" ca="1" si="7"/>
        <v>#NAME?</v>
      </c>
    </row>
    <row r="250" spans="1:104" x14ac:dyDescent="0.25">
      <c r="A250" t="e" cm="1">
        <f t="array" aca="1" ref="A250" ca="1">SplitValues("; ",#REF!)</f>
        <v>#NAME?</v>
      </c>
      <c r="AA250" t="e">
        <f ca="1">_xlfn.IFNA(MATCH(A250,Achievements[[#All],[Column1]],0)+11,"")</f>
        <v>#NAME?</v>
      </c>
      <c r="AB250" s="134" t="str">
        <f>_xlfn.IFNA(MATCH(B250,Achievements[[#All],[Column1]],0)+10,"")</f>
        <v/>
      </c>
      <c r="AC250" s="134" t="str">
        <f>_xlfn.IFNA(MATCH(C250,Achievements[[#All],[Column1]],0)+10,"")</f>
        <v/>
      </c>
      <c r="AD250" s="134" t="str">
        <f>_xlfn.IFNA(MATCH(D250,Achievements[[#All],[Column110]],0)+10,"")</f>
        <v/>
      </c>
      <c r="AE250" s="134" t="str">
        <f>_xlfn.IFNA(MATCH(E250,Achievements[[#All],[Column110]],0)+10,"")</f>
        <v/>
      </c>
      <c r="AF250" s="134" t="str">
        <f>_xlfn.IFNA(MATCH(F250,Achievements[[#All],[Column111]],0)+10,"")</f>
        <v/>
      </c>
      <c r="AG250" s="134" t="str">
        <f>_xlfn.IFNA(MATCH(G250,Achievements[[#All],[Column111]],0)+10,"")</f>
        <v/>
      </c>
      <c r="AH250" s="134" t="str">
        <f>_xlfn.IFNA(MATCH(H250,Achievements[[#All],[Column112]],0)+10,"")</f>
        <v/>
      </c>
      <c r="AI250" s="134" t="str">
        <f>_xlfn.IFNA(MATCH(I250,Achievements[[#All],[Column112]],0)+10,"")</f>
        <v/>
      </c>
      <c r="AJ250" s="134" t="str">
        <f>_xlfn.IFNA(MATCH(J250,Achievements[[#All],[Column113]],0)+10,"")</f>
        <v/>
      </c>
      <c r="AK250" s="134" t="str">
        <f>_xlfn.IFNA(MATCH(K250,Achievements[[#All],[Column113]],0)+10,"")</f>
        <v/>
      </c>
      <c r="AL250" s="134" t="str">
        <f>_xlfn.IFNA(MATCH(L250,Achievements[[#All],[Column114]],0)+10,"")</f>
        <v/>
      </c>
      <c r="AM250" s="134" t="str">
        <f>_xlfn.IFNA(MATCH(M250,Achievements[[#All],[Column114]],0)+10,"")</f>
        <v/>
      </c>
      <c r="AN250" s="134" t="str">
        <f>_xlfn.IFNA(MATCH(N250,Achievements[[#All],[Column115]],0)+10,"")</f>
        <v/>
      </c>
      <c r="AO250" s="134" t="str">
        <f>_xlfn.IFNA(MATCH(O250,Achievements[[#All],[Column115]],0)+10,"")</f>
        <v/>
      </c>
      <c r="AP250" s="134" t="str">
        <f>_xlfn.IFNA(MATCH(P250,Achievements[[#All],[Column116]],0)+10,"")</f>
        <v/>
      </c>
      <c r="AQ250" s="134" t="str">
        <f>_xlfn.IFNA(MATCH(Q250,Achievements[[#All],[Column116]],0)+10,"")</f>
        <v/>
      </c>
      <c r="AR250" s="134" t="str">
        <f>_xlfn.IFNA(MATCH(R250,Achievements[[#All],[Column117]],0)+10,"")</f>
        <v/>
      </c>
      <c r="AS250" s="134" t="str">
        <f>_xlfn.IFNA(MATCH(S250,Achievements[[#All],[Column117]],0)+10,"")</f>
        <v/>
      </c>
      <c r="AT250" s="134" t="str">
        <f>_xlfn.IFNA(MATCH(T250,Achievements[[#All],[Column118]],0)+10,"")</f>
        <v/>
      </c>
      <c r="AU250" s="134" t="str">
        <f>_xlfn.IFNA(MATCH(U250,Achievements[[#All],[Column118]],0)+10,"")</f>
        <v/>
      </c>
      <c r="AV250" s="134" t="str">
        <f>_xlfn.IFNA(MATCH(V250,Achievements[[#All],[Column119]],0)+10,"")</f>
        <v/>
      </c>
      <c r="AW250" s="134" t="str">
        <f>_xlfn.IFNA(MATCH(W250,Achievements[[#All],[Column119]],0)+10,"")</f>
        <v/>
      </c>
      <c r="AX250" s="134" t="str">
        <f>_xlfn.IFNA(MATCH(X250,Achievements[[#All],[Column120]],0)+10,"")</f>
        <v/>
      </c>
      <c r="AY250" s="134" t="str">
        <f>_xlfn.IFNA(MATCH(Y250,Achievements[[#All],[Column120]],0)+10,"")</f>
        <v/>
      </c>
      <c r="AZ250" s="116" t="e">
        <f t="shared" ca="1" si="6"/>
        <v>#NAME?</v>
      </c>
      <c r="BA250" s="134" t="e" cm="1">
        <f t="array" aca="1" ref="BA250" ca="1">SplitValues("; ",Persons[[#This Row],[Column1]])</f>
        <v>#NAME?</v>
      </c>
      <c r="CA250" s="134" t="e">
        <f ca="1">_xlfn.IFNA(MATCH(BA250,Achievements[[#All],[Column1]],0)+10,"")</f>
        <v>#NAME?</v>
      </c>
      <c r="CB250" s="134" t="str">
        <f>_xlfn.IFNA(MATCH(BB250,Achievements[[#All],[Column1]],0)+10,"")</f>
        <v/>
      </c>
      <c r="CC250" s="134" t="str">
        <f>_xlfn.IFNA(MATCH(BC250,Achievements[[#All],[Column110]],0)+10,"")</f>
        <v/>
      </c>
      <c r="CD250" s="134" t="str">
        <f>_xlfn.IFNA(MATCH(BD250,Achievements[[#All],[Column110]],0)+10,"")</f>
        <v/>
      </c>
      <c r="CE250" s="134" t="str">
        <f>_xlfn.IFNA(MATCH(BE250,Achievements[[#All],[Column111]],0)+10,"")</f>
        <v/>
      </c>
      <c r="CF250" s="134" t="str">
        <f>_xlfn.IFNA(MATCH(BF250,Achievements[[#All],[Column111]],0)+10,"")</f>
        <v/>
      </c>
      <c r="CG250" s="134" t="str">
        <f>_xlfn.IFNA(MATCH(BG250,Achievements[[#All],[Column112]],0)+10,"")</f>
        <v/>
      </c>
      <c r="CH250" s="134" t="str">
        <f>_xlfn.IFNA(MATCH(BH250,Achievements[[#All],[Column112]],0)+10,"")</f>
        <v/>
      </c>
      <c r="CI250" s="134" t="str">
        <f>_xlfn.IFNA(MATCH(BI250,Achievements[[#All],[Column113]],0)+10,"")</f>
        <v/>
      </c>
      <c r="CJ250" s="134" t="str">
        <f>_xlfn.IFNA(MATCH(BJ250,Achievements[[#All],[Column113]],0)+10,"")</f>
        <v/>
      </c>
      <c r="CK250" s="134" t="str">
        <f>_xlfn.IFNA(MATCH(BK250,Achievements[[#All],[Column114]],0)+10,"")</f>
        <v/>
      </c>
      <c r="CL250" s="134" t="str">
        <f>_xlfn.IFNA(MATCH(BL250,Achievements[[#All],[Column114]],0)+10,"")</f>
        <v/>
      </c>
      <c r="CM250" s="134" t="str">
        <f>_xlfn.IFNA(MATCH(BM250,Achievements[[#All],[Column115]],0)+10,"")</f>
        <v/>
      </c>
      <c r="CN250" s="134" t="str">
        <f>_xlfn.IFNA(MATCH(BN250,Achievements[[#All],[Column115]],0)+10,"")</f>
        <v/>
      </c>
      <c r="CO250" s="134" t="str">
        <f>_xlfn.IFNA(MATCH(BO250,Achievements[[#All],[Column116]],0)+10,"")</f>
        <v/>
      </c>
      <c r="CP250" s="134" t="str">
        <f>_xlfn.IFNA(MATCH(BP250,Achievements[[#All],[Column116]],0)+10,"")</f>
        <v/>
      </c>
      <c r="CQ250" s="134" t="str">
        <f>_xlfn.IFNA(MATCH(BQ250,Achievements[[#All],[Column117]],0)+10,"")</f>
        <v/>
      </c>
      <c r="CR250" s="134" t="str">
        <f>_xlfn.IFNA(MATCH(BR250,Achievements[[#All],[Column117]],0)+10,"")</f>
        <v/>
      </c>
      <c r="CS250" s="134" t="str">
        <f>_xlfn.IFNA(MATCH(BS250,Achievements[[#All],[Column118]],0)+10,"")</f>
        <v/>
      </c>
      <c r="CT250" s="134" t="str">
        <f>_xlfn.IFNA(MATCH(BT250,Achievements[[#All],[Column118]],0)+10,"")</f>
        <v/>
      </c>
      <c r="CU250" s="134" t="str">
        <f>_xlfn.IFNA(MATCH(BU250,Achievements[[#All],[Column119]],0)+10,"")</f>
        <v/>
      </c>
      <c r="CV250" s="134" t="str">
        <f>_xlfn.IFNA(MATCH(BV250,Achievements[[#All],[Column119]],0)+10,"")</f>
        <v/>
      </c>
      <c r="CW250" s="134" t="str">
        <f>_xlfn.IFNA(MATCH(BW250,Achievements[[#All],[Column120]],0)+10,"")</f>
        <v/>
      </c>
      <c r="CX250" s="134" t="str">
        <f>_xlfn.IFNA(MATCH(BX250,Achievements[[#All],[Column120]],0)+10,"")</f>
        <v/>
      </c>
      <c r="CY250" s="134" t="str">
        <f>_xlfn.IFNA(MATCH(BY250,Achievements[[#All],[Column121]],0)+10,"")</f>
        <v/>
      </c>
      <c r="CZ250" s="118" t="e">
        <f t="shared" ca="1" si="7"/>
        <v>#NAME?</v>
      </c>
    </row>
    <row r="251" spans="1:104" x14ac:dyDescent="0.25">
      <c r="A251" t="e" cm="1">
        <f t="array" aca="1" ref="A251" ca="1">SplitValues("; ",#REF!)</f>
        <v>#NAME?</v>
      </c>
      <c r="AA251" t="e">
        <f ca="1">_xlfn.IFNA(MATCH(A251,Achievements[[#All],[Column1]],0)+11,"")</f>
        <v>#NAME?</v>
      </c>
      <c r="AB251" s="134" t="str">
        <f>_xlfn.IFNA(MATCH(B251,Achievements[[#All],[Column1]],0)+10,"")</f>
        <v/>
      </c>
      <c r="AC251" s="134" t="str">
        <f>_xlfn.IFNA(MATCH(C251,Achievements[[#All],[Column1]],0)+10,"")</f>
        <v/>
      </c>
      <c r="AD251" s="134" t="str">
        <f>_xlfn.IFNA(MATCH(D251,Achievements[[#All],[Column110]],0)+10,"")</f>
        <v/>
      </c>
      <c r="AE251" s="134" t="str">
        <f>_xlfn.IFNA(MATCH(E251,Achievements[[#All],[Column110]],0)+10,"")</f>
        <v/>
      </c>
      <c r="AF251" s="134" t="str">
        <f>_xlfn.IFNA(MATCH(F251,Achievements[[#All],[Column111]],0)+10,"")</f>
        <v/>
      </c>
      <c r="AG251" s="134" t="str">
        <f>_xlfn.IFNA(MATCH(G251,Achievements[[#All],[Column111]],0)+10,"")</f>
        <v/>
      </c>
      <c r="AH251" s="134" t="str">
        <f>_xlfn.IFNA(MATCH(H251,Achievements[[#All],[Column112]],0)+10,"")</f>
        <v/>
      </c>
      <c r="AI251" s="134" t="str">
        <f>_xlfn.IFNA(MATCH(I251,Achievements[[#All],[Column112]],0)+10,"")</f>
        <v/>
      </c>
      <c r="AJ251" s="134" t="str">
        <f>_xlfn.IFNA(MATCH(J251,Achievements[[#All],[Column113]],0)+10,"")</f>
        <v/>
      </c>
      <c r="AK251" s="134" t="str">
        <f>_xlfn.IFNA(MATCH(K251,Achievements[[#All],[Column113]],0)+10,"")</f>
        <v/>
      </c>
      <c r="AL251" s="134" t="str">
        <f>_xlfn.IFNA(MATCH(L251,Achievements[[#All],[Column114]],0)+10,"")</f>
        <v/>
      </c>
      <c r="AM251" s="134" t="str">
        <f>_xlfn.IFNA(MATCH(M251,Achievements[[#All],[Column114]],0)+10,"")</f>
        <v/>
      </c>
      <c r="AN251" s="134" t="str">
        <f>_xlfn.IFNA(MATCH(N251,Achievements[[#All],[Column115]],0)+10,"")</f>
        <v/>
      </c>
      <c r="AO251" s="134" t="str">
        <f>_xlfn.IFNA(MATCH(O251,Achievements[[#All],[Column115]],0)+10,"")</f>
        <v/>
      </c>
      <c r="AP251" s="134" t="str">
        <f>_xlfn.IFNA(MATCH(P251,Achievements[[#All],[Column116]],0)+10,"")</f>
        <v/>
      </c>
      <c r="AQ251" s="134" t="str">
        <f>_xlfn.IFNA(MATCH(Q251,Achievements[[#All],[Column116]],0)+10,"")</f>
        <v/>
      </c>
      <c r="AR251" s="134" t="str">
        <f>_xlfn.IFNA(MATCH(R251,Achievements[[#All],[Column117]],0)+10,"")</f>
        <v/>
      </c>
      <c r="AS251" s="134" t="str">
        <f>_xlfn.IFNA(MATCH(S251,Achievements[[#All],[Column117]],0)+10,"")</f>
        <v/>
      </c>
      <c r="AT251" s="134" t="str">
        <f>_xlfn.IFNA(MATCH(T251,Achievements[[#All],[Column118]],0)+10,"")</f>
        <v/>
      </c>
      <c r="AU251" s="134" t="str">
        <f>_xlfn.IFNA(MATCH(U251,Achievements[[#All],[Column118]],0)+10,"")</f>
        <v/>
      </c>
      <c r="AV251" s="134" t="str">
        <f>_xlfn.IFNA(MATCH(V251,Achievements[[#All],[Column119]],0)+10,"")</f>
        <v/>
      </c>
      <c r="AW251" s="134" t="str">
        <f>_xlfn.IFNA(MATCH(W251,Achievements[[#All],[Column119]],0)+10,"")</f>
        <v/>
      </c>
      <c r="AX251" s="134" t="str">
        <f>_xlfn.IFNA(MATCH(X251,Achievements[[#All],[Column120]],0)+10,"")</f>
        <v/>
      </c>
      <c r="AY251" s="134" t="str">
        <f>_xlfn.IFNA(MATCH(Y251,Achievements[[#All],[Column120]],0)+10,"")</f>
        <v/>
      </c>
      <c r="AZ251" s="116" t="e">
        <f t="shared" ca="1" si="6"/>
        <v>#NAME?</v>
      </c>
      <c r="BA251" s="134" t="e" cm="1">
        <f t="array" aca="1" ref="BA251" ca="1">SplitValues("; ",Persons[[#This Row],[Column1]])</f>
        <v>#NAME?</v>
      </c>
      <c r="CA251" s="134" t="e">
        <f ca="1">_xlfn.IFNA(MATCH(BA251,Achievements[[#All],[Column1]],0)+10,"")</f>
        <v>#NAME?</v>
      </c>
      <c r="CB251" s="134" t="str">
        <f>_xlfn.IFNA(MATCH(BB251,Achievements[[#All],[Column1]],0)+10,"")</f>
        <v/>
      </c>
      <c r="CC251" s="134" t="str">
        <f>_xlfn.IFNA(MATCH(BC251,Achievements[[#All],[Column110]],0)+10,"")</f>
        <v/>
      </c>
      <c r="CD251" s="134" t="str">
        <f>_xlfn.IFNA(MATCH(BD251,Achievements[[#All],[Column110]],0)+10,"")</f>
        <v/>
      </c>
      <c r="CE251" s="134" t="str">
        <f>_xlfn.IFNA(MATCH(BE251,Achievements[[#All],[Column111]],0)+10,"")</f>
        <v/>
      </c>
      <c r="CF251" s="134" t="str">
        <f>_xlfn.IFNA(MATCH(BF251,Achievements[[#All],[Column111]],0)+10,"")</f>
        <v/>
      </c>
      <c r="CG251" s="134" t="str">
        <f>_xlfn.IFNA(MATCH(BG251,Achievements[[#All],[Column112]],0)+10,"")</f>
        <v/>
      </c>
      <c r="CH251" s="134" t="str">
        <f>_xlfn.IFNA(MATCH(BH251,Achievements[[#All],[Column112]],0)+10,"")</f>
        <v/>
      </c>
      <c r="CI251" s="134" t="str">
        <f>_xlfn.IFNA(MATCH(BI251,Achievements[[#All],[Column113]],0)+10,"")</f>
        <v/>
      </c>
      <c r="CJ251" s="134" t="str">
        <f>_xlfn.IFNA(MATCH(BJ251,Achievements[[#All],[Column113]],0)+10,"")</f>
        <v/>
      </c>
      <c r="CK251" s="134" t="str">
        <f>_xlfn.IFNA(MATCH(BK251,Achievements[[#All],[Column114]],0)+10,"")</f>
        <v/>
      </c>
      <c r="CL251" s="134" t="str">
        <f>_xlfn.IFNA(MATCH(BL251,Achievements[[#All],[Column114]],0)+10,"")</f>
        <v/>
      </c>
      <c r="CM251" s="134" t="str">
        <f>_xlfn.IFNA(MATCH(BM251,Achievements[[#All],[Column115]],0)+10,"")</f>
        <v/>
      </c>
      <c r="CN251" s="134" t="str">
        <f>_xlfn.IFNA(MATCH(BN251,Achievements[[#All],[Column115]],0)+10,"")</f>
        <v/>
      </c>
      <c r="CO251" s="134" t="str">
        <f>_xlfn.IFNA(MATCH(BO251,Achievements[[#All],[Column116]],0)+10,"")</f>
        <v/>
      </c>
      <c r="CP251" s="134" t="str">
        <f>_xlfn.IFNA(MATCH(BP251,Achievements[[#All],[Column116]],0)+10,"")</f>
        <v/>
      </c>
      <c r="CQ251" s="134" t="str">
        <f>_xlfn.IFNA(MATCH(BQ251,Achievements[[#All],[Column117]],0)+10,"")</f>
        <v/>
      </c>
      <c r="CR251" s="134" t="str">
        <f>_xlfn.IFNA(MATCH(BR251,Achievements[[#All],[Column117]],0)+10,"")</f>
        <v/>
      </c>
      <c r="CS251" s="134" t="str">
        <f>_xlfn.IFNA(MATCH(BS251,Achievements[[#All],[Column118]],0)+10,"")</f>
        <v/>
      </c>
      <c r="CT251" s="134" t="str">
        <f>_xlfn.IFNA(MATCH(BT251,Achievements[[#All],[Column118]],0)+10,"")</f>
        <v/>
      </c>
      <c r="CU251" s="134" t="str">
        <f>_xlfn.IFNA(MATCH(BU251,Achievements[[#All],[Column119]],0)+10,"")</f>
        <v/>
      </c>
      <c r="CV251" s="134" t="str">
        <f>_xlfn.IFNA(MATCH(BV251,Achievements[[#All],[Column119]],0)+10,"")</f>
        <v/>
      </c>
      <c r="CW251" s="134" t="str">
        <f>_xlfn.IFNA(MATCH(BW251,Achievements[[#All],[Column120]],0)+10,"")</f>
        <v/>
      </c>
      <c r="CX251" s="134" t="str">
        <f>_xlfn.IFNA(MATCH(BX251,Achievements[[#All],[Column120]],0)+10,"")</f>
        <v/>
      </c>
      <c r="CY251" s="134" t="str">
        <f>_xlfn.IFNA(MATCH(BY251,Achievements[[#All],[Column121]],0)+10,"")</f>
        <v/>
      </c>
      <c r="CZ251" s="118" t="e">
        <f t="shared" ca="1" si="7"/>
        <v>#NAME?</v>
      </c>
    </row>
    <row r="252" spans="1:104" x14ac:dyDescent="0.25">
      <c r="A252" t="e" cm="1">
        <f t="array" aca="1" ref="A252" ca="1">SplitValues("; ",#REF!)</f>
        <v>#NAME?</v>
      </c>
      <c r="AA252" t="e">
        <f ca="1">_xlfn.IFNA(MATCH(A252,Achievements[[#All],[Column1]],0)+11,"")</f>
        <v>#NAME?</v>
      </c>
      <c r="AB252" s="134" t="str">
        <f>_xlfn.IFNA(MATCH(B252,Achievements[[#All],[Column1]],0)+10,"")</f>
        <v/>
      </c>
      <c r="AC252" s="134" t="str">
        <f>_xlfn.IFNA(MATCH(C252,Achievements[[#All],[Column1]],0)+10,"")</f>
        <v/>
      </c>
      <c r="AD252" s="134" t="str">
        <f>_xlfn.IFNA(MATCH(D252,Achievements[[#All],[Column110]],0)+10,"")</f>
        <v/>
      </c>
      <c r="AE252" s="134" t="str">
        <f>_xlfn.IFNA(MATCH(E252,Achievements[[#All],[Column110]],0)+10,"")</f>
        <v/>
      </c>
      <c r="AF252" s="134" t="str">
        <f>_xlfn.IFNA(MATCH(F252,Achievements[[#All],[Column111]],0)+10,"")</f>
        <v/>
      </c>
      <c r="AG252" s="134" t="str">
        <f>_xlfn.IFNA(MATCH(G252,Achievements[[#All],[Column111]],0)+10,"")</f>
        <v/>
      </c>
      <c r="AH252" s="134" t="str">
        <f>_xlfn.IFNA(MATCH(H252,Achievements[[#All],[Column112]],0)+10,"")</f>
        <v/>
      </c>
      <c r="AI252" s="134" t="str">
        <f>_xlfn.IFNA(MATCH(I252,Achievements[[#All],[Column112]],0)+10,"")</f>
        <v/>
      </c>
      <c r="AJ252" s="134" t="str">
        <f>_xlfn.IFNA(MATCH(J252,Achievements[[#All],[Column113]],0)+10,"")</f>
        <v/>
      </c>
      <c r="AK252" s="134" t="str">
        <f>_xlfn.IFNA(MATCH(K252,Achievements[[#All],[Column113]],0)+10,"")</f>
        <v/>
      </c>
      <c r="AL252" s="134" t="str">
        <f>_xlfn.IFNA(MATCH(L252,Achievements[[#All],[Column114]],0)+10,"")</f>
        <v/>
      </c>
      <c r="AM252" s="134" t="str">
        <f>_xlfn.IFNA(MATCH(M252,Achievements[[#All],[Column114]],0)+10,"")</f>
        <v/>
      </c>
      <c r="AN252" s="134" t="str">
        <f>_xlfn.IFNA(MATCH(N252,Achievements[[#All],[Column115]],0)+10,"")</f>
        <v/>
      </c>
      <c r="AO252" s="134" t="str">
        <f>_xlfn.IFNA(MATCH(O252,Achievements[[#All],[Column115]],0)+10,"")</f>
        <v/>
      </c>
      <c r="AP252" s="134" t="str">
        <f>_xlfn.IFNA(MATCH(P252,Achievements[[#All],[Column116]],0)+10,"")</f>
        <v/>
      </c>
      <c r="AQ252" s="134" t="str">
        <f>_xlfn.IFNA(MATCH(Q252,Achievements[[#All],[Column116]],0)+10,"")</f>
        <v/>
      </c>
      <c r="AR252" s="134" t="str">
        <f>_xlfn.IFNA(MATCH(R252,Achievements[[#All],[Column117]],0)+10,"")</f>
        <v/>
      </c>
      <c r="AS252" s="134" t="str">
        <f>_xlfn.IFNA(MATCH(S252,Achievements[[#All],[Column117]],0)+10,"")</f>
        <v/>
      </c>
      <c r="AT252" s="134" t="str">
        <f>_xlfn.IFNA(MATCH(T252,Achievements[[#All],[Column118]],0)+10,"")</f>
        <v/>
      </c>
      <c r="AU252" s="134" t="str">
        <f>_xlfn.IFNA(MATCH(U252,Achievements[[#All],[Column118]],0)+10,"")</f>
        <v/>
      </c>
      <c r="AV252" s="134" t="str">
        <f>_xlfn.IFNA(MATCH(V252,Achievements[[#All],[Column119]],0)+10,"")</f>
        <v/>
      </c>
      <c r="AW252" s="134" t="str">
        <f>_xlfn.IFNA(MATCH(W252,Achievements[[#All],[Column119]],0)+10,"")</f>
        <v/>
      </c>
      <c r="AX252" s="134" t="str">
        <f>_xlfn.IFNA(MATCH(X252,Achievements[[#All],[Column120]],0)+10,"")</f>
        <v/>
      </c>
      <c r="AY252" s="134" t="str">
        <f>_xlfn.IFNA(MATCH(Y252,Achievements[[#All],[Column120]],0)+10,"")</f>
        <v/>
      </c>
      <c r="AZ252" s="116" t="e">
        <f t="shared" ca="1" si="6"/>
        <v>#NAME?</v>
      </c>
      <c r="BA252" s="134" t="e" cm="1">
        <f t="array" aca="1" ref="BA252" ca="1">SplitValues("; ",Persons[[#This Row],[Column1]])</f>
        <v>#NAME?</v>
      </c>
      <c r="CA252" s="134" t="e">
        <f ca="1">_xlfn.IFNA(MATCH(BA252,Achievements[[#All],[Column1]],0)+10,"")</f>
        <v>#NAME?</v>
      </c>
      <c r="CB252" s="134" t="str">
        <f>_xlfn.IFNA(MATCH(BB252,Achievements[[#All],[Column1]],0)+10,"")</f>
        <v/>
      </c>
      <c r="CC252" s="134" t="str">
        <f>_xlfn.IFNA(MATCH(BC252,Achievements[[#All],[Column110]],0)+10,"")</f>
        <v/>
      </c>
      <c r="CD252" s="134" t="str">
        <f>_xlfn.IFNA(MATCH(BD252,Achievements[[#All],[Column110]],0)+10,"")</f>
        <v/>
      </c>
      <c r="CE252" s="134" t="str">
        <f>_xlfn.IFNA(MATCH(BE252,Achievements[[#All],[Column111]],0)+10,"")</f>
        <v/>
      </c>
      <c r="CF252" s="134" t="str">
        <f>_xlfn.IFNA(MATCH(BF252,Achievements[[#All],[Column111]],0)+10,"")</f>
        <v/>
      </c>
      <c r="CG252" s="134" t="str">
        <f>_xlfn.IFNA(MATCH(BG252,Achievements[[#All],[Column112]],0)+10,"")</f>
        <v/>
      </c>
      <c r="CH252" s="134" t="str">
        <f>_xlfn.IFNA(MATCH(BH252,Achievements[[#All],[Column112]],0)+10,"")</f>
        <v/>
      </c>
      <c r="CI252" s="134" t="str">
        <f>_xlfn.IFNA(MATCH(BI252,Achievements[[#All],[Column113]],0)+10,"")</f>
        <v/>
      </c>
      <c r="CJ252" s="134" t="str">
        <f>_xlfn.IFNA(MATCH(BJ252,Achievements[[#All],[Column113]],0)+10,"")</f>
        <v/>
      </c>
      <c r="CK252" s="134" t="str">
        <f>_xlfn.IFNA(MATCH(BK252,Achievements[[#All],[Column114]],0)+10,"")</f>
        <v/>
      </c>
      <c r="CL252" s="134" t="str">
        <f>_xlfn.IFNA(MATCH(BL252,Achievements[[#All],[Column114]],0)+10,"")</f>
        <v/>
      </c>
      <c r="CM252" s="134" t="str">
        <f>_xlfn.IFNA(MATCH(BM252,Achievements[[#All],[Column115]],0)+10,"")</f>
        <v/>
      </c>
      <c r="CN252" s="134" t="str">
        <f>_xlfn.IFNA(MATCH(BN252,Achievements[[#All],[Column115]],0)+10,"")</f>
        <v/>
      </c>
      <c r="CO252" s="134" t="str">
        <f>_xlfn.IFNA(MATCH(BO252,Achievements[[#All],[Column116]],0)+10,"")</f>
        <v/>
      </c>
      <c r="CP252" s="134" t="str">
        <f>_xlfn.IFNA(MATCH(BP252,Achievements[[#All],[Column116]],0)+10,"")</f>
        <v/>
      </c>
      <c r="CQ252" s="134" t="str">
        <f>_xlfn.IFNA(MATCH(BQ252,Achievements[[#All],[Column117]],0)+10,"")</f>
        <v/>
      </c>
      <c r="CR252" s="134" t="str">
        <f>_xlfn.IFNA(MATCH(BR252,Achievements[[#All],[Column117]],0)+10,"")</f>
        <v/>
      </c>
      <c r="CS252" s="134" t="str">
        <f>_xlfn.IFNA(MATCH(BS252,Achievements[[#All],[Column118]],0)+10,"")</f>
        <v/>
      </c>
      <c r="CT252" s="134" t="str">
        <f>_xlfn.IFNA(MATCH(BT252,Achievements[[#All],[Column118]],0)+10,"")</f>
        <v/>
      </c>
      <c r="CU252" s="134" t="str">
        <f>_xlfn.IFNA(MATCH(BU252,Achievements[[#All],[Column119]],0)+10,"")</f>
        <v/>
      </c>
      <c r="CV252" s="134" t="str">
        <f>_xlfn.IFNA(MATCH(BV252,Achievements[[#All],[Column119]],0)+10,"")</f>
        <v/>
      </c>
      <c r="CW252" s="134" t="str">
        <f>_xlfn.IFNA(MATCH(BW252,Achievements[[#All],[Column120]],0)+10,"")</f>
        <v/>
      </c>
      <c r="CX252" s="134" t="str">
        <f>_xlfn.IFNA(MATCH(BX252,Achievements[[#All],[Column120]],0)+10,"")</f>
        <v/>
      </c>
      <c r="CY252" s="134" t="str">
        <f>_xlfn.IFNA(MATCH(BY252,Achievements[[#All],[Column121]],0)+10,"")</f>
        <v/>
      </c>
      <c r="CZ252" s="118" t="e">
        <f t="shared" ca="1" si="7"/>
        <v>#NAME?</v>
      </c>
    </row>
    <row r="253" spans="1:104" x14ac:dyDescent="0.25">
      <c r="A253" t="e" cm="1">
        <f t="array" aca="1" ref="A253" ca="1">SplitValues("; ",#REF!)</f>
        <v>#NAME?</v>
      </c>
      <c r="AA253" t="e">
        <f ca="1">_xlfn.IFNA(MATCH(A253,Achievements[[#All],[Column1]],0)+11,"")</f>
        <v>#NAME?</v>
      </c>
      <c r="AB253" s="134" t="str">
        <f>_xlfn.IFNA(MATCH(B253,Achievements[[#All],[Column1]],0)+10,"")</f>
        <v/>
      </c>
      <c r="AC253" s="134" t="str">
        <f>_xlfn.IFNA(MATCH(C253,Achievements[[#All],[Column1]],0)+10,"")</f>
        <v/>
      </c>
      <c r="AD253" s="134" t="str">
        <f>_xlfn.IFNA(MATCH(D253,Achievements[[#All],[Column110]],0)+10,"")</f>
        <v/>
      </c>
      <c r="AE253" s="134" t="str">
        <f>_xlfn.IFNA(MATCH(E253,Achievements[[#All],[Column110]],0)+10,"")</f>
        <v/>
      </c>
      <c r="AF253" s="134" t="str">
        <f>_xlfn.IFNA(MATCH(F253,Achievements[[#All],[Column111]],0)+10,"")</f>
        <v/>
      </c>
      <c r="AG253" s="134" t="str">
        <f>_xlfn.IFNA(MATCH(G253,Achievements[[#All],[Column111]],0)+10,"")</f>
        <v/>
      </c>
      <c r="AH253" s="134" t="str">
        <f>_xlfn.IFNA(MATCH(H253,Achievements[[#All],[Column112]],0)+10,"")</f>
        <v/>
      </c>
      <c r="AI253" s="134" t="str">
        <f>_xlfn.IFNA(MATCH(I253,Achievements[[#All],[Column112]],0)+10,"")</f>
        <v/>
      </c>
      <c r="AJ253" s="134" t="str">
        <f>_xlfn.IFNA(MATCH(J253,Achievements[[#All],[Column113]],0)+10,"")</f>
        <v/>
      </c>
      <c r="AK253" s="134" t="str">
        <f>_xlfn.IFNA(MATCH(K253,Achievements[[#All],[Column113]],0)+10,"")</f>
        <v/>
      </c>
      <c r="AL253" s="134" t="str">
        <f>_xlfn.IFNA(MATCH(L253,Achievements[[#All],[Column114]],0)+10,"")</f>
        <v/>
      </c>
      <c r="AM253" s="134" t="str">
        <f>_xlfn.IFNA(MATCH(M253,Achievements[[#All],[Column114]],0)+10,"")</f>
        <v/>
      </c>
      <c r="AN253" s="134" t="str">
        <f>_xlfn.IFNA(MATCH(N253,Achievements[[#All],[Column115]],0)+10,"")</f>
        <v/>
      </c>
      <c r="AO253" s="134" t="str">
        <f>_xlfn.IFNA(MATCH(O253,Achievements[[#All],[Column115]],0)+10,"")</f>
        <v/>
      </c>
      <c r="AP253" s="134" t="str">
        <f>_xlfn.IFNA(MATCH(P253,Achievements[[#All],[Column116]],0)+10,"")</f>
        <v/>
      </c>
      <c r="AQ253" s="134" t="str">
        <f>_xlfn.IFNA(MATCH(Q253,Achievements[[#All],[Column116]],0)+10,"")</f>
        <v/>
      </c>
      <c r="AR253" s="134" t="str">
        <f>_xlfn.IFNA(MATCH(R253,Achievements[[#All],[Column117]],0)+10,"")</f>
        <v/>
      </c>
      <c r="AS253" s="134" t="str">
        <f>_xlfn.IFNA(MATCH(S253,Achievements[[#All],[Column117]],0)+10,"")</f>
        <v/>
      </c>
      <c r="AT253" s="134" t="str">
        <f>_xlfn.IFNA(MATCH(T253,Achievements[[#All],[Column118]],0)+10,"")</f>
        <v/>
      </c>
      <c r="AU253" s="134" t="str">
        <f>_xlfn.IFNA(MATCH(U253,Achievements[[#All],[Column118]],0)+10,"")</f>
        <v/>
      </c>
      <c r="AV253" s="134" t="str">
        <f>_xlfn.IFNA(MATCH(V253,Achievements[[#All],[Column119]],0)+10,"")</f>
        <v/>
      </c>
      <c r="AW253" s="134" t="str">
        <f>_xlfn.IFNA(MATCH(W253,Achievements[[#All],[Column119]],0)+10,"")</f>
        <v/>
      </c>
      <c r="AX253" s="134" t="str">
        <f>_xlfn.IFNA(MATCH(X253,Achievements[[#All],[Column120]],0)+10,"")</f>
        <v/>
      </c>
      <c r="AY253" s="134" t="str">
        <f>_xlfn.IFNA(MATCH(Y253,Achievements[[#All],[Column120]],0)+10,"")</f>
        <v/>
      </c>
      <c r="AZ253" s="116" t="e">
        <f t="shared" ca="1" si="6"/>
        <v>#NAME?</v>
      </c>
      <c r="BA253" s="134" t="e" cm="1">
        <f t="array" aca="1" ref="BA253" ca="1">SplitValues("; ",Persons[[#This Row],[Column1]])</f>
        <v>#NAME?</v>
      </c>
      <c r="CA253" s="134" t="e">
        <f ca="1">_xlfn.IFNA(MATCH(BA253,Achievements[[#All],[Column1]],0)+10,"")</f>
        <v>#NAME?</v>
      </c>
      <c r="CB253" s="134" t="str">
        <f>_xlfn.IFNA(MATCH(BB253,Achievements[[#All],[Column1]],0)+10,"")</f>
        <v/>
      </c>
      <c r="CC253" s="134" t="str">
        <f>_xlfn.IFNA(MATCH(BC253,Achievements[[#All],[Column110]],0)+10,"")</f>
        <v/>
      </c>
      <c r="CD253" s="134" t="str">
        <f>_xlfn.IFNA(MATCH(BD253,Achievements[[#All],[Column110]],0)+10,"")</f>
        <v/>
      </c>
      <c r="CE253" s="134" t="str">
        <f>_xlfn.IFNA(MATCH(BE253,Achievements[[#All],[Column111]],0)+10,"")</f>
        <v/>
      </c>
      <c r="CF253" s="134" t="str">
        <f>_xlfn.IFNA(MATCH(BF253,Achievements[[#All],[Column111]],0)+10,"")</f>
        <v/>
      </c>
      <c r="CG253" s="134" t="str">
        <f>_xlfn.IFNA(MATCH(BG253,Achievements[[#All],[Column112]],0)+10,"")</f>
        <v/>
      </c>
      <c r="CH253" s="134" t="str">
        <f>_xlfn.IFNA(MATCH(BH253,Achievements[[#All],[Column112]],0)+10,"")</f>
        <v/>
      </c>
      <c r="CI253" s="134" t="str">
        <f>_xlfn.IFNA(MATCH(BI253,Achievements[[#All],[Column113]],0)+10,"")</f>
        <v/>
      </c>
      <c r="CJ253" s="134" t="str">
        <f>_xlfn.IFNA(MATCH(BJ253,Achievements[[#All],[Column113]],0)+10,"")</f>
        <v/>
      </c>
      <c r="CK253" s="134" t="str">
        <f>_xlfn.IFNA(MATCH(BK253,Achievements[[#All],[Column114]],0)+10,"")</f>
        <v/>
      </c>
      <c r="CL253" s="134" t="str">
        <f>_xlfn.IFNA(MATCH(BL253,Achievements[[#All],[Column114]],0)+10,"")</f>
        <v/>
      </c>
      <c r="CM253" s="134" t="str">
        <f>_xlfn.IFNA(MATCH(BM253,Achievements[[#All],[Column115]],0)+10,"")</f>
        <v/>
      </c>
      <c r="CN253" s="134" t="str">
        <f>_xlfn.IFNA(MATCH(BN253,Achievements[[#All],[Column115]],0)+10,"")</f>
        <v/>
      </c>
      <c r="CO253" s="134" t="str">
        <f>_xlfn.IFNA(MATCH(BO253,Achievements[[#All],[Column116]],0)+10,"")</f>
        <v/>
      </c>
      <c r="CP253" s="134" t="str">
        <f>_xlfn.IFNA(MATCH(BP253,Achievements[[#All],[Column116]],0)+10,"")</f>
        <v/>
      </c>
      <c r="CQ253" s="134" t="str">
        <f>_xlfn.IFNA(MATCH(BQ253,Achievements[[#All],[Column117]],0)+10,"")</f>
        <v/>
      </c>
      <c r="CR253" s="134" t="str">
        <f>_xlfn.IFNA(MATCH(BR253,Achievements[[#All],[Column117]],0)+10,"")</f>
        <v/>
      </c>
      <c r="CS253" s="134" t="str">
        <f>_xlfn.IFNA(MATCH(BS253,Achievements[[#All],[Column118]],0)+10,"")</f>
        <v/>
      </c>
      <c r="CT253" s="134" t="str">
        <f>_xlfn.IFNA(MATCH(BT253,Achievements[[#All],[Column118]],0)+10,"")</f>
        <v/>
      </c>
      <c r="CU253" s="134" t="str">
        <f>_xlfn.IFNA(MATCH(BU253,Achievements[[#All],[Column119]],0)+10,"")</f>
        <v/>
      </c>
      <c r="CV253" s="134" t="str">
        <f>_xlfn.IFNA(MATCH(BV253,Achievements[[#All],[Column119]],0)+10,"")</f>
        <v/>
      </c>
      <c r="CW253" s="134" t="str">
        <f>_xlfn.IFNA(MATCH(BW253,Achievements[[#All],[Column120]],0)+10,"")</f>
        <v/>
      </c>
      <c r="CX253" s="134" t="str">
        <f>_xlfn.IFNA(MATCH(BX253,Achievements[[#All],[Column120]],0)+10,"")</f>
        <v/>
      </c>
      <c r="CY253" s="134" t="str">
        <f>_xlfn.IFNA(MATCH(BY253,Achievements[[#All],[Column121]],0)+10,"")</f>
        <v/>
      </c>
      <c r="CZ253" s="118" t="e">
        <f t="shared" ca="1" si="7"/>
        <v>#NAME?</v>
      </c>
    </row>
    <row r="254" spans="1:104" x14ac:dyDescent="0.25">
      <c r="A254" t="e" cm="1">
        <f t="array" aca="1" ref="A254" ca="1">SplitValues("; ",#REF!)</f>
        <v>#NAME?</v>
      </c>
      <c r="AA254" t="e">
        <f ca="1">_xlfn.IFNA(MATCH(A254,Achievements[[#All],[Column1]],0)+11,"")</f>
        <v>#NAME?</v>
      </c>
      <c r="AB254" s="134" t="str">
        <f>_xlfn.IFNA(MATCH(B254,Achievements[[#All],[Column1]],0)+10,"")</f>
        <v/>
      </c>
      <c r="AC254" s="134" t="str">
        <f>_xlfn.IFNA(MATCH(C254,Achievements[[#All],[Column1]],0)+10,"")</f>
        <v/>
      </c>
      <c r="AD254" s="134" t="str">
        <f>_xlfn.IFNA(MATCH(D254,Achievements[[#All],[Column110]],0)+10,"")</f>
        <v/>
      </c>
      <c r="AE254" s="134" t="str">
        <f>_xlfn.IFNA(MATCH(E254,Achievements[[#All],[Column110]],0)+10,"")</f>
        <v/>
      </c>
      <c r="AF254" s="134" t="str">
        <f>_xlfn.IFNA(MATCH(F254,Achievements[[#All],[Column111]],0)+10,"")</f>
        <v/>
      </c>
      <c r="AG254" s="134" t="str">
        <f>_xlfn.IFNA(MATCH(G254,Achievements[[#All],[Column111]],0)+10,"")</f>
        <v/>
      </c>
      <c r="AH254" s="134" t="str">
        <f>_xlfn.IFNA(MATCH(H254,Achievements[[#All],[Column112]],0)+10,"")</f>
        <v/>
      </c>
      <c r="AI254" s="134" t="str">
        <f>_xlfn.IFNA(MATCH(I254,Achievements[[#All],[Column112]],0)+10,"")</f>
        <v/>
      </c>
      <c r="AJ254" s="134" t="str">
        <f>_xlfn.IFNA(MATCH(J254,Achievements[[#All],[Column113]],0)+10,"")</f>
        <v/>
      </c>
      <c r="AK254" s="134" t="str">
        <f>_xlfn.IFNA(MATCH(K254,Achievements[[#All],[Column113]],0)+10,"")</f>
        <v/>
      </c>
      <c r="AL254" s="134" t="str">
        <f>_xlfn.IFNA(MATCH(L254,Achievements[[#All],[Column114]],0)+10,"")</f>
        <v/>
      </c>
      <c r="AM254" s="134" t="str">
        <f>_xlfn.IFNA(MATCH(M254,Achievements[[#All],[Column114]],0)+10,"")</f>
        <v/>
      </c>
      <c r="AN254" s="134" t="str">
        <f>_xlfn.IFNA(MATCH(N254,Achievements[[#All],[Column115]],0)+10,"")</f>
        <v/>
      </c>
      <c r="AO254" s="134" t="str">
        <f>_xlfn.IFNA(MATCH(O254,Achievements[[#All],[Column115]],0)+10,"")</f>
        <v/>
      </c>
      <c r="AP254" s="134" t="str">
        <f>_xlfn.IFNA(MATCH(P254,Achievements[[#All],[Column116]],0)+10,"")</f>
        <v/>
      </c>
      <c r="AQ254" s="134" t="str">
        <f>_xlfn.IFNA(MATCH(Q254,Achievements[[#All],[Column116]],0)+10,"")</f>
        <v/>
      </c>
      <c r="AR254" s="134" t="str">
        <f>_xlfn.IFNA(MATCH(R254,Achievements[[#All],[Column117]],0)+10,"")</f>
        <v/>
      </c>
      <c r="AS254" s="134" t="str">
        <f>_xlfn.IFNA(MATCH(S254,Achievements[[#All],[Column117]],0)+10,"")</f>
        <v/>
      </c>
      <c r="AT254" s="134" t="str">
        <f>_xlfn.IFNA(MATCH(T254,Achievements[[#All],[Column118]],0)+10,"")</f>
        <v/>
      </c>
      <c r="AU254" s="134" t="str">
        <f>_xlfn.IFNA(MATCH(U254,Achievements[[#All],[Column118]],0)+10,"")</f>
        <v/>
      </c>
      <c r="AV254" s="134" t="str">
        <f>_xlfn.IFNA(MATCH(V254,Achievements[[#All],[Column119]],0)+10,"")</f>
        <v/>
      </c>
      <c r="AW254" s="134" t="str">
        <f>_xlfn.IFNA(MATCH(W254,Achievements[[#All],[Column119]],0)+10,"")</f>
        <v/>
      </c>
      <c r="AX254" s="134" t="str">
        <f>_xlfn.IFNA(MATCH(X254,Achievements[[#All],[Column120]],0)+10,"")</f>
        <v/>
      </c>
      <c r="AY254" s="134" t="str">
        <f>_xlfn.IFNA(MATCH(Y254,Achievements[[#All],[Column120]],0)+10,"")</f>
        <v/>
      </c>
      <c r="AZ254" s="116" t="e">
        <f t="shared" ca="1" si="6"/>
        <v>#NAME?</v>
      </c>
      <c r="BA254" s="134" t="e" cm="1">
        <f t="array" aca="1" ref="BA254" ca="1">SplitValues("; ",Persons[[#This Row],[Column1]])</f>
        <v>#NAME?</v>
      </c>
      <c r="CA254" s="134" t="e">
        <f ca="1">_xlfn.IFNA(MATCH(BA254,Achievements[[#All],[Column1]],0)+10,"")</f>
        <v>#NAME?</v>
      </c>
      <c r="CB254" s="134" t="str">
        <f>_xlfn.IFNA(MATCH(BB254,Achievements[[#All],[Column1]],0)+10,"")</f>
        <v/>
      </c>
      <c r="CC254" s="134" t="str">
        <f>_xlfn.IFNA(MATCH(BC254,Achievements[[#All],[Column110]],0)+10,"")</f>
        <v/>
      </c>
      <c r="CD254" s="134" t="str">
        <f>_xlfn.IFNA(MATCH(BD254,Achievements[[#All],[Column110]],0)+10,"")</f>
        <v/>
      </c>
      <c r="CE254" s="134" t="str">
        <f>_xlfn.IFNA(MATCH(BE254,Achievements[[#All],[Column111]],0)+10,"")</f>
        <v/>
      </c>
      <c r="CF254" s="134" t="str">
        <f>_xlfn.IFNA(MATCH(BF254,Achievements[[#All],[Column111]],0)+10,"")</f>
        <v/>
      </c>
      <c r="CG254" s="134" t="str">
        <f>_xlfn.IFNA(MATCH(BG254,Achievements[[#All],[Column112]],0)+10,"")</f>
        <v/>
      </c>
      <c r="CH254" s="134" t="str">
        <f>_xlfn.IFNA(MATCH(BH254,Achievements[[#All],[Column112]],0)+10,"")</f>
        <v/>
      </c>
      <c r="CI254" s="134" t="str">
        <f>_xlfn.IFNA(MATCH(BI254,Achievements[[#All],[Column113]],0)+10,"")</f>
        <v/>
      </c>
      <c r="CJ254" s="134" t="str">
        <f>_xlfn.IFNA(MATCH(BJ254,Achievements[[#All],[Column113]],0)+10,"")</f>
        <v/>
      </c>
      <c r="CK254" s="134" t="str">
        <f>_xlfn.IFNA(MATCH(BK254,Achievements[[#All],[Column114]],0)+10,"")</f>
        <v/>
      </c>
      <c r="CL254" s="134" t="str">
        <f>_xlfn.IFNA(MATCH(BL254,Achievements[[#All],[Column114]],0)+10,"")</f>
        <v/>
      </c>
      <c r="CM254" s="134" t="str">
        <f>_xlfn.IFNA(MATCH(BM254,Achievements[[#All],[Column115]],0)+10,"")</f>
        <v/>
      </c>
      <c r="CN254" s="134" t="str">
        <f>_xlfn.IFNA(MATCH(BN254,Achievements[[#All],[Column115]],0)+10,"")</f>
        <v/>
      </c>
      <c r="CO254" s="134" t="str">
        <f>_xlfn.IFNA(MATCH(BO254,Achievements[[#All],[Column116]],0)+10,"")</f>
        <v/>
      </c>
      <c r="CP254" s="134" t="str">
        <f>_xlfn.IFNA(MATCH(BP254,Achievements[[#All],[Column116]],0)+10,"")</f>
        <v/>
      </c>
      <c r="CQ254" s="134" t="str">
        <f>_xlfn.IFNA(MATCH(BQ254,Achievements[[#All],[Column117]],0)+10,"")</f>
        <v/>
      </c>
      <c r="CR254" s="134" t="str">
        <f>_xlfn.IFNA(MATCH(BR254,Achievements[[#All],[Column117]],0)+10,"")</f>
        <v/>
      </c>
      <c r="CS254" s="134" t="str">
        <f>_xlfn.IFNA(MATCH(BS254,Achievements[[#All],[Column118]],0)+10,"")</f>
        <v/>
      </c>
      <c r="CT254" s="134" t="str">
        <f>_xlfn.IFNA(MATCH(BT254,Achievements[[#All],[Column118]],0)+10,"")</f>
        <v/>
      </c>
      <c r="CU254" s="134" t="str">
        <f>_xlfn.IFNA(MATCH(BU254,Achievements[[#All],[Column119]],0)+10,"")</f>
        <v/>
      </c>
      <c r="CV254" s="134" t="str">
        <f>_xlfn.IFNA(MATCH(BV254,Achievements[[#All],[Column119]],0)+10,"")</f>
        <v/>
      </c>
      <c r="CW254" s="134" t="str">
        <f>_xlfn.IFNA(MATCH(BW254,Achievements[[#All],[Column120]],0)+10,"")</f>
        <v/>
      </c>
      <c r="CX254" s="134" t="str">
        <f>_xlfn.IFNA(MATCH(BX254,Achievements[[#All],[Column120]],0)+10,"")</f>
        <v/>
      </c>
      <c r="CY254" s="134" t="str">
        <f>_xlfn.IFNA(MATCH(BY254,Achievements[[#All],[Column121]],0)+10,"")</f>
        <v/>
      </c>
      <c r="CZ254" s="118" t="e">
        <f t="shared" ca="1" si="7"/>
        <v>#NAME?</v>
      </c>
    </row>
    <row r="255" spans="1:104" x14ac:dyDescent="0.25">
      <c r="A255" t="e" cm="1">
        <f t="array" aca="1" ref="A255" ca="1">SplitValues("; ",#REF!)</f>
        <v>#NAME?</v>
      </c>
      <c r="AA255" t="e">
        <f ca="1">_xlfn.IFNA(MATCH(A255,Achievements[[#All],[Column1]],0)+11,"")</f>
        <v>#NAME?</v>
      </c>
      <c r="AB255" s="134" t="str">
        <f>_xlfn.IFNA(MATCH(B255,Achievements[[#All],[Column1]],0)+10,"")</f>
        <v/>
      </c>
      <c r="AC255" s="134" t="str">
        <f>_xlfn.IFNA(MATCH(C255,Achievements[[#All],[Column1]],0)+10,"")</f>
        <v/>
      </c>
      <c r="AD255" s="134" t="str">
        <f>_xlfn.IFNA(MATCH(D255,Achievements[[#All],[Column110]],0)+10,"")</f>
        <v/>
      </c>
      <c r="AE255" s="134" t="str">
        <f>_xlfn.IFNA(MATCH(E255,Achievements[[#All],[Column110]],0)+10,"")</f>
        <v/>
      </c>
      <c r="AF255" s="134" t="str">
        <f>_xlfn.IFNA(MATCH(F255,Achievements[[#All],[Column111]],0)+10,"")</f>
        <v/>
      </c>
      <c r="AG255" s="134" t="str">
        <f>_xlfn.IFNA(MATCH(G255,Achievements[[#All],[Column111]],0)+10,"")</f>
        <v/>
      </c>
      <c r="AH255" s="134" t="str">
        <f>_xlfn.IFNA(MATCH(H255,Achievements[[#All],[Column112]],0)+10,"")</f>
        <v/>
      </c>
      <c r="AI255" s="134" t="str">
        <f>_xlfn.IFNA(MATCH(I255,Achievements[[#All],[Column112]],0)+10,"")</f>
        <v/>
      </c>
      <c r="AJ255" s="134" t="str">
        <f>_xlfn.IFNA(MATCH(J255,Achievements[[#All],[Column113]],0)+10,"")</f>
        <v/>
      </c>
      <c r="AK255" s="134" t="str">
        <f>_xlfn.IFNA(MATCH(K255,Achievements[[#All],[Column113]],0)+10,"")</f>
        <v/>
      </c>
      <c r="AL255" s="134" t="str">
        <f>_xlfn.IFNA(MATCH(L255,Achievements[[#All],[Column114]],0)+10,"")</f>
        <v/>
      </c>
      <c r="AM255" s="134" t="str">
        <f>_xlfn.IFNA(MATCH(M255,Achievements[[#All],[Column114]],0)+10,"")</f>
        <v/>
      </c>
      <c r="AN255" s="134" t="str">
        <f>_xlfn.IFNA(MATCH(N255,Achievements[[#All],[Column115]],0)+10,"")</f>
        <v/>
      </c>
      <c r="AO255" s="134" t="str">
        <f>_xlfn.IFNA(MATCH(O255,Achievements[[#All],[Column115]],0)+10,"")</f>
        <v/>
      </c>
      <c r="AP255" s="134" t="str">
        <f>_xlfn.IFNA(MATCH(P255,Achievements[[#All],[Column116]],0)+10,"")</f>
        <v/>
      </c>
      <c r="AQ255" s="134" t="str">
        <f>_xlfn.IFNA(MATCH(Q255,Achievements[[#All],[Column116]],0)+10,"")</f>
        <v/>
      </c>
      <c r="AR255" s="134" t="str">
        <f>_xlfn.IFNA(MATCH(R255,Achievements[[#All],[Column117]],0)+10,"")</f>
        <v/>
      </c>
      <c r="AS255" s="134" t="str">
        <f>_xlfn.IFNA(MATCH(S255,Achievements[[#All],[Column117]],0)+10,"")</f>
        <v/>
      </c>
      <c r="AT255" s="134" t="str">
        <f>_xlfn.IFNA(MATCH(T255,Achievements[[#All],[Column118]],0)+10,"")</f>
        <v/>
      </c>
      <c r="AU255" s="134" t="str">
        <f>_xlfn.IFNA(MATCH(U255,Achievements[[#All],[Column118]],0)+10,"")</f>
        <v/>
      </c>
      <c r="AV255" s="134" t="str">
        <f>_xlfn.IFNA(MATCH(V255,Achievements[[#All],[Column119]],0)+10,"")</f>
        <v/>
      </c>
      <c r="AW255" s="134" t="str">
        <f>_xlfn.IFNA(MATCH(W255,Achievements[[#All],[Column119]],0)+10,"")</f>
        <v/>
      </c>
      <c r="AX255" s="134" t="str">
        <f>_xlfn.IFNA(MATCH(X255,Achievements[[#All],[Column120]],0)+10,"")</f>
        <v/>
      </c>
      <c r="AY255" s="134" t="str">
        <f>_xlfn.IFNA(MATCH(Y255,Achievements[[#All],[Column120]],0)+10,"")</f>
        <v/>
      </c>
      <c r="AZ255" s="116" t="e">
        <f t="shared" ca="1" si="6"/>
        <v>#NAME?</v>
      </c>
      <c r="BA255" s="134" t="e" cm="1">
        <f t="array" aca="1" ref="BA255" ca="1">SplitValues("; ",Persons[[#This Row],[Column1]])</f>
        <v>#NAME?</v>
      </c>
      <c r="CA255" s="134" t="e">
        <f ca="1">_xlfn.IFNA(MATCH(BA255,Achievements[[#All],[Column1]],0)+10,"")</f>
        <v>#NAME?</v>
      </c>
      <c r="CB255" s="134" t="str">
        <f>_xlfn.IFNA(MATCH(BB255,Achievements[[#All],[Column1]],0)+10,"")</f>
        <v/>
      </c>
      <c r="CC255" s="134" t="str">
        <f>_xlfn.IFNA(MATCH(BC255,Achievements[[#All],[Column110]],0)+10,"")</f>
        <v/>
      </c>
      <c r="CD255" s="134" t="str">
        <f>_xlfn.IFNA(MATCH(BD255,Achievements[[#All],[Column110]],0)+10,"")</f>
        <v/>
      </c>
      <c r="CE255" s="134" t="str">
        <f>_xlfn.IFNA(MATCH(BE255,Achievements[[#All],[Column111]],0)+10,"")</f>
        <v/>
      </c>
      <c r="CF255" s="134" t="str">
        <f>_xlfn.IFNA(MATCH(BF255,Achievements[[#All],[Column111]],0)+10,"")</f>
        <v/>
      </c>
      <c r="CG255" s="134" t="str">
        <f>_xlfn.IFNA(MATCH(BG255,Achievements[[#All],[Column112]],0)+10,"")</f>
        <v/>
      </c>
      <c r="CH255" s="134" t="str">
        <f>_xlfn.IFNA(MATCH(BH255,Achievements[[#All],[Column112]],0)+10,"")</f>
        <v/>
      </c>
      <c r="CI255" s="134" t="str">
        <f>_xlfn.IFNA(MATCH(BI255,Achievements[[#All],[Column113]],0)+10,"")</f>
        <v/>
      </c>
      <c r="CJ255" s="134" t="str">
        <f>_xlfn.IFNA(MATCH(BJ255,Achievements[[#All],[Column113]],0)+10,"")</f>
        <v/>
      </c>
      <c r="CK255" s="134" t="str">
        <f>_xlfn.IFNA(MATCH(BK255,Achievements[[#All],[Column114]],0)+10,"")</f>
        <v/>
      </c>
      <c r="CL255" s="134" t="str">
        <f>_xlfn.IFNA(MATCH(BL255,Achievements[[#All],[Column114]],0)+10,"")</f>
        <v/>
      </c>
      <c r="CM255" s="134" t="str">
        <f>_xlfn.IFNA(MATCH(BM255,Achievements[[#All],[Column115]],0)+10,"")</f>
        <v/>
      </c>
      <c r="CN255" s="134" t="str">
        <f>_xlfn.IFNA(MATCH(BN255,Achievements[[#All],[Column115]],0)+10,"")</f>
        <v/>
      </c>
      <c r="CO255" s="134" t="str">
        <f>_xlfn.IFNA(MATCH(BO255,Achievements[[#All],[Column116]],0)+10,"")</f>
        <v/>
      </c>
      <c r="CP255" s="134" t="str">
        <f>_xlfn.IFNA(MATCH(BP255,Achievements[[#All],[Column116]],0)+10,"")</f>
        <v/>
      </c>
      <c r="CQ255" s="134" t="str">
        <f>_xlfn.IFNA(MATCH(BQ255,Achievements[[#All],[Column117]],0)+10,"")</f>
        <v/>
      </c>
      <c r="CR255" s="134" t="str">
        <f>_xlfn.IFNA(MATCH(BR255,Achievements[[#All],[Column117]],0)+10,"")</f>
        <v/>
      </c>
      <c r="CS255" s="134" t="str">
        <f>_xlfn.IFNA(MATCH(BS255,Achievements[[#All],[Column118]],0)+10,"")</f>
        <v/>
      </c>
      <c r="CT255" s="134" t="str">
        <f>_xlfn.IFNA(MATCH(BT255,Achievements[[#All],[Column118]],0)+10,"")</f>
        <v/>
      </c>
      <c r="CU255" s="134" t="str">
        <f>_xlfn.IFNA(MATCH(BU255,Achievements[[#All],[Column119]],0)+10,"")</f>
        <v/>
      </c>
      <c r="CV255" s="134" t="str">
        <f>_xlfn.IFNA(MATCH(BV255,Achievements[[#All],[Column119]],0)+10,"")</f>
        <v/>
      </c>
      <c r="CW255" s="134" t="str">
        <f>_xlfn.IFNA(MATCH(BW255,Achievements[[#All],[Column120]],0)+10,"")</f>
        <v/>
      </c>
      <c r="CX255" s="134" t="str">
        <f>_xlfn.IFNA(MATCH(BX255,Achievements[[#All],[Column120]],0)+10,"")</f>
        <v/>
      </c>
      <c r="CY255" s="134" t="str">
        <f>_xlfn.IFNA(MATCH(BY255,Achievements[[#All],[Column121]],0)+10,"")</f>
        <v/>
      </c>
      <c r="CZ255" s="118" t="e">
        <f t="shared" ca="1" si="7"/>
        <v>#NAME?</v>
      </c>
    </row>
    <row r="256" spans="1:104" x14ac:dyDescent="0.25">
      <c r="A256" t="e" cm="1">
        <f t="array" aca="1" ref="A256" ca="1">SplitValues("; ",#REF!)</f>
        <v>#NAME?</v>
      </c>
      <c r="AA256" t="e">
        <f ca="1">_xlfn.IFNA(MATCH(A256,Achievements[[#All],[Column1]],0)+11,"")</f>
        <v>#NAME?</v>
      </c>
      <c r="AB256" s="134" t="str">
        <f>_xlfn.IFNA(MATCH(B256,Achievements[[#All],[Column1]],0)+10,"")</f>
        <v/>
      </c>
      <c r="AC256" s="134" t="str">
        <f>_xlfn.IFNA(MATCH(C256,Achievements[[#All],[Column1]],0)+10,"")</f>
        <v/>
      </c>
      <c r="AD256" s="134" t="str">
        <f>_xlfn.IFNA(MATCH(D256,Achievements[[#All],[Column110]],0)+10,"")</f>
        <v/>
      </c>
      <c r="AE256" s="134" t="str">
        <f>_xlfn.IFNA(MATCH(E256,Achievements[[#All],[Column110]],0)+10,"")</f>
        <v/>
      </c>
      <c r="AF256" s="134" t="str">
        <f>_xlfn.IFNA(MATCH(F256,Achievements[[#All],[Column111]],0)+10,"")</f>
        <v/>
      </c>
      <c r="AG256" s="134" t="str">
        <f>_xlfn.IFNA(MATCH(G256,Achievements[[#All],[Column111]],0)+10,"")</f>
        <v/>
      </c>
      <c r="AH256" s="134" t="str">
        <f>_xlfn.IFNA(MATCH(H256,Achievements[[#All],[Column112]],0)+10,"")</f>
        <v/>
      </c>
      <c r="AI256" s="134" t="str">
        <f>_xlfn.IFNA(MATCH(I256,Achievements[[#All],[Column112]],0)+10,"")</f>
        <v/>
      </c>
      <c r="AJ256" s="134" t="str">
        <f>_xlfn.IFNA(MATCH(J256,Achievements[[#All],[Column113]],0)+10,"")</f>
        <v/>
      </c>
      <c r="AK256" s="134" t="str">
        <f>_xlfn.IFNA(MATCH(K256,Achievements[[#All],[Column113]],0)+10,"")</f>
        <v/>
      </c>
      <c r="AL256" s="134" t="str">
        <f>_xlfn.IFNA(MATCH(L256,Achievements[[#All],[Column114]],0)+10,"")</f>
        <v/>
      </c>
      <c r="AM256" s="134" t="str">
        <f>_xlfn.IFNA(MATCH(M256,Achievements[[#All],[Column114]],0)+10,"")</f>
        <v/>
      </c>
      <c r="AN256" s="134" t="str">
        <f>_xlfn.IFNA(MATCH(N256,Achievements[[#All],[Column115]],0)+10,"")</f>
        <v/>
      </c>
      <c r="AO256" s="134" t="str">
        <f>_xlfn.IFNA(MATCH(O256,Achievements[[#All],[Column115]],0)+10,"")</f>
        <v/>
      </c>
      <c r="AP256" s="134" t="str">
        <f>_xlfn.IFNA(MATCH(P256,Achievements[[#All],[Column116]],0)+10,"")</f>
        <v/>
      </c>
      <c r="AQ256" s="134" t="str">
        <f>_xlfn.IFNA(MATCH(Q256,Achievements[[#All],[Column116]],0)+10,"")</f>
        <v/>
      </c>
      <c r="AR256" s="134" t="str">
        <f>_xlfn.IFNA(MATCH(R256,Achievements[[#All],[Column117]],0)+10,"")</f>
        <v/>
      </c>
      <c r="AS256" s="134" t="str">
        <f>_xlfn.IFNA(MATCH(S256,Achievements[[#All],[Column117]],0)+10,"")</f>
        <v/>
      </c>
      <c r="AT256" s="134" t="str">
        <f>_xlfn.IFNA(MATCH(T256,Achievements[[#All],[Column118]],0)+10,"")</f>
        <v/>
      </c>
      <c r="AU256" s="134" t="str">
        <f>_xlfn.IFNA(MATCH(U256,Achievements[[#All],[Column118]],0)+10,"")</f>
        <v/>
      </c>
      <c r="AV256" s="134" t="str">
        <f>_xlfn.IFNA(MATCH(V256,Achievements[[#All],[Column119]],0)+10,"")</f>
        <v/>
      </c>
      <c r="AW256" s="134" t="str">
        <f>_xlfn.IFNA(MATCH(W256,Achievements[[#All],[Column119]],0)+10,"")</f>
        <v/>
      </c>
      <c r="AX256" s="134" t="str">
        <f>_xlfn.IFNA(MATCH(X256,Achievements[[#All],[Column120]],0)+10,"")</f>
        <v/>
      </c>
      <c r="AY256" s="134" t="str">
        <f>_xlfn.IFNA(MATCH(Y256,Achievements[[#All],[Column120]],0)+10,"")</f>
        <v/>
      </c>
      <c r="AZ256" s="116" t="e">
        <f t="shared" ca="1" si="6"/>
        <v>#NAME?</v>
      </c>
      <c r="BA256" s="134" t="e" cm="1">
        <f t="array" aca="1" ref="BA256" ca="1">SplitValues("; ",Persons[[#This Row],[Column1]])</f>
        <v>#NAME?</v>
      </c>
      <c r="CA256" s="134" t="e">
        <f ca="1">_xlfn.IFNA(MATCH(BA256,Achievements[[#All],[Column1]],0)+10,"")</f>
        <v>#NAME?</v>
      </c>
      <c r="CB256" s="134" t="str">
        <f>_xlfn.IFNA(MATCH(BB256,Achievements[[#All],[Column1]],0)+10,"")</f>
        <v/>
      </c>
      <c r="CC256" s="134" t="str">
        <f>_xlfn.IFNA(MATCH(BC256,Achievements[[#All],[Column110]],0)+10,"")</f>
        <v/>
      </c>
      <c r="CD256" s="134" t="str">
        <f>_xlfn.IFNA(MATCH(BD256,Achievements[[#All],[Column110]],0)+10,"")</f>
        <v/>
      </c>
      <c r="CE256" s="134" t="str">
        <f>_xlfn.IFNA(MATCH(BE256,Achievements[[#All],[Column111]],0)+10,"")</f>
        <v/>
      </c>
      <c r="CF256" s="134" t="str">
        <f>_xlfn.IFNA(MATCH(BF256,Achievements[[#All],[Column111]],0)+10,"")</f>
        <v/>
      </c>
      <c r="CG256" s="134" t="str">
        <f>_xlfn.IFNA(MATCH(BG256,Achievements[[#All],[Column112]],0)+10,"")</f>
        <v/>
      </c>
      <c r="CH256" s="134" t="str">
        <f>_xlfn.IFNA(MATCH(BH256,Achievements[[#All],[Column112]],0)+10,"")</f>
        <v/>
      </c>
      <c r="CI256" s="134" t="str">
        <f>_xlfn.IFNA(MATCH(BI256,Achievements[[#All],[Column113]],0)+10,"")</f>
        <v/>
      </c>
      <c r="CJ256" s="134" t="str">
        <f>_xlfn.IFNA(MATCH(BJ256,Achievements[[#All],[Column113]],0)+10,"")</f>
        <v/>
      </c>
      <c r="CK256" s="134" t="str">
        <f>_xlfn.IFNA(MATCH(BK256,Achievements[[#All],[Column114]],0)+10,"")</f>
        <v/>
      </c>
      <c r="CL256" s="134" t="str">
        <f>_xlfn.IFNA(MATCH(BL256,Achievements[[#All],[Column114]],0)+10,"")</f>
        <v/>
      </c>
      <c r="CM256" s="134" t="str">
        <f>_xlfn.IFNA(MATCH(BM256,Achievements[[#All],[Column115]],0)+10,"")</f>
        <v/>
      </c>
      <c r="CN256" s="134" t="str">
        <f>_xlfn.IFNA(MATCH(BN256,Achievements[[#All],[Column115]],0)+10,"")</f>
        <v/>
      </c>
      <c r="CO256" s="134" t="str">
        <f>_xlfn.IFNA(MATCH(BO256,Achievements[[#All],[Column116]],0)+10,"")</f>
        <v/>
      </c>
      <c r="CP256" s="134" t="str">
        <f>_xlfn.IFNA(MATCH(BP256,Achievements[[#All],[Column116]],0)+10,"")</f>
        <v/>
      </c>
      <c r="CQ256" s="134" t="str">
        <f>_xlfn.IFNA(MATCH(BQ256,Achievements[[#All],[Column117]],0)+10,"")</f>
        <v/>
      </c>
      <c r="CR256" s="134" t="str">
        <f>_xlfn.IFNA(MATCH(BR256,Achievements[[#All],[Column117]],0)+10,"")</f>
        <v/>
      </c>
      <c r="CS256" s="134" t="str">
        <f>_xlfn.IFNA(MATCH(BS256,Achievements[[#All],[Column118]],0)+10,"")</f>
        <v/>
      </c>
      <c r="CT256" s="134" t="str">
        <f>_xlfn.IFNA(MATCH(BT256,Achievements[[#All],[Column118]],0)+10,"")</f>
        <v/>
      </c>
      <c r="CU256" s="134" t="str">
        <f>_xlfn.IFNA(MATCH(BU256,Achievements[[#All],[Column119]],0)+10,"")</f>
        <v/>
      </c>
      <c r="CV256" s="134" t="str">
        <f>_xlfn.IFNA(MATCH(BV256,Achievements[[#All],[Column119]],0)+10,"")</f>
        <v/>
      </c>
      <c r="CW256" s="134" t="str">
        <f>_xlfn.IFNA(MATCH(BW256,Achievements[[#All],[Column120]],0)+10,"")</f>
        <v/>
      </c>
      <c r="CX256" s="134" t="str">
        <f>_xlfn.IFNA(MATCH(BX256,Achievements[[#All],[Column120]],0)+10,"")</f>
        <v/>
      </c>
      <c r="CY256" s="134" t="str">
        <f>_xlfn.IFNA(MATCH(BY256,Achievements[[#All],[Column121]],0)+10,"")</f>
        <v/>
      </c>
      <c r="CZ256" s="118" t="e">
        <f t="shared" ca="1" si="7"/>
        <v>#NAME?</v>
      </c>
    </row>
    <row r="257" spans="1:104" x14ac:dyDescent="0.25">
      <c r="A257" t="e" cm="1">
        <f t="array" aca="1" ref="A257" ca="1">SplitValues("; ",#REF!)</f>
        <v>#NAME?</v>
      </c>
      <c r="AA257" t="e">
        <f ca="1">_xlfn.IFNA(MATCH(A257,Achievements[[#All],[Column1]],0)+11,"")</f>
        <v>#NAME?</v>
      </c>
      <c r="AB257" s="134" t="str">
        <f>_xlfn.IFNA(MATCH(B257,Achievements[[#All],[Column1]],0)+10,"")</f>
        <v/>
      </c>
      <c r="AC257" s="134" t="str">
        <f>_xlfn.IFNA(MATCH(C257,Achievements[[#All],[Column1]],0)+10,"")</f>
        <v/>
      </c>
      <c r="AD257" s="134" t="str">
        <f>_xlfn.IFNA(MATCH(D257,Achievements[[#All],[Column110]],0)+10,"")</f>
        <v/>
      </c>
      <c r="AE257" s="134" t="str">
        <f>_xlfn.IFNA(MATCH(E257,Achievements[[#All],[Column110]],0)+10,"")</f>
        <v/>
      </c>
      <c r="AF257" s="134" t="str">
        <f>_xlfn.IFNA(MATCH(F257,Achievements[[#All],[Column111]],0)+10,"")</f>
        <v/>
      </c>
      <c r="AG257" s="134" t="str">
        <f>_xlfn.IFNA(MATCH(G257,Achievements[[#All],[Column111]],0)+10,"")</f>
        <v/>
      </c>
      <c r="AH257" s="134" t="str">
        <f>_xlfn.IFNA(MATCH(H257,Achievements[[#All],[Column112]],0)+10,"")</f>
        <v/>
      </c>
      <c r="AI257" s="134" t="str">
        <f>_xlfn.IFNA(MATCH(I257,Achievements[[#All],[Column112]],0)+10,"")</f>
        <v/>
      </c>
      <c r="AJ257" s="134" t="str">
        <f>_xlfn.IFNA(MATCH(J257,Achievements[[#All],[Column113]],0)+10,"")</f>
        <v/>
      </c>
      <c r="AK257" s="134" t="str">
        <f>_xlfn.IFNA(MATCH(K257,Achievements[[#All],[Column113]],0)+10,"")</f>
        <v/>
      </c>
      <c r="AL257" s="134" t="str">
        <f>_xlfn.IFNA(MATCH(L257,Achievements[[#All],[Column114]],0)+10,"")</f>
        <v/>
      </c>
      <c r="AM257" s="134" t="str">
        <f>_xlfn.IFNA(MATCH(M257,Achievements[[#All],[Column114]],0)+10,"")</f>
        <v/>
      </c>
      <c r="AN257" s="134" t="str">
        <f>_xlfn.IFNA(MATCH(N257,Achievements[[#All],[Column115]],0)+10,"")</f>
        <v/>
      </c>
      <c r="AO257" s="134" t="str">
        <f>_xlfn.IFNA(MATCH(O257,Achievements[[#All],[Column115]],0)+10,"")</f>
        <v/>
      </c>
      <c r="AP257" s="134" t="str">
        <f>_xlfn.IFNA(MATCH(P257,Achievements[[#All],[Column116]],0)+10,"")</f>
        <v/>
      </c>
      <c r="AQ257" s="134" t="str">
        <f>_xlfn.IFNA(MATCH(Q257,Achievements[[#All],[Column116]],0)+10,"")</f>
        <v/>
      </c>
      <c r="AR257" s="134" t="str">
        <f>_xlfn.IFNA(MATCH(R257,Achievements[[#All],[Column117]],0)+10,"")</f>
        <v/>
      </c>
      <c r="AS257" s="134" t="str">
        <f>_xlfn.IFNA(MATCH(S257,Achievements[[#All],[Column117]],0)+10,"")</f>
        <v/>
      </c>
      <c r="AT257" s="134" t="str">
        <f>_xlfn.IFNA(MATCH(T257,Achievements[[#All],[Column118]],0)+10,"")</f>
        <v/>
      </c>
      <c r="AU257" s="134" t="str">
        <f>_xlfn.IFNA(MATCH(U257,Achievements[[#All],[Column118]],0)+10,"")</f>
        <v/>
      </c>
      <c r="AV257" s="134" t="str">
        <f>_xlfn.IFNA(MATCH(V257,Achievements[[#All],[Column119]],0)+10,"")</f>
        <v/>
      </c>
      <c r="AW257" s="134" t="str">
        <f>_xlfn.IFNA(MATCH(W257,Achievements[[#All],[Column119]],0)+10,"")</f>
        <v/>
      </c>
      <c r="AX257" s="134" t="str">
        <f>_xlfn.IFNA(MATCH(X257,Achievements[[#All],[Column120]],0)+10,"")</f>
        <v/>
      </c>
      <c r="AY257" s="134" t="str">
        <f>_xlfn.IFNA(MATCH(Y257,Achievements[[#All],[Column120]],0)+10,"")</f>
        <v/>
      </c>
      <c r="AZ257" s="116" t="e">
        <f t="shared" ca="1" si="6"/>
        <v>#NAME?</v>
      </c>
      <c r="BA257" s="134" t="e" cm="1">
        <f t="array" aca="1" ref="BA257" ca="1">SplitValues("; ",Persons[[#This Row],[Column1]])</f>
        <v>#NAME?</v>
      </c>
      <c r="CA257" s="134" t="e">
        <f ca="1">_xlfn.IFNA(MATCH(BA257,Achievements[[#All],[Column1]],0)+10,"")</f>
        <v>#NAME?</v>
      </c>
      <c r="CB257" s="134" t="str">
        <f>_xlfn.IFNA(MATCH(BB257,Achievements[[#All],[Column1]],0)+10,"")</f>
        <v/>
      </c>
      <c r="CC257" s="134" t="str">
        <f>_xlfn.IFNA(MATCH(BC257,Achievements[[#All],[Column110]],0)+10,"")</f>
        <v/>
      </c>
      <c r="CD257" s="134" t="str">
        <f>_xlfn.IFNA(MATCH(BD257,Achievements[[#All],[Column110]],0)+10,"")</f>
        <v/>
      </c>
      <c r="CE257" s="134" t="str">
        <f>_xlfn.IFNA(MATCH(BE257,Achievements[[#All],[Column111]],0)+10,"")</f>
        <v/>
      </c>
      <c r="CF257" s="134" t="str">
        <f>_xlfn.IFNA(MATCH(BF257,Achievements[[#All],[Column111]],0)+10,"")</f>
        <v/>
      </c>
      <c r="CG257" s="134" t="str">
        <f>_xlfn.IFNA(MATCH(BG257,Achievements[[#All],[Column112]],0)+10,"")</f>
        <v/>
      </c>
      <c r="CH257" s="134" t="str">
        <f>_xlfn.IFNA(MATCH(BH257,Achievements[[#All],[Column112]],0)+10,"")</f>
        <v/>
      </c>
      <c r="CI257" s="134" t="str">
        <f>_xlfn.IFNA(MATCH(BI257,Achievements[[#All],[Column113]],0)+10,"")</f>
        <v/>
      </c>
      <c r="CJ257" s="134" t="str">
        <f>_xlfn.IFNA(MATCH(BJ257,Achievements[[#All],[Column113]],0)+10,"")</f>
        <v/>
      </c>
      <c r="CK257" s="134" t="str">
        <f>_xlfn.IFNA(MATCH(BK257,Achievements[[#All],[Column114]],0)+10,"")</f>
        <v/>
      </c>
      <c r="CL257" s="134" t="str">
        <f>_xlfn.IFNA(MATCH(BL257,Achievements[[#All],[Column114]],0)+10,"")</f>
        <v/>
      </c>
      <c r="CM257" s="134" t="str">
        <f>_xlfn.IFNA(MATCH(BM257,Achievements[[#All],[Column115]],0)+10,"")</f>
        <v/>
      </c>
      <c r="CN257" s="134" t="str">
        <f>_xlfn.IFNA(MATCH(BN257,Achievements[[#All],[Column115]],0)+10,"")</f>
        <v/>
      </c>
      <c r="CO257" s="134" t="str">
        <f>_xlfn.IFNA(MATCH(BO257,Achievements[[#All],[Column116]],0)+10,"")</f>
        <v/>
      </c>
      <c r="CP257" s="134" t="str">
        <f>_xlfn.IFNA(MATCH(BP257,Achievements[[#All],[Column116]],0)+10,"")</f>
        <v/>
      </c>
      <c r="CQ257" s="134" t="str">
        <f>_xlfn.IFNA(MATCH(BQ257,Achievements[[#All],[Column117]],0)+10,"")</f>
        <v/>
      </c>
      <c r="CR257" s="134" t="str">
        <f>_xlfn.IFNA(MATCH(BR257,Achievements[[#All],[Column117]],0)+10,"")</f>
        <v/>
      </c>
      <c r="CS257" s="134" t="str">
        <f>_xlfn.IFNA(MATCH(BS257,Achievements[[#All],[Column118]],0)+10,"")</f>
        <v/>
      </c>
      <c r="CT257" s="134" t="str">
        <f>_xlfn.IFNA(MATCH(BT257,Achievements[[#All],[Column118]],0)+10,"")</f>
        <v/>
      </c>
      <c r="CU257" s="134" t="str">
        <f>_xlfn.IFNA(MATCH(BU257,Achievements[[#All],[Column119]],0)+10,"")</f>
        <v/>
      </c>
      <c r="CV257" s="134" t="str">
        <f>_xlfn.IFNA(MATCH(BV257,Achievements[[#All],[Column119]],0)+10,"")</f>
        <v/>
      </c>
      <c r="CW257" s="134" t="str">
        <f>_xlfn.IFNA(MATCH(BW257,Achievements[[#All],[Column120]],0)+10,"")</f>
        <v/>
      </c>
      <c r="CX257" s="134" t="str">
        <f>_xlfn.IFNA(MATCH(BX257,Achievements[[#All],[Column120]],0)+10,"")</f>
        <v/>
      </c>
      <c r="CY257" s="134" t="str">
        <f>_xlfn.IFNA(MATCH(BY257,Achievements[[#All],[Column121]],0)+10,"")</f>
        <v/>
      </c>
      <c r="CZ257" s="118" t="e">
        <f t="shared" ca="1" si="7"/>
        <v>#NAME?</v>
      </c>
    </row>
    <row r="258" spans="1:104" x14ac:dyDescent="0.25">
      <c r="A258" t="e" cm="1">
        <f t="array" aca="1" ref="A258" ca="1">SplitValues("; ",#REF!)</f>
        <v>#NAME?</v>
      </c>
      <c r="AA258" t="e">
        <f ca="1">_xlfn.IFNA(MATCH(A258,Achievements[[#All],[Column1]],0)+11,"")</f>
        <v>#NAME?</v>
      </c>
      <c r="AB258" s="134" t="str">
        <f>_xlfn.IFNA(MATCH(B258,Achievements[[#All],[Column1]],0)+10,"")</f>
        <v/>
      </c>
      <c r="AC258" s="134" t="str">
        <f>_xlfn.IFNA(MATCH(C258,Achievements[[#All],[Column1]],0)+10,"")</f>
        <v/>
      </c>
      <c r="AD258" s="134" t="str">
        <f>_xlfn.IFNA(MATCH(D258,Achievements[[#All],[Column110]],0)+10,"")</f>
        <v/>
      </c>
      <c r="AE258" s="134" t="str">
        <f>_xlfn.IFNA(MATCH(E258,Achievements[[#All],[Column110]],0)+10,"")</f>
        <v/>
      </c>
      <c r="AF258" s="134" t="str">
        <f>_xlfn.IFNA(MATCH(F258,Achievements[[#All],[Column111]],0)+10,"")</f>
        <v/>
      </c>
      <c r="AG258" s="134" t="str">
        <f>_xlfn.IFNA(MATCH(G258,Achievements[[#All],[Column111]],0)+10,"")</f>
        <v/>
      </c>
      <c r="AH258" s="134" t="str">
        <f>_xlfn.IFNA(MATCH(H258,Achievements[[#All],[Column112]],0)+10,"")</f>
        <v/>
      </c>
      <c r="AI258" s="134" t="str">
        <f>_xlfn.IFNA(MATCH(I258,Achievements[[#All],[Column112]],0)+10,"")</f>
        <v/>
      </c>
      <c r="AJ258" s="134" t="str">
        <f>_xlfn.IFNA(MATCH(J258,Achievements[[#All],[Column113]],0)+10,"")</f>
        <v/>
      </c>
      <c r="AK258" s="134" t="str">
        <f>_xlfn.IFNA(MATCH(K258,Achievements[[#All],[Column113]],0)+10,"")</f>
        <v/>
      </c>
      <c r="AL258" s="134" t="str">
        <f>_xlfn.IFNA(MATCH(L258,Achievements[[#All],[Column114]],0)+10,"")</f>
        <v/>
      </c>
      <c r="AM258" s="134" t="str">
        <f>_xlfn.IFNA(MATCH(M258,Achievements[[#All],[Column114]],0)+10,"")</f>
        <v/>
      </c>
      <c r="AN258" s="134" t="str">
        <f>_xlfn.IFNA(MATCH(N258,Achievements[[#All],[Column115]],0)+10,"")</f>
        <v/>
      </c>
      <c r="AO258" s="134" t="str">
        <f>_xlfn.IFNA(MATCH(O258,Achievements[[#All],[Column115]],0)+10,"")</f>
        <v/>
      </c>
      <c r="AP258" s="134" t="str">
        <f>_xlfn.IFNA(MATCH(P258,Achievements[[#All],[Column116]],0)+10,"")</f>
        <v/>
      </c>
      <c r="AQ258" s="134" t="str">
        <f>_xlfn.IFNA(MATCH(Q258,Achievements[[#All],[Column116]],0)+10,"")</f>
        <v/>
      </c>
      <c r="AR258" s="134" t="str">
        <f>_xlfn.IFNA(MATCH(R258,Achievements[[#All],[Column117]],0)+10,"")</f>
        <v/>
      </c>
      <c r="AS258" s="134" t="str">
        <f>_xlfn.IFNA(MATCH(S258,Achievements[[#All],[Column117]],0)+10,"")</f>
        <v/>
      </c>
      <c r="AT258" s="134" t="str">
        <f>_xlfn.IFNA(MATCH(T258,Achievements[[#All],[Column118]],0)+10,"")</f>
        <v/>
      </c>
      <c r="AU258" s="134" t="str">
        <f>_xlfn.IFNA(MATCH(U258,Achievements[[#All],[Column118]],0)+10,"")</f>
        <v/>
      </c>
      <c r="AV258" s="134" t="str">
        <f>_xlfn.IFNA(MATCH(V258,Achievements[[#All],[Column119]],0)+10,"")</f>
        <v/>
      </c>
      <c r="AW258" s="134" t="str">
        <f>_xlfn.IFNA(MATCH(W258,Achievements[[#All],[Column119]],0)+10,"")</f>
        <v/>
      </c>
      <c r="AX258" s="134" t="str">
        <f>_xlfn.IFNA(MATCH(X258,Achievements[[#All],[Column120]],0)+10,"")</f>
        <v/>
      </c>
      <c r="AY258" s="134" t="str">
        <f>_xlfn.IFNA(MATCH(Y258,Achievements[[#All],[Column120]],0)+10,"")</f>
        <v/>
      </c>
      <c r="AZ258" s="116" t="e">
        <f t="shared" ca="1" si="6"/>
        <v>#NAME?</v>
      </c>
      <c r="BA258" s="134" t="e" cm="1">
        <f t="array" aca="1" ref="BA258" ca="1">SplitValues("; ",Persons[[#This Row],[Column1]])</f>
        <v>#NAME?</v>
      </c>
      <c r="CA258" s="134" t="e">
        <f ca="1">_xlfn.IFNA(MATCH(BA258,Achievements[[#All],[Column1]],0)+10,"")</f>
        <v>#NAME?</v>
      </c>
      <c r="CB258" s="134" t="str">
        <f>_xlfn.IFNA(MATCH(BB258,Achievements[[#All],[Column1]],0)+10,"")</f>
        <v/>
      </c>
      <c r="CC258" s="134" t="str">
        <f>_xlfn.IFNA(MATCH(BC258,Achievements[[#All],[Column110]],0)+10,"")</f>
        <v/>
      </c>
      <c r="CD258" s="134" t="str">
        <f>_xlfn.IFNA(MATCH(BD258,Achievements[[#All],[Column110]],0)+10,"")</f>
        <v/>
      </c>
      <c r="CE258" s="134" t="str">
        <f>_xlfn.IFNA(MATCH(BE258,Achievements[[#All],[Column111]],0)+10,"")</f>
        <v/>
      </c>
      <c r="CF258" s="134" t="str">
        <f>_xlfn.IFNA(MATCH(BF258,Achievements[[#All],[Column111]],0)+10,"")</f>
        <v/>
      </c>
      <c r="CG258" s="134" t="str">
        <f>_xlfn.IFNA(MATCH(BG258,Achievements[[#All],[Column112]],0)+10,"")</f>
        <v/>
      </c>
      <c r="CH258" s="134" t="str">
        <f>_xlfn.IFNA(MATCH(BH258,Achievements[[#All],[Column112]],0)+10,"")</f>
        <v/>
      </c>
      <c r="CI258" s="134" t="str">
        <f>_xlfn.IFNA(MATCH(BI258,Achievements[[#All],[Column113]],0)+10,"")</f>
        <v/>
      </c>
      <c r="CJ258" s="134" t="str">
        <f>_xlfn.IFNA(MATCH(BJ258,Achievements[[#All],[Column113]],0)+10,"")</f>
        <v/>
      </c>
      <c r="CK258" s="134" t="str">
        <f>_xlfn.IFNA(MATCH(BK258,Achievements[[#All],[Column114]],0)+10,"")</f>
        <v/>
      </c>
      <c r="CL258" s="134" t="str">
        <f>_xlfn.IFNA(MATCH(BL258,Achievements[[#All],[Column114]],0)+10,"")</f>
        <v/>
      </c>
      <c r="CM258" s="134" t="str">
        <f>_xlfn.IFNA(MATCH(BM258,Achievements[[#All],[Column115]],0)+10,"")</f>
        <v/>
      </c>
      <c r="CN258" s="134" t="str">
        <f>_xlfn.IFNA(MATCH(BN258,Achievements[[#All],[Column115]],0)+10,"")</f>
        <v/>
      </c>
      <c r="CO258" s="134" t="str">
        <f>_xlfn.IFNA(MATCH(BO258,Achievements[[#All],[Column116]],0)+10,"")</f>
        <v/>
      </c>
      <c r="CP258" s="134" t="str">
        <f>_xlfn.IFNA(MATCH(BP258,Achievements[[#All],[Column116]],0)+10,"")</f>
        <v/>
      </c>
      <c r="CQ258" s="134" t="str">
        <f>_xlfn.IFNA(MATCH(BQ258,Achievements[[#All],[Column117]],0)+10,"")</f>
        <v/>
      </c>
      <c r="CR258" s="134" t="str">
        <f>_xlfn.IFNA(MATCH(BR258,Achievements[[#All],[Column117]],0)+10,"")</f>
        <v/>
      </c>
      <c r="CS258" s="134" t="str">
        <f>_xlfn.IFNA(MATCH(BS258,Achievements[[#All],[Column118]],0)+10,"")</f>
        <v/>
      </c>
      <c r="CT258" s="134" t="str">
        <f>_xlfn.IFNA(MATCH(BT258,Achievements[[#All],[Column118]],0)+10,"")</f>
        <v/>
      </c>
      <c r="CU258" s="134" t="str">
        <f>_xlfn.IFNA(MATCH(BU258,Achievements[[#All],[Column119]],0)+10,"")</f>
        <v/>
      </c>
      <c r="CV258" s="134" t="str">
        <f>_xlfn.IFNA(MATCH(BV258,Achievements[[#All],[Column119]],0)+10,"")</f>
        <v/>
      </c>
      <c r="CW258" s="134" t="str">
        <f>_xlfn.IFNA(MATCH(BW258,Achievements[[#All],[Column120]],0)+10,"")</f>
        <v/>
      </c>
      <c r="CX258" s="134" t="str">
        <f>_xlfn.IFNA(MATCH(BX258,Achievements[[#All],[Column120]],0)+10,"")</f>
        <v/>
      </c>
      <c r="CY258" s="134" t="str">
        <f>_xlfn.IFNA(MATCH(BY258,Achievements[[#All],[Column121]],0)+10,"")</f>
        <v/>
      </c>
      <c r="CZ258" s="118" t="e">
        <f t="shared" ca="1" si="7"/>
        <v>#NAME?</v>
      </c>
    </row>
    <row r="259" spans="1:104" x14ac:dyDescent="0.25">
      <c r="A259" t="e" cm="1">
        <f t="array" aca="1" ref="A259" ca="1">SplitValues("; ",#REF!)</f>
        <v>#NAME?</v>
      </c>
      <c r="AA259" t="e">
        <f ca="1">_xlfn.IFNA(MATCH(A259,Achievements[[#All],[Column1]],0)+11,"")</f>
        <v>#NAME?</v>
      </c>
      <c r="AB259" s="134" t="str">
        <f>_xlfn.IFNA(MATCH(B259,Achievements[[#All],[Column1]],0)+10,"")</f>
        <v/>
      </c>
      <c r="AC259" s="134" t="str">
        <f>_xlfn.IFNA(MATCH(C259,Achievements[[#All],[Column1]],0)+10,"")</f>
        <v/>
      </c>
      <c r="AD259" s="134" t="str">
        <f>_xlfn.IFNA(MATCH(D259,Achievements[[#All],[Column110]],0)+10,"")</f>
        <v/>
      </c>
      <c r="AE259" s="134" t="str">
        <f>_xlfn.IFNA(MATCH(E259,Achievements[[#All],[Column110]],0)+10,"")</f>
        <v/>
      </c>
      <c r="AF259" s="134" t="str">
        <f>_xlfn.IFNA(MATCH(F259,Achievements[[#All],[Column111]],0)+10,"")</f>
        <v/>
      </c>
      <c r="AG259" s="134" t="str">
        <f>_xlfn.IFNA(MATCH(G259,Achievements[[#All],[Column111]],0)+10,"")</f>
        <v/>
      </c>
      <c r="AH259" s="134" t="str">
        <f>_xlfn.IFNA(MATCH(H259,Achievements[[#All],[Column112]],0)+10,"")</f>
        <v/>
      </c>
      <c r="AI259" s="134" t="str">
        <f>_xlfn.IFNA(MATCH(I259,Achievements[[#All],[Column112]],0)+10,"")</f>
        <v/>
      </c>
      <c r="AJ259" s="134" t="str">
        <f>_xlfn.IFNA(MATCH(J259,Achievements[[#All],[Column113]],0)+10,"")</f>
        <v/>
      </c>
      <c r="AK259" s="134" t="str">
        <f>_xlfn.IFNA(MATCH(K259,Achievements[[#All],[Column113]],0)+10,"")</f>
        <v/>
      </c>
      <c r="AL259" s="134" t="str">
        <f>_xlfn.IFNA(MATCH(L259,Achievements[[#All],[Column114]],0)+10,"")</f>
        <v/>
      </c>
      <c r="AM259" s="134" t="str">
        <f>_xlfn.IFNA(MATCH(M259,Achievements[[#All],[Column114]],0)+10,"")</f>
        <v/>
      </c>
      <c r="AN259" s="134" t="str">
        <f>_xlfn.IFNA(MATCH(N259,Achievements[[#All],[Column115]],0)+10,"")</f>
        <v/>
      </c>
      <c r="AO259" s="134" t="str">
        <f>_xlfn.IFNA(MATCH(O259,Achievements[[#All],[Column115]],0)+10,"")</f>
        <v/>
      </c>
      <c r="AP259" s="134" t="str">
        <f>_xlfn.IFNA(MATCH(P259,Achievements[[#All],[Column116]],0)+10,"")</f>
        <v/>
      </c>
      <c r="AQ259" s="134" t="str">
        <f>_xlfn.IFNA(MATCH(Q259,Achievements[[#All],[Column116]],0)+10,"")</f>
        <v/>
      </c>
      <c r="AR259" s="134" t="str">
        <f>_xlfn.IFNA(MATCH(R259,Achievements[[#All],[Column117]],0)+10,"")</f>
        <v/>
      </c>
      <c r="AS259" s="134" t="str">
        <f>_xlfn.IFNA(MATCH(S259,Achievements[[#All],[Column117]],0)+10,"")</f>
        <v/>
      </c>
      <c r="AT259" s="134" t="str">
        <f>_xlfn.IFNA(MATCH(T259,Achievements[[#All],[Column118]],0)+10,"")</f>
        <v/>
      </c>
      <c r="AU259" s="134" t="str">
        <f>_xlfn.IFNA(MATCH(U259,Achievements[[#All],[Column118]],0)+10,"")</f>
        <v/>
      </c>
      <c r="AV259" s="134" t="str">
        <f>_xlfn.IFNA(MATCH(V259,Achievements[[#All],[Column119]],0)+10,"")</f>
        <v/>
      </c>
      <c r="AW259" s="134" t="str">
        <f>_xlfn.IFNA(MATCH(W259,Achievements[[#All],[Column119]],0)+10,"")</f>
        <v/>
      </c>
      <c r="AX259" s="134" t="str">
        <f>_xlfn.IFNA(MATCH(X259,Achievements[[#All],[Column120]],0)+10,"")</f>
        <v/>
      </c>
      <c r="AY259" s="134" t="str">
        <f>_xlfn.IFNA(MATCH(Y259,Achievements[[#All],[Column120]],0)+10,"")</f>
        <v/>
      </c>
      <c r="AZ259" s="116" t="e">
        <f t="shared" ca="1" si="6"/>
        <v>#NAME?</v>
      </c>
      <c r="BA259" s="134" t="e" cm="1">
        <f t="array" aca="1" ref="BA259" ca="1">SplitValues("; ",Persons[[#This Row],[Column1]])</f>
        <v>#NAME?</v>
      </c>
      <c r="CA259" s="134" t="e">
        <f ca="1">_xlfn.IFNA(MATCH(BA259,Achievements[[#All],[Column1]],0)+10,"")</f>
        <v>#NAME?</v>
      </c>
      <c r="CB259" s="134" t="str">
        <f>_xlfn.IFNA(MATCH(BB259,Achievements[[#All],[Column1]],0)+10,"")</f>
        <v/>
      </c>
      <c r="CC259" s="134" t="str">
        <f>_xlfn.IFNA(MATCH(BC259,Achievements[[#All],[Column110]],0)+10,"")</f>
        <v/>
      </c>
      <c r="CD259" s="134" t="str">
        <f>_xlfn.IFNA(MATCH(BD259,Achievements[[#All],[Column110]],0)+10,"")</f>
        <v/>
      </c>
      <c r="CE259" s="134" t="str">
        <f>_xlfn.IFNA(MATCH(BE259,Achievements[[#All],[Column111]],0)+10,"")</f>
        <v/>
      </c>
      <c r="CF259" s="134" t="str">
        <f>_xlfn.IFNA(MATCH(BF259,Achievements[[#All],[Column111]],0)+10,"")</f>
        <v/>
      </c>
      <c r="CG259" s="134" t="str">
        <f>_xlfn.IFNA(MATCH(BG259,Achievements[[#All],[Column112]],0)+10,"")</f>
        <v/>
      </c>
      <c r="CH259" s="134" t="str">
        <f>_xlfn.IFNA(MATCH(BH259,Achievements[[#All],[Column112]],0)+10,"")</f>
        <v/>
      </c>
      <c r="CI259" s="134" t="str">
        <f>_xlfn.IFNA(MATCH(BI259,Achievements[[#All],[Column113]],0)+10,"")</f>
        <v/>
      </c>
      <c r="CJ259" s="134" t="str">
        <f>_xlfn.IFNA(MATCH(BJ259,Achievements[[#All],[Column113]],0)+10,"")</f>
        <v/>
      </c>
      <c r="CK259" s="134" t="str">
        <f>_xlfn.IFNA(MATCH(BK259,Achievements[[#All],[Column114]],0)+10,"")</f>
        <v/>
      </c>
      <c r="CL259" s="134" t="str">
        <f>_xlfn.IFNA(MATCH(BL259,Achievements[[#All],[Column114]],0)+10,"")</f>
        <v/>
      </c>
      <c r="CM259" s="134" t="str">
        <f>_xlfn.IFNA(MATCH(BM259,Achievements[[#All],[Column115]],0)+10,"")</f>
        <v/>
      </c>
      <c r="CN259" s="134" t="str">
        <f>_xlfn.IFNA(MATCH(BN259,Achievements[[#All],[Column115]],0)+10,"")</f>
        <v/>
      </c>
      <c r="CO259" s="134" t="str">
        <f>_xlfn.IFNA(MATCH(BO259,Achievements[[#All],[Column116]],0)+10,"")</f>
        <v/>
      </c>
      <c r="CP259" s="134" t="str">
        <f>_xlfn.IFNA(MATCH(BP259,Achievements[[#All],[Column116]],0)+10,"")</f>
        <v/>
      </c>
      <c r="CQ259" s="134" t="str">
        <f>_xlfn.IFNA(MATCH(BQ259,Achievements[[#All],[Column117]],0)+10,"")</f>
        <v/>
      </c>
      <c r="CR259" s="134" t="str">
        <f>_xlfn.IFNA(MATCH(BR259,Achievements[[#All],[Column117]],0)+10,"")</f>
        <v/>
      </c>
      <c r="CS259" s="134" t="str">
        <f>_xlfn.IFNA(MATCH(BS259,Achievements[[#All],[Column118]],0)+10,"")</f>
        <v/>
      </c>
      <c r="CT259" s="134" t="str">
        <f>_xlfn.IFNA(MATCH(BT259,Achievements[[#All],[Column118]],0)+10,"")</f>
        <v/>
      </c>
      <c r="CU259" s="134" t="str">
        <f>_xlfn.IFNA(MATCH(BU259,Achievements[[#All],[Column119]],0)+10,"")</f>
        <v/>
      </c>
      <c r="CV259" s="134" t="str">
        <f>_xlfn.IFNA(MATCH(BV259,Achievements[[#All],[Column119]],0)+10,"")</f>
        <v/>
      </c>
      <c r="CW259" s="134" t="str">
        <f>_xlfn.IFNA(MATCH(BW259,Achievements[[#All],[Column120]],0)+10,"")</f>
        <v/>
      </c>
      <c r="CX259" s="134" t="str">
        <f>_xlfn.IFNA(MATCH(BX259,Achievements[[#All],[Column120]],0)+10,"")</f>
        <v/>
      </c>
      <c r="CY259" s="134" t="str">
        <f>_xlfn.IFNA(MATCH(BY259,Achievements[[#All],[Column121]],0)+10,"")</f>
        <v/>
      </c>
      <c r="CZ259" s="118" t="e">
        <f t="shared" ca="1" si="7"/>
        <v>#NAME?</v>
      </c>
    </row>
    <row r="260" spans="1:104" x14ac:dyDescent="0.25">
      <c r="A260" t="e" cm="1">
        <f t="array" aca="1" ref="A260" ca="1">SplitValues("; ",#REF!)</f>
        <v>#NAME?</v>
      </c>
      <c r="AA260" t="e">
        <f ca="1">_xlfn.IFNA(MATCH(A260,Achievements[[#All],[Column1]],0)+11,"")</f>
        <v>#NAME?</v>
      </c>
      <c r="AB260" s="134" t="str">
        <f>_xlfn.IFNA(MATCH(B260,Achievements[[#All],[Column1]],0)+10,"")</f>
        <v/>
      </c>
      <c r="AC260" s="134" t="str">
        <f>_xlfn.IFNA(MATCH(C260,Achievements[[#All],[Column1]],0)+10,"")</f>
        <v/>
      </c>
      <c r="AD260" s="134" t="str">
        <f>_xlfn.IFNA(MATCH(D260,Achievements[[#All],[Column110]],0)+10,"")</f>
        <v/>
      </c>
      <c r="AE260" s="134" t="str">
        <f>_xlfn.IFNA(MATCH(E260,Achievements[[#All],[Column110]],0)+10,"")</f>
        <v/>
      </c>
      <c r="AF260" s="134" t="str">
        <f>_xlfn.IFNA(MATCH(F260,Achievements[[#All],[Column111]],0)+10,"")</f>
        <v/>
      </c>
      <c r="AG260" s="134" t="str">
        <f>_xlfn.IFNA(MATCH(G260,Achievements[[#All],[Column111]],0)+10,"")</f>
        <v/>
      </c>
      <c r="AH260" s="134" t="str">
        <f>_xlfn.IFNA(MATCH(H260,Achievements[[#All],[Column112]],0)+10,"")</f>
        <v/>
      </c>
      <c r="AI260" s="134" t="str">
        <f>_xlfn.IFNA(MATCH(I260,Achievements[[#All],[Column112]],0)+10,"")</f>
        <v/>
      </c>
      <c r="AJ260" s="134" t="str">
        <f>_xlfn.IFNA(MATCH(J260,Achievements[[#All],[Column113]],0)+10,"")</f>
        <v/>
      </c>
      <c r="AK260" s="134" t="str">
        <f>_xlfn.IFNA(MATCH(K260,Achievements[[#All],[Column113]],0)+10,"")</f>
        <v/>
      </c>
      <c r="AL260" s="134" t="str">
        <f>_xlfn.IFNA(MATCH(L260,Achievements[[#All],[Column114]],0)+10,"")</f>
        <v/>
      </c>
      <c r="AM260" s="134" t="str">
        <f>_xlfn.IFNA(MATCH(M260,Achievements[[#All],[Column114]],0)+10,"")</f>
        <v/>
      </c>
      <c r="AN260" s="134" t="str">
        <f>_xlfn.IFNA(MATCH(N260,Achievements[[#All],[Column115]],0)+10,"")</f>
        <v/>
      </c>
      <c r="AO260" s="134" t="str">
        <f>_xlfn.IFNA(MATCH(O260,Achievements[[#All],[Column115]],0)+10,"")</f>
        <v/>
      </c>
      <c r="AP260" s="134" t="str">
        <f>_xlfn.IFNA(MATCH(P260,Achievements[[#All],[Column116]],0)+10,"")</f>
        <v/>
      </c>
      <c r="AQ260" s="134" t="str">
        <f>_xlfn.IFNA(MATCH(Q260,Achievements[[#All],[Column116]],0)+10,"")</f>
        <v/>
      </c>
      <c r="AR260" s="134" t="str">
        <f>_xlfn.IFNA(MATCH(R260,Achievements[[#All],[Column117]],0)+10,"")</f>
        <v/>
      </c>
      <c r="AS260" s="134" t="str">
        <f>_xlfn.IFNA(MATCH(S260,Achievements[[#All],[Column117]],0)+10,"")</f>
        <v/>
      </c>
      <c r="AT260" s="134" t="str">
        <f>_xlfn.IFNA(MATCH(T260,Achievements[[#All],[Column118]],0)+10,"")</f>
        <v/>
      </c>
      <c r="AU260" s="134" t="str">
        <f>_xlfn.IFNA(MATCH(U260,Achievements[[#All],[Column118]],0)+10,"")</f>
        <v/>
      </c>
      <c r="AV260" s="134" t="str">
        <f>_xlfn.IFNA(MATCH(V260,Achievements[[#All],[Column119]],0)+10,"")</f>
        <v/>
      </c>
      <c r="AW260" s="134" t="str">
        <f>_xlfn.IFNA(MATCH(W260,Achievements[[#All],[Column119]],0)+10,"")</f>
        <v/>
      </c>
      <c r="AX260" s="134" t="str">
        <f>_xlfn.IFNA(MATCH(X260,Achievements[[#All],[Column120]],0)+10,"")</f>
        <v/>
      </c>
      <c r="AY260" s="134" t="str">
        <f>_xlfn.IFNA(MATCH(Y260,Achievements[[#All],[Column120]],0)+10,"")</f>
        <v/>
      </c>
      <c r="AZ260" s="116" t="e">
        <f t="shared" ca="1" si="6"/>
        <v>#NAME?</v>
      </c>
      <c r="BA260" s="134" t="e" cm="1">
        <f t="array" aca="1" ref="BA260" ca="1">SplitValues("; ",Persons[[#This Row],[Column1]])</f>
        <v>#NAME?</v>
      </c>
      <c r="CA260" s="134" t="e">
        <f ca="1">_xlfn.IFNA(MATCH(BA260,Achievements[[#All],[Column1]],0)+10,"")</f>
        <v>#NAME?</v>
      </c>
      <c r="CB260" s="134" t="str">
        <f>_xlfn.IFNA(MATCH(BB260,Achievements[[#All],[Column1]],0)+10,"")</f>
        <v/>
      </c>
      <c r="CC260" s="134" t="str">
        <f>_xlfn.IFNA(MATCH(BC260,Achievements[[#All],[Column110]],0)+10,"")</f>
        <v/>
      </c>
      <c r="CD260" s="134" t="str">
        <f>_xlfn.IFNA(MATCH(BD260,Achievements[[#All],[Column110]],0)+10,"")</f>
        <v/>
      </c>
      <c r="CE260" s="134" t="str">
        <f>_xlfn.IFNA(MATCH(BE260,Achievements[[#All],[Column111]],0)+10,"")</f>
        <v/>
      </c>
      <c r="CF260" s="134" t="str">
        <f>_xlfn.IFNA(MATCH(BF260,Achievements[[#All],[Column111]],0)+10,"")</f>
        <v/>
      </c>
      <c r="CG260" s="134" t="str">
        <f>_xlfn.IFNA(MATCH(BG260,Achievements[[#All],[Column112]],0)+10,"")</f>
        <v/>
      </c>
      <c r="CH260" s="134" t="str">
        <f>_xlfn.IFNA(MATCH(BH260,Achievements[[#All],[Column112]],0)+10,"")</f>
        <v/>
      </c>
      <c r="CI260" s="134" t="str">
        <f>_xlfn.IFNA(MATCH(BI260,Achievements[[#All],[Column113]],0)+10,"")</f>
        <v/>
      </c>
      <c r="CJ260" s="134" t="str">
        <f>_xlfn.IFNA(MATCH(BJ260,Achievements[[#All],[Column113]],0)+10,"")</f>
        <v/>
      </c>
      <c r="CK260" s="134" t="str">
        <f>_xlfn.IFNA(MATCH(BK260,Achievements[[#All],[Column114]],0)+10,"")</f>
        <v/>
      </c>
      <c r="CL260" s="134" t="str">
        <f>_xlfn.IFNA(MATCH(BL260,Achievements[[#All],[Column114]],0)+10,"")</f>
        <v/>
      </c>
      <c r="CM260" s="134" t="str">
        <f>_xlfn.IFNA(MATCH(BM260,Achievements[[#All],[Column115]],0)+10,"")</f>
        <v/>
      </c>
      <c r="CN260" s="134" t="str">
        <f>_xlfn.IFNA(MATCH(BN260,Achievements[[#All],[Column115]],0)+10,"")</f>
        <v/>
      </c>
      <c r="CO260" s="134" t="str">
        <f>_xlfn.IFNA(MATCH(BO260,Achievements[[#All],[Column116]],0)+10,"")</f>
        <v/>
      </c>
      <c r="CP260" s="134" t="str">
        <f>_xlfn.IFNA(MATCH(BP260,Achievements[[#All],[Column116]],0)+10,"")</f>
        <v/>
      </c>
      <c r="CQ260" s="134" t="str">
        <f>_xlfn.IFNA(MATCH(BQ260,Achievements[[#All],[Column117]],0)+10,"")</f>
        <v/>
      </c>
      <c r="CR260" s="134" t="str">
        <f>_xlfn.IFNA(MATCH(BR260,Achievements[[#All],[Column117]],0)+10,"")</f>
        <v/>
      </c>
      <c r="CS260" s="134" t="str">
        <f>_xlfn.IFNA(MATCH(BS260,Achievements[[#All],[Column118]],0)+10,"")</f>
        <v/>
      </c>
      <c r="CT260" s="134" t="str">
        <f>_xlfn.IFNA(MATCH(BT260,Achievements[[#All],[Column118]],0)+10,"")</f>
        <v/>
      </c>
      <c r="CU260" s="134" t="str">
        <f>_xlfn.IFNA(MATCH(BU260,Achievements[[#All],[Column119]],0)+10,"")</f>
        <v/>
      </c>
      <c r="CV260" s="134" t="str">
        <f>_xlfn.IFNA(MATCH(BV260,Achievements[[#All],[Column119]],0)+10,"")</f>
        <v/>
      </c>
      <c r="CW260" s="134" t="str">
        <f>_xlfn.IFNA(MATCH(BW260,Achievements[[#All],[Column120]],0)+10,"")</f>
        <v/>
      </c>
      <c r="CX260" s="134" t="str">
        <f>_xlfn.IFNA(MATCH(BX260,Achievements[[#All],[Column120]],0)+10,"")</f>
        <v/>
      </c>
      <c r="CY260" s="134" t="str">
        <f>_xlfn.IFNA(MATCH(BY260,Achievements[[#All],[Column121]],0)+10,"")</f>
        <v/>
      </c>
      <c r="CZ260" s="118" t="e">
        <f t="shared" ca="1" si="7"/>
        <v>#NAME?</v>
      </c>
    </row>
    <row r="261" spans="1:104" x14ac:dyDescent="0.25">
      <c r="A261" t="e" cm="1">
        <f t="array" aca="1" ref="A261" ca="1">SplitValues("; ",#REF!)</f>
        <v>#NAME?</v>
      </c>
      <c r="AA261" t="e">
        <f ca="1">_xlfn.IFNA(MATCH(A261,Achievements[[#All],[Column1]],0)+11,"")</f>
        <v>#NAME?</v>
      </c>
      <c r="AB261" s="134" t="str">
        <f>_xlfn.IFNA(MATCH(B261,Achievements[[#All],[Column1]],0)+10,"")</f>
        <v/>
      </c>
      <c r="AC261" s="134" t="str">
        <f>_xlfn.IFNA(MATCH(C261,Achievements[[#All],[Column1]],0)+10,"")</f>
        <v/>
      </c>
      <c r="AD261" s="134" t="str">
        <f>_xlfn.IFNA(MATCH(D261,Achievements[[#All],[Column110]],0)+10,"")</f>
        <v/>
      </c>
      <c r="AE261" s="134" t="str">
        <f>_xlfn.IFNA(MATCH(E261,Achievements[[#All],[Column110]],0)+10,"")</f>
        <v/>
      </c>
      <c r="AF261" s="134" t="str">
        <f>_xlfn.IFNA(MATCH(F261,Achievements[[#All],[Column111]],0)+10,"")</f>
        <v/>
      </c>
      <c r="AG261" s="134" t="str">
        <f>_xlfn.IFNA(MATCH(G261,Achievements[[#All],[Column111]],0)+10,"")</f>
        <v/>
      </c>
      <c r="AH261" s="134" t="str">
        <f>_xlfn.IFNA(MATCH(H261,Achievements[[#All],[Column112]],0)+10,"")</f>
        <v/>
      </c>
      <c r="AI261" s="134" t="str">
        <f>_xlfn.IFNA(MATCH(I261,Achievements[[#All],[Column112]],0)+10,"")</f>
        <v/>
      </c>
      <c r="AJ261" s="134" t="str">
        <f>_xlfn.IFNA(MATCH(J261,Achievements[[#All],[Column113]],0)+10,"")</f>
        <v/>
      </c>
      <c r="AK261" s="134" t="str">
        <f>_xlfn.IFNA(MATCH(K261,Achievements[[#All],[Column113]],0)+10,"")</f>
        <v/>
      </c>
      <c r="AL261" s="134" t="str">
        <f>_xlfn.IFNA(MATCH(L261,Achievements[[#All],[Column114]],0)+10,"")</f>
        <v/>
      </c>
      <c r="AM261" s="134" t="str">
        <f>_xlfn.IFNA(MATCH(M261,Achievements[[#All],[Column114]],0)+10,"")</f>
        <v/>
      </c>
      <c r="AN261" s="134" t="str">
        <f>_xlfn.IFNA(MATCH(N261,Achievements[[#All],[Column115]],0)+10,"")</f>
        <v/>
      </c>
      <c r="AO261" s="134" t="str">
        <f>_xlfn.IFNA(MATCH(O261,Achievements[[#All],[Column115]],0)+10,"")</f>
        <v/>
      </c>
      <c r="AP261" s="134" t="str">
        <f>_xlfn.IFNA(MATCH(P261,Achievements[[#All],[Column116]],0)+10,"")</f>
        <v/>
      </c>
      <c r="AQ261" s="134" t="str">
        <f>_xlfn.IFNA(MATCH(Q261,Achievements[[#All],[Column116]],0)+10,"")</f>
        <v/>
      </c>
      <c r="AR261" s="134" t="str">
        <f>_xlfn.IFNA(MATCH(R261,Achievements[[#All],[Column117]],0)+10,"")</f>
        <v/>
      </c>
      <c r="AS261" s="134" t="str">
        <f>_xlfn.IFNA(MATCH(S261,Achievements[[#All],[Column117]],0)+10,"")</f>
        <v/>
      </c>
      <c r="AT261" s="134" t="str">
        <f>_xlfn.IFNA(MATCH(T261,Achievements[[#All],[Column118]],0)+10,"")</f>
        <v/>
      </c>
      <c r="AU261" s="134" t="str">
        <f>_xlfn.IFNA(MATCH(U261,Achievements[[#All],[Column118]],0)+10,"")</f>
        <v/>
      </c>
      <c r="AV261" s="134" t="str">
        <f>_xlfn.IFNA(MATCH(V261,Achievements[[#All],[Column119]],0)+10,"")</f>
        <v/>
      </c>
      <c r="AW261" s="134" t="str">
        <f>_xlfn.IFNA(MATCH(W261,Achievements[[#All],[Column119]],0)+10,"")</f>
        <v/>
      </c>
      <c r="AX261" s="134" t="str">
        <f>_xlfn.IFNA(MATCH(X261,Achievements[[#All],[Column120]],0)+10,"")</f>
        <v/>
      </c>
      <c r="AY261" s="134" t="str">
        <f>_xlfn.IFNA(MATCH(Y261,Achievements[[#All],[Column120]],0)+10,"")</f>
        <v/>
      </c>
      <c r="AZ261" s="116" t="e">
        <f t="shared" ca="1" si="6"/>
        <v>#NAME?</v>
      </c>
      <c r="BA261" s="134" t="e" cm="1">
        <f t="array" aca="1" ref="BA261" ca="1">SplitValues("; ",Persons[[#This Row],[Column1]])</f>
        <v>#NAME?</v>
      </c>
      <c r="CA261" s="134" t="e">
        <f ca="1">_xlfn.IFNA(MATCH(BA261,Achievements[[#All],[Column1]],0)+10,"")</f>
        <v>#NAME?</v>
      </c>
      <c r="CB261" s="134" t="str">
        <f>_xlfn.IFNA(MATCH(BB261,Achievements[[#All],[Column1]],0)+10,"")</f>
        <v/>
      </c>
      <c r="CC261" s="134" t="str">
        <f>_xlfn.IFNA(MATCH(BC261,Achievements[[#All],[Column110]],0)+10,"")</f>
        <v/>
      </c>
      <c r="CD261" s="134" t="str">
        <f>_xlfn.IFNA(MATCH(BD261,Achievements[[#All],[Column110]],0)+10,"")</f>
        <v/>
      </c>
      <c r="CE261" s="134" t="str">
        <f>_xlfn.IFNA(MATCH(BE261,Achievements[[#All],[Column111]],0)+10,"")</f>
        <v/>
      </c>
      <c r="CF261" s="134" t="str">
        <f>_xlfn.IFNA(MATCH(BF261,Achievements[[#All],[Column111]],0)+10,"")</f>
        <v/>
      </c>
      <c r="CG261" s="134" t="str">
        <f>_xlfn.IFNA(MATCH(BG261,Achievements[[#All],[Column112]],0)+10,"")</f>
        <v/>
      </c>
      <c r="CH261" s="134" t="str">
        <f>_xlfn.IFNA(MATCH(BH261,Achievements[[#All],[Column112]],0)+10,"")</f>
        <v/>
      </c>
      <c r="CI261" s="134" t="str">
        <f>_xlfn.IFNA(MATCH(BI261,Achievements[[#All],[Column113]],0)+10,"")</f>
        <v/>
      </c>
      <c r="CJ261" s="134" t="str">
        <f>_xlfn.IFNA(MATCH(BJ261,Achievements[[#All],[Column113]],0)+10,"")</f>
        <v/>
      </c>
      <c r="CK261" s="134" t="str">
        <f>_xlfn.IFNA(MATCH(BK261,Achievements[[#All],[Column114]],0)+10,"")</f>
        <v/>
      </c>
      <c r="CL261" s="134" t="str">
        <f>_xlfn.IFNA(MATCH(BL261,Achievements[[#All],[Column114]],0)+10,"")</f>
        <v/>
      </c>
      <c r="CM261" s="134" t="str">
        <f>_xlfn.IFNA(MATCH(BM261,Achievements[[#All],[Column115]],0)+10,"")</f>
        <v/>
      </c>
      <c r="CN261" s="134" t="str">
        <f>_xlfn.IFNA(MATCH(BN261,Achievements[[#All],[Column115]],0)+10,"")</f>
        <v/>
      </c>
      <c r="CO261" s="134" t="str">
        <f>_xlfn.IFNA(MATCH(BO261,Achievements[[#All],[Column116]],0)+10,"")</f>
        <v/>
      </c>
      <c r="CP261" s="134" t="str">
        <f>_xlfn.IFNA(MATCH(BP261,Achievements[[#All],[Column116]],0)+10,"")</f>
        <v/>
      </c>
      <c r="CQ261" s="134" t="str">
        <f>_xlfn.IFNA(MATCH(BQ261,Achievements[[#All],[Column117]],0)+10,"")</f>
        <v/>
      </c>
      <c r="CR261" s="134" t="str">
        <f>_xlfn.IFNA(MATCH(BR261,Achievements[[#All],[Column117]],0)+10,"")</f>
        <v/>
      </c>
      <c r="CS261" s="134" t="str">
        <f>_xlfn.IFNA(MATCH(BS261,Achievements[[#All],[Column118]],0)+10,"")</f>
        <v/>
      </c>
      <c r="CT261" s="134" t="str">
        <f>_xlfn.IFNA(MATCH(BT261,Achievements[[#All],[Column118]],0)+10,"")</f>
        <v/>
      </c>
      <c r="CU261" s="134" t="str">
        <f>_xlfn.IFNA(MATCH(BU261,Achievements[[#All],[Column119]],0)+10,"")</f>
        <v/>
      </c>
      <c r="CV261" s="134" t="str">
        <f>_xlfn.IFNA(MATCH(BV261,Achievements[[#All],[Column119]],0)+10,"")</f>
        <v/>
      </c>
      <c r="CW261" s="134" t="str">
        <f>_xlfn.IFNA(MATCH(BW261,Achievements[[#All],[Column120]],0)+10,"")</f>
        <v/>
      </c>
      <c r="CX261" s="134" t="str">
        <f>_xlfn.IFNA(MATCH(BX261,Achievements[[#All],[Column120]],0)+10,"")</f>
        <v/>
      </c>
      <c r="CY261" s="134" t="str">
        <f>_xlfn.IFNA(MATCH(BY261,Achievements[[#All],[Column121]],0)+10,"")</f>
        <v/>
      </c>
      <c r="CZ261" s="118" t="e">
        <f t="shared" ca="1" si="7"/>
        <v>#NAME?</v>
      </c>
    </row>
    <row r="262" spans="1:104" x14ac:dyDescent="0.25">
      <c r="A262" t="e" cm="1">
        <f t="array" aca="1" ref="A262" ca="1">SplitValues("; ",#REF!)</f>
        <v>#NAME?</v>
      </c>
      <c r="AA262" t="e">
        <f ca="1">_xlfn.IFNA(MATCH(A262,Achievements[[#All],[Column1]],0)+11,"")</f>
        <v>#NAME?</v>
      </c>
      <c r="AB262" s="134" t="str">
        <f>_xlfn.IFNA(MATCH(B262,Achievements[[#All],[Column1]],0)+10,"")</f>
        <v/>
      </c>
      <c r="AC262" s="134" t="str">
        <f>_xlfn.IFNA(MATCH(C262,Achievements[[#All],[Column1]],0)+10,"")</f>
        <v/>
      </c>
      <c r="AD262" s="134" t="str">
        <f>_xlfn.IFNA(MATCH(D262,Achievements[[#All],[Column110]],0)+10,"")</f>
        <v/>
      </c>
      <c r="AE262" s="134" t="str">
        <f>_xlfn.IFNA(MATCH(E262,Achievements[[#All],[Column110]],0)+10,"")</f>
        <v/>
      </c>
      <c r="AF262" s="134" t="str">
        <f>_xlfn.IFNA(MATCH(F262,Achievements[[#All],[Column111]],0)+10,"")</f>
        <v/>
      </c>
      <c r="AG262" s="134" t="str">
        <f>_xlfn.IFNA(MATCH(G262,Achievements[[#All],[Column111]],0)+10,"")</f>
        <v/>
      </c>
      <c r="AH262" s="134" t="str">
        <f>_xlfn.IFNA(MATCH(H262,Achievements[[#All],[Column112]],0)+10,"")</f>
        <v/>
      </c>
      <c r="AI262" s="134" t="str">
        <f>_xlfn.IFNA(MATCH(I262,Achievements[[#All],[Column112]],0)+10,"")</f>
        <v/>
      </c>
      <c r="AJ262" s="134" t="str">
        <f>_xlfn.IFNA(MATCH(J262,Achievements[[#All],[Column113]],0)+10,"")</f>
        <v/>
      </c>
      <c r="AK262" s="134" t="str">
        <f>_xlfn.IFNA(MATCH(K262,Achievements[[#All],[Column113]],0)+10,"")</f>
        <v/>
      </c>
      <c r="AL262" s="134" t="str">
        <f>_xlfn.IFNA(MATCH(L262,Achievements[[#All],[Column114]],0)+10,"")</f>
        <v/>
      </c>
      <c r="AM262" s="134" t="str">
        <f>_xlfn.IFNA(MATCH(M262,Achievements[[#All],[Column114]],0)+10,"")</f>
        <v/>
      </c>
      <c r="AN262" s="134" t="str">
        <f>_xlfn.IFNA(MATCH(N262,Achievements[[#All],[Column115]],0)+10,"")</f>
        <v/>
      </c>
      <c r="AO262" s="134" t="str">
        <f>_xlfn.IFNA(MATCH(O262,Achievements[[#All],[Column115]],0)+10,"")</f>
        <v/>
      </c>
      <c r="AP262" s="134" t="str">
        <f>_xlfn.IFNA(MATCH(P262,Achievements[[#All],[Column116]],0)+10,"")</f>
        <v/>
      </c>
      <c r="AQ262" s="134" t="str">
        <f>_xlfn.IFNA(MATCH(Q262,Achievements[[#All],[Column116]],0)+10,"")</f>
        <v/>
      </c>
      <c r="AR262" s="134" t="str">
        <f>_xlfn.IFNA(MATCH(R262,Achievements[[#All],[Column117]],0)+10,"")</f>
        <v/>
      </c>
      <c r="AS262" s="134" t="str">
        <f>_xlfn.IFNA(MATCH(S262,Achievements[[#All],[Column117]],0)+10,"")</f>
        <v/>
      </c>
      <c r="AT262" s="134" t="str">
        <f>_xlfn.IFNA(MATCH(T262,Achievements[[#All],[Column118]],0)+10,"")</f>
        <v/>
      </c>
      <c r="AU262" s="134" t="str">
        <f>_xlfn.IFNA(MATCH(U262,Achievements[[#All],[Column118]],0)+10,"")</f>
        <v/>
      </c>
      <c r="AV262" s="134" t="str">
        <f>_xlfn.IFNA(MATCH(V262,Achievements[[#All],[Column119]],0)+10,"")</f>
        <v/>
      </c>
      <c r="AW262" s="134" t="str">
        <f>_xlfn.IFNA(MATCH(W262,Achievements[[#All],[Column119]],0)+10,"")</f>
        <v/>
      </c>
      <c r="AX262" s="134" t="str">
        <f>_xlfn.IFNA(MATCH(X262,Achievements[[#All],[Column120]],0)+10,"")</f>
        <v/>
      </c>
      <c r="AY262" s="134" t="str">
        <f>_xlfn.IFNA(MATCH(Y262,Achievements[[#All],[Column120]],0)+10,"")</f>
        <v/>
      </c>
      <c r="AZ262" s="116" t="e">
        <f t="shared" ca="1" si="6"/>
        <v>#NAME?</v>
      </c>
      <c r="BA262" s="134" t="e" cm="1">
        <f t="array" aca="1" ref="BA262" ca="1">SplitValues("; ",Persons[[#This Row],[Column1]])</f>
        <v>#NAME?</v>
      </c>
      <c r="CA262" s="134" t="e">
        <f ca="1">_xlfn.IFNA(MATCH(BA262,Achievements[[#All],[Column1]],0)+10,"")</f>
        <v>#NAME?</v>
      </c>
      <c r="CB262" s="134" t="str">
        <f>_xlfn.IFNA(MATCH(BB262,Achievements[[#All],[Column1]],0)+10,"")</f>
        <v/>
      </c>
      <c r="CC262" s="134" t="str">
        <f>_xlfn.IFNA(MATCH(BC262,Achievements[[#All],[Column110]],0)+10,"")</f>
        <v/>
      </c>
      <c r="CD262" s="134" t="str">
        <f>_xlfn.IFNA(MATCH(BD262,Achievements[[#All],[Column110]],0)+10,"")</f>
        <v/>
      </c>
      <c r="CE262" s="134" t="str">
        <f>_xlfn.IFNA(MATCH(BE262,Achievements[[#All],[Column111]],0)+10,"")</f>
        <v/>
      </c>
      <c r="CF262" s="134" t="str">
        <f>_xlfn.IFNA(MATCH(BF262,Achievements[[#All],[Column111]],0)+10,"")</f>
        <v/>
      </c>
      <c r="CG262" s="134" t="str">
        <f>_xlfn.IFNA(MATCH(BG262,Achievements[[#All],[Column112]],0)+10,"")</f>
        <v/>
      </c>
      <c r="CH262" s="134" t="str">
        <f>_xlfn.IFNA(MATCH(BH262,Achievements[[#All],[Column112]],0)+10,"")</f>
        <v/>
      </c>
      <c r="CI262" s="134" t="str">
        <f>_xlfn.IFNA(MATCH(BI262,Achievements[[#All],[Column113]],0)+10,"")</f>
        <v/>
      </c>
      <c r="CJ262" s="134" t="str">
        <f>_xlfn.IFNA(MATCH(BJ262,Achievements[[#All],[Column113]],0)+10,"")</f>
        <v/>
      </c>
      <c r="CK262" s="134" t="str">
        <f>_xlfn.IFNA(MATCH(BK262,Achievements[[#All],[Column114]],0)+10,"")</f>
        <v/>
      </c>
      <c r="CL262" s="134" t="str">
        <f>_xlfn.IFNA(MATCH(BL262,Achievements[[#All],[Column114]],0)+10,"")</f>
        <v/>
      </c>
      <c r="CM262" s="134" t="str">
        <f>_xlfn.IFNA(MATCH(BM262,Achievements[[#All],[Column115]],0)+10,"")</f>
        <v/>
      </c>
      <c r="CN262" s="134" t="str">
        <f>_xlfn.IFNA(MATCH(BN262,Achievements[[#All],[Column115]],0)+10,"")</f>
        <v/>
      </c>
      <c r="CO262" s="134" t="str">
        <f>_xlfn.IFNA(MATCH(BO262,Achievements[[#All],[Column116]],0)+10,"")</f>
        <v/>
      </c>
      <c r="CP262" s="134" t="str">
        <f>_xlfn.IFNA(MATCH(BP262,Achievements[[#All],[Column116]],0)+10,"")</f>
        <v/>
      </c>
      <c r="CQ262" s="134" t="str">
        <f>_xlfn.IFNA(MATCH(BQ262,Achievements[[#All],[Column117]],0)+10,"")</f>
        <v/>
      </c>
      <c r="CR262" s="134" t="str">
        <f>_xlfn.IFNA(MATCH(BR262,Achievements[[#All],[Column117]],0)+10,"")</f>
        <v/>
      </c>
      <c r="CS262" s="134" t="str">
        <f>_xlfn.IFNA(MATCH(BS262,Achievements[[#All],[Column118]],0)+10,"")</f>
        <v/>
      </c>
      <c r="CT262" s="134" t="str">
        <f>_xlfn.IFNA(MATCH(BT262,Achievements[[#All],[Column118]],0)+10,"")</f>
        <v/>
      </c>
      <c r="CU262" s="134" t="str">
        <f>_xlfn.IFNA(MATCH(BU262,Achievements[[#All],[Column119]],0)+10,"")</f>
        <v/>
      </c>
      <c r="CV262" s="134" t="str">
        <f>_xlfn.IFNA(MATCH(BV262,Achievements[[#All],[Column119]],0)+10,"")</f>
        <v/>
      </c>
      <c r="CW262" s="134" t="str">
        <f>_xlfn.IFNA(MATCH(BW262,Achievements[[#All],[Column120]],0)+10,"")</f>
        <v/>
      </c>
      <c r="CX262" s="134" t="str">
        <f>_xlfn.IFNA(MATCH(BX262,Achievements[[#All],[Column120]],0)+10,"")</f>
        <v/>
      </c>
      <c r="CY262" s="134" t="str">
        <f>_xlfn.IFNA(MATCH(BY262,Achievements[[#All],[Column121]],0)+10,"")</f>
        <v/>
      </c>
      <c r="CZ262" s="118" t="e">
        <f t="shared" ca="1" si="7"/>
        <v>#NAME?</v>
      </c>
    </row>
    <row r="263" spans="1:104" x14ac:dyDescent="0.25">
      <c r="A263" t="e" cm="1">
        <f t="array" aca="1" ref="A263" ca="1">SplitValues("; ",#REF!)</f>
        <v>#NAME?</v>
      </c>
      <c r="AA263" t="e">
        <f ca="1">_xlfn.IFNA(MATCH(A263,Achievements[[#All],[Column1]],0)+11,"")</f>
        <v>#NAME?</v>
      </c>
      <c r="AB263" s="134" t="str">
        <f>_xlfn.IFNA(MATCH(B263,Achievements[[#All],[Column1]],0)+10,"")</f>
        <v/>
      </c>
      <c r="AC263" s="134" t="str">
        <f>_xlfn.IFNA(MATCH(C263,Achievements[[#All],[Column1]],0)+10,"")</f>
        <v/>
      </c>
      <c r="AD263" s="134" t="str">
        <f>_xlfn.IFNA(MATCH(D263,Achievements[[#All],[Column110]],0)+10,"")</f>
        <v/>
      </c>
      <c r="AE263" s="134" t="str">
        <f>_xlfn.IFNA(MATCH(E263,Achievements[[#All],[Column110]],0)+10,"")</f>
        <v/>
      </c>
      <c r="AF263" s="134" t="str">
        <f>_xlfn.IFNA(MATCH(F263,Achievements[[#All],[Column111]],0)+10,"")</f>
        <v/>
      </c>
      <c r="AG263" s="134" t="str">
        <f>_xlfn.IFNA(MATCH(G263,Achievements[[#All],[Column111]],0)+10,"")</f>
        <v/>
      </c>
      <c r="AH263" s="134" t="str">
        <f>_xlfn.IFNA(MATCH(H263,Achievements[[#All],[Column112]],0)+10,"")</f>
        <v/>
      </c>
      <c r="AI263" s="134" t="str">
        <f>_xlfn.IFNA(MATCH(I263,Achievements[[#All],[Column112]],0)+10,"")</f>
        <v/>
      </c>
      <c r="AJ263" s="134" t="str">
        <f>_xlfn.IFNA(MATCH(J263,Achievements[[#All],[Column113]],0)+10,"")</f>
        <v/>
      </c>
      <c r="AK263" s="134" t="str">
        <f>_xlfn.IFNA(MATCH(K263,Achievements[[#All],[Column113]],0)+10,"")</f>
        <v/>
      </c>
      <c r="AL263" s="134" t="str">
        <f>_xlfn.IFNA(MATCH(L263,Achievements[[#All],[Column114]],0)+10,"")</f>
        <v/>
      </c>
      <c r="AM263" s="134" t="str">
        <f>_xlfn.IFNA(MATCH(M263,Achievements[[#All],[Column114]],0)+10,"")</f>
        <v/>
      </c>
      <c r="AN263" s="134" t="str">
        <f>_xlfn.IFNA(MATCH(N263,Achievements[[#All],[Column115]],0)+10,"")</f>
        <v/>
      </c>
      <c r="AO263" s="134" t="str">
        <f>_xlfn.IFNA(MATCH(O263,Achievements[[#All],[Column115]],0)+10,"")</f>
        <v/>
      </c>
      <c r="AP263" s="134" t="str">
        <f>_xlfn.IFNA(MATCH(P263,Achievements[[#All],[Column116]],0)+10,"")</f>
        <v/>
      </c>
      <c r="AQ263" s="134" t="str">
        <f>_xlfn.IFNA(MATCH(Q263,Achievements[[#All],[Column116]],0)+10,"")</f>
        <v/>
      </c>
      <c r="AR263" s="134" t="str">
        <f>_xlfn.IFNA(MATCH(R263,Achievements[[#All],[Column117]],0)+10,"")</f>
        <v/>
      </c>
      <c r="AS263" s="134" t="str">
        <f>_xlfn.IFNA(MATCH(S263,Achievements[[#All],[Column117]],0)+10,"")</f>
        <v/>
      </c>
      <c r="AT263" s="134" t="str">
        <f>_xlfn.IFNA(MATCH(T263,Achievements[[#All],[Column118]],0)+10,"")</f>
        <v/>
      </c>
      <c r="AU263" s="134" t="str">
        <f>_xlfn.IFNA(MATCH(U263,Achievements[[#All],[Column118]],0)+10,"")</f>
        <v/>
      </c>
      <c r="AV263" s="134" t="str">
        <f>_xlfn.IFNA(MATCH(V263,Achievements[[#All],[Column119]],0)+10,"")</f>
        <v/>
      </c>
      <c r="AW263" s="134" t="str">
        <f>_xlfn.IFNA(MATCH(W263,Achievements[[#All],[Column119]],0)+10,"")</f>
        <v/>
      </c>
      <c r="AX263" s="134" t="str">
        <f>_xlfn.IFNA(MATCH(X263,Achievements[[#All],[Column120]],0)+10,"")</f>
        <v/>
      </c>
      <c r="AY263" s="134" t="str">
        <f>_xlfn.IFNA(MATCH(Y263,Achievements[[#All],[Column120]],0)+10,"")</f>
        <v/>
      </c>
      <c r="AZ263" s="116" t="e">
        <f t="shared" ca="1" si="6"/>
        <v>#NAME?</v>
      </c>
      <c r="BA263" s="134" t="e" cm="1">
        <f t="array" aca="1" ref="BA263" ca="1">SplitValues("; ",Persons[[#This Row],[Column1]])</f>
        <v>#NAME?</v>
      </c>
      <c r="CA263" s="134" t="e">
        <f ca="1">_xlfn.IFNA(MATCH(BA263,Achievements[[#All],[Column1]],0)+10,"")</f>
        <v>#NAME?</v>
      </c>
      <c r="CB263" s="134" t="str">
        <f>_xlfn.IFNA(MATCH(BB263,Achievements[[#All],[Column1]],0)+10,"")</f>
        <v/>
      </c>
      <c r="CC263" s="134" t="str">
        <f>_xlfn.IFNA(MATCH(BC263,Achievements[[#All],[Column110]],0)+10,"")</f>
        <v/>
      </c>
      <c r="CD263" s="134" t="str">
        <f>_xlfn.IFNA(MATCH(BD263,Achievements[[#All],[Column110]],0)+10,"")</f>
        <v/>
      </c>
      <c r="CE263" s="134" t="str">
        <f>_xlfn.IFNA(MATCH(BE263,Achievements[[#All],[Column111]],0)+10,"")</f>
        <v/>
      </c>
      <c r="CF263" s="134" t="str">
        <f>_xlfn.IFNA(MATCH(BF263,Achievements[[#All],[Column111]],0)+10,"")</f>
        <v/>
      </c>
      <c r="CG263" s="134" t="str">
        <f>_xlfn.IFNA(MATCH(BG263,Achievements[[#All],[Column112]],0)+10,"")</f>
        <v/>
      </c>
      <c r="CH263" s="134" t="str">
        <f>_xlfn.IFNA(MATCH(BH263,Achievements[[#All],[Column112]],0)+10,"")</f>
        <v/>
      </c>
      <c r="CI263" s="134" t="str">
        <f>_xlfn.IFNA(MATCH(BI263,Achievements[[#All],[Column113]],0)+10,"")</f>
        <v/>
      </c>
      <c r="CJ263" s="134" t="str">
        <f>_xlfn.IFNA(MATCH(BJ263,Achievements[[#All],[Column113]],0)+10,"")</f>
        <v/>
      </c>
      <c r="CK263" s="134" t="str">
        <f>_xlfn.IFNA(MATCH(BK263,Achievements[[#All],[Column114]],0)+10,"")</f>
        <v/>
      </c>
      <c r="CL263" s="134" t="str">
        <f>_xlfn.IFNA(MATCH(BL263,Achievements[[#All],[Column114]],0)+10,"")</f>
        <v/>
      </c>
      <c r="CM263" s="134" t="str">
        <f>_xlfn.IFNA(MATCH(BM263,Achievements[[#All],[Column115]],0)+10,"")</f>
        <v/>
      </c>
      <c r="CN263" s="134" t="str">
        <f>_xlfn.IFNA(MATCH(BN263,Achievements[[#All],[Column115]],0)+10,"")</f>
        <v/>
      </c>
      <c r="CO263" s="134" t="str">
        <f>_xlfn.IFNA(MATCH(BO263,Achievements[[#All],[Column116]],0)+10,"")</f>
        <v/>
      </c>
      <c r="CP263" s="134" t="str">
        <f>_xlfn.IFNA(MATCH(BP263,Achievements[[#All],[Column116]],0)+10,"")</f>
        <v/>
      </c>
      <c r="CQ263" s="134" t="str">
        <f>_xlfn.IFNA(MATCH(BQ263,Achievements[[#All],[Column117]],0)+10,"")</f>
        <v/>
      </c>
      <c r="CR263" s="134" t="str">
        <f>_xlfn.IFNA(MATCH(BR263,Achievements[[#All],[Column117]],0)+10,"")</f>
        <v/>
      </c>
      <c r="CS263" s="134" t="str">
        <f>_xlfn.IFNA(MATCH(BS263,Achievements[[#All],[Column118]],0)+10,"")</f>
        <v/>
      </c>
      <c r="CT263" s="134" t="str">
        <f>_xlfn.IFNA(MATCH(BT263,Achievements[[#All],[Column118]],0)+10,"")</f>
        <v/>
      </c>
      <c r="CU263" s="134" t="str">
        <f>_xlfn.IFNA(MATCH(BU263,Achievements[[#All],[Column119]],0)+10,"")</f>
        <v/>
      </c>
      <c r="CV263" s="134" t="str">
        <f>_xlfn.IFNA(MATCH(BV263,Achievements[[#All],[Column119]],0)+10,"")</f>
        <v/>
      </c>
      <c r="CW263" s="134" t="str">
        <f>_xlfn.IFNA(MATCH(BW263,Achievements[[#All],[Column120]],0)+10,"")</f>
        <v/>
      </c>
      <c r="CX263" s="134" t="str">
        <f>_xlfn.IFNA(MATCH(BX263,Achievements[[#All],[Column120]],0)+10,"")</f>
        <v/>
      </c>
      <c r="CY263" s="134" t="str">
        <f>_xlfn.IFNA(MATCH(BY263,Achievements[[#All],[Column121]],0)+10,"")</f>
        <v/>
      </c>
      <c r="CZ263" s="118" t="e">
        <f t="shared" ca="1" si="7"/>
        <v>#NAME?</v>
      </c>
    </row>
    <row r="264" spans="1:104" x14ac:dyDescent="0.25">
      <c r="A264" t="e" cm="1">
        <f t="array" aca="1" ref="A264" ca="1">SplitValues("; ",#REF!)</f>
        <v>#NAME?</v>
      </c>
      <c r="AA264" t="e">
        <f ca="1">_xlfn.IFNA(MATCH(A264,Achievements[[#All],[Column1]],0)+11,"")</f>
        <v>#NAME?</v>
      </c>
      <c r="AB264" s="134" t="str">
        <f>_xlfn.IFNA(MATCH(B264,Achievements[[#All],[Column1]],0)+10,"")</f>
        <v/>
      </c>
      <c r="AC264" s="134" t="str">
        <f>_xlfn.IFNA(MATCH(C264,Achievements[[#All],[Column1]],0)+10,"")</f>
        <v/>
      </c>
      <c r="AD264" s="134" t="str">
        <f>_xlfn.IFNA(MATCH(D264,Achievements[[#All],[Column110]],0)+10,"")</f>
        <v/>
      </c>
      <c r="AE264" s="134" t="str">
        <f>_xlfn.IFNA(MATCH(E264,Achievements[[#All],[Column110]],0)+10,"")</f>
        <v/>
      </c>
      <c r="AF264" s="134" t="str">
        <f>_xlfn.IFNA(MATCH(F264,Achievements[[#All],[Column111]],0)+10,"")</f>
        <v/>
      </c>
      <c r="AG264" s="134" t="str">
        <f>_xlfn.IFNA(MATCH(G264,Achievements[[#All],[Column111]],0)+10,"")</f>
        <v/>
      </c>
      <c r="AH264" s="134" t="str">
        <f>_xlfn.IFNA(MATCH(H264,Achievements[[#All],[Column112]],0)+10,"")</f>
        <v/>
      </c>
      <c r="AI264" s="134" t="str">
        <f>_xlfn.IFNA(MATCH(I264,Achievements[[#All],[Column112]],0)+10,"")</f>
        <v/>
      </c>
      <c r="AJ264" s="134" t="str">
        <f>_xlfn.IFNA(MATCH(J264,Achievements[[#All],[Column113]],0)+10,"")</f>
        <v/>
      </c>
      <c r="AK264" s="134" t="str">
        <f>_xlfn.IFNA(MATCH(K264,Achievements[[#All],[Column113]],0)+10,"")</f>
        <v/>
      </c>
      <c r="AL264" s="134" t="str">
        <f>_xlfn.IFNA(MATCH(L264,Achievements[[#All],[Column114]],0)+10,"")</f>
        <v/>
      </c>
      <c r="AM264" s="134" t="str">
        <f>_xlfn.IFNA(MATCH(M264,Achievements[[#All],[Column114]],0)+10,"")</f>
        <v/>
      </c>
      <c r="AN264" s="134" t="str">
        <f>_xlfn.IFNA(MATCH(N264,Achievements[[#All],[Column115]],0)+10,"")</f>
        <v/>
      </c>
      <c r="AO264" s="134" t="str">
        <f>_xlfn.IFNA(MATCH(O264,Achievements[[#All],[Column115]],0)+10,"")</f>
        <v/>
      </c>
      <c r="AP264" s="134" t="str">
        <f>_xlfn.IFNA(MATCH(P264,Achievements[[#All],[Column116]],0)+10,"")</f>
        <v/>
      </c>
      <c r="AQ264" s="134" t="str">
        <f>_xlfn.IFNA(MATCH(Q264,Achievements[[#All],[Column116]],0)+10,"")</f>
        <v/>
      </c>
      <c r="AR264" s="134" t="str">
        <f>_xlfn.IFNA(MATCH(R264,Achievements[[#All],[Column117]],0)+10,"")</f>
        <v/>
      </c>
      <c r="AS264" s="134" t="str">
        <f>_xlfn.IFNA(MATCH(S264,Achievements[[#All],[Column117]],0)+10,"")</f>
        <v/>
      </c>
      <c r="AT264" s="134" t="str">
        <f>_xlfn.IFNA(MATCH(T264,Achievements[[#All],[Column118]],0)+10,"")</f>
        <v/>
      </c>
      <c r="AU264" s="134" t="str">
        <f>_xlfn.IFNA(MATCH(U264,Achievements[[#All],[Column118]],0)+10,"")</f>
        <v/>
      </c>
      <c r="AV264" s="134" t="str">
        <f>_xlfn.IFNA(MATCH(V264,Achievements[[#All],[Column119]],0)+10,"")</f>
        <v/>
      </c>
      <c r="AW264" s="134" t="str">
        <f>_xlfn.IFNA(MATCH(W264,Achievements[[#All],[Column119]],0)+10,"")</f>
        <v/>
      </c>
      <c r="AX264" s="134" t="str">
        <f>_xlfn.IFNA(MATCH(X264,Achievements[[#All],[Column120]],0)+10,"")</f>
        <v/>
      </c>
      <c r="AY264" s="134" t="str">
        <f>_xlfn.IFNA(MATCH(Y264,Achievements[[#All],[Column120]],0)+10,"")</f>
        <v/>
      </c>
      <c r="AZ264" s="116" t="e">
        <f t="shared" ca="1" si="6"/>
        <v>#NAME?</v>
      </c>
      <c r="BA264" s="134" t="e" cm="1">
        <f t="array" aca="1" ref="BA264" ca="1">SplitValues("; ",Persons[[#This Row],[Column1]])</f>
        <v>#NAME?</v>
      </c>
      <c r="CA264" s="134" t="e">
        <f ca="1">_xlfn.IFNA(MATCH(BA264,Achievements[[#All],[Column1]],0)+10,"")</f>
        <v>#NAME?</v>
      </c>
      <c r="CB264" s="134" t="str">
        <f>_xlfn.IFNA(MATCH(BB264,Achievements[[#All],[Column1]],0)+10,"")</f>
        <v/>
      </c>
      <c r="CC264" s="134" t="str">
        <f>_xlfn.IFNA(MATCH(BC264,Achievements[[#All],[Column110]],0)+10,"")</f>
        <v/>
      </c>
      <c r="CD264" s="134" t="str">
        <f>_xlfn.IFNA(MATCH(BD264,Achievements[[#All],[Column110]],0)+10,"")</f>
        <v/>
      </c>
      <c r="CE264" s="134" t="str">
        <f>_xlfn.IFNA(MATCH(BE264,Achievements[[#All],[Column111]],0)+10,"")</f>
        <v/>
      </c>
      <c r="CF264" s="134" t="str">
        <f>_xlfn.IFNA(MATCH(BF264,Achievements[[#All],[Column111]],0)+10,"")</f>
        <v/>
      </c>
      <c r="CG264" s="134" t="str">
        <f>_xlfn.IFNA(MATCH(BG264,Achievements[[#All],[Column112]],0)+10,"")</f>
        <v/>
      </c>
      <c r="CH264" s="134" t="str">
        <f>_xlfn.IFNA(MATCH(BH264,Achievements[[#All],[Column112]],0)+10,"")</f>
        <v/>
      </c>
      <c r="CI264" s="134" t="str">
        <f>_xlfn.IFNA(MATCH(BI264,Achievements[[#All],[Column113]],0)+10,"")</f>
        <v/>
      </c>
      <c r="CJ264" s="134" t="str">
        <f>_xlfn.IFNA(MATCH(BJ264,Achievements[[#All],[Column113]],0)+10,"")</f>
        <v/>
      </c>
      <c r="CK264" s="134" t="str">
        <f>_xlfn.IFNA(MATCH(BK264,Achievements[[#All],[Column114]],0)+10,"")</f>
        <v/>
      </c>
      <c r="CL264" s="134" t="str">
        <f>_xlfn.IFNA(MATCH(BL264,Achievements[[#All],[Column114]],0)+10,"")</f>
        <v/>
      </c>
      <c r="CM264" s="134" t="str">
        <f>_xlfn.IFNA(MATCH(BM264,Achievements[[#All],[Column115]],0)+10,"")</f>
        <v/>
      </c>
      <c r="CN264" s="134" t="str">
        <f>_xlfn.IFNA(MATCH(BN264,Achievements[[#All],[Column115]],0)+10,"")</f>
        <v/>
      </c>
      <c r="CO264" s="134" t="str">
        <f>_xlfn.IFNA(MATCH(BO264,Achievements[[#All],[Column116]],0)+10,"")</f>
        <v/>
      </c>
      <c r="CP264" s="134" t="str">
        <f>_xlfn.IFNA(MATCH(BP264,Achievements[[#All],[Column116]],0)+10,"")</f>
        <v/>
      </c>
      <c r="CQ264" s="134" t="str">
        <f>_xlfn.IFNA(MATCH(BQ264,Achievements[[#All],[Column117]],0)+10,"")</f>
        <v/>
      </c>
      <c r="CR264" s="134" t="str">
        <f>_xlfn.IFNA(MATCH(BR264,Achievements[[#All],[Column117]],0)+10,"")</f>
        <v/>
      </c>
      <c r="CS264" s="134" t="str">
        <f>_xlfn.IFNA(MATCH(BS264,Achievements[[#All],[Column118]],0)+10,"")</f>
        <v/>
      </c>
      <c r="CT264" s="134" t="str">
        <f>_xlfn.IFNA(MATCH(BT264,Achievements[[#All],[Column118]],0)+10,"")</f>
        <v/>
      </c>
      <c r="CU264" s="134" t="str">
        <f>_xlfn.IFNA(MATCH(BU264,Achievements[[#All],[Column119]],0)+10,"")</f>
        <v/>
      </c>
      <c r="CV264" s="134" t="str">
        <f>_xlfn.IFNA(MATCH(BV264,Achievements[[#All],[Column119]],0)+10,"")</f>
        <v/>
      </c>
      <c r="CW264" s="134" t="str">
        <f>_xlfn.IFNA(MATCH(BW264,Achievements[[#All],[Column120]],0)+10,"")</f>
        <v/>
      </c>
      <c r="CX264" s="134" t="str">
        <f>_xlfn.IFNA(MATCH(BX264,Achievements[[#All],[Column120]],0)+10,"")</f>
        <v/>
      </c>
      <c r="CY264" s="134" t="str">
        <f>_xlfn.IFNA(MATCH(BY264,Achievements[[#All],[Column121]],0)+10,"")</f>
        <v/>
      </c>
      <c r="CZ264" s="118" t="e">
        <f t="shared" ca="1" si="7"/>
        <v>#NAME?</v>
      </c>
    </row>
    <row r="265" spans="1:104" x14ac:dyDescent="0.25">
      <c r="A265" t="e" cm="1">
        <f t="array" aca="1" ref="A265" ca="1">SplitValues("; ",#REF!)</f>
        <v>#NAME?</v>
      </c>
      <c r="AA265" t="e">
        <f ca="1">_xlfn.IFNA(MATCH(A265,Achievements[[#All],[Column1]],0)+11,"")</f>
        <v>#NAME?</v>
      </c>
      <c r="AB265" s="134" t="str">
        <f>_xlfn.IFNA(MATCH(B265,Achievements[[#All],[Column1]],0)+10,"")</f>
        <v/>
      </c>
      <c r="AC265" s="134" t="str">
        <f>_xlfn.IFNA(MATCH(C265,Achievements[[#All],[Column1]],0)+10,"")</f>
        <v/>
      </c>
      <c r="AD265" s="134" t="str">
        <f>_xlfn.IFNA(MATCH(D265,Achievements[[#All],[Column110]],0)+10,"")</f>
        <v/>
      </c>
      <c r="AE265" s="134" t="str">
        <f>_xlfn.IFNA(MATCH(E265,Achievements[[#All],[Column110]],0)+10,"")</f>
        <v/>
      </c>
      <c r="AF265" s="134" t="str">
        <f>_xlfn.IFNA(MATCH(F265,Achievements[[#All],[Column111]],0)+10,"")</f>
        <v/>
      </c>
      <c r="AG265" s="134" t="str">
        <f>_xlfn.IFNA(MATCH(G265,Achievements[[#All],[Column111]],0)+10,"")</f>
        <v/>
      </c>
      <c r="AH265" s="134" t="str">
        <f>_xlfn.IFNA(MATCH(H265,Achievements[[#All],[Column112]],0)+10,"")</f>
        <v/>
      </c>
      <c r="AI265" s="134" t="str">
        <f>_xlfn.IFNA(MATCH(I265,Achievements[[#All],[Column112]],0)+10,"")</f>
        <v/>
      </c>
      <c r="AJ265" s="134" t="str">
        <f>_xlfn.IFNA(MATCH(J265,Achievements[[#All],[Column113]],0)+10,"")</f>
        <v/>
      </c>
      <c r="AK265" s="134" t="str">
        <f>_xlfn.IFNA(MATCH(K265,Achievements[[#All],[Column113]],0)+10,"")</f>
        <v/>
      </c>
      <c r="AL265" s="134" t="str">
        <f>_xlfn.IFNA(MATCH(L265,Achievements[[#All],[Column114]],0)+10,"")</f>
        <v/>
      </c>
      <c r="AM265" s="134" t="str">
        <f>_xlfn.IFNA(MATCH(M265,Achievements[[#All],[Column114]],0)+10,"")</f>
        <v/>
      </c>
      <c r="AN265" s="134" t="str">
        <f>_xlfn.IFNA(MATCH(N265,Achievements[[#All],[Column115]],0)+10,"")</f>
        <v/>
      </c>
      <c r="AO265" s="134" t="str">
        <f>_xlfn.IFNA(MATCH(O265,Achievements[[#All],[Column115]],0)+10,"")</f>
        <v/>
      </c>
      <c r="AP265" s="134" t="str">
        <f>_xlfn.IFNA(MATCH(P265,Achievements[[#All],[Column116]],0)+10,"")</f>
        <v/>
      </c>
      <c r="AQ265" s="134" t="str">
        <f>_xlfn.IFNA(MATCH(Q265,Achievements[[#All],[Column116]],0)+10,"")</f>
        <v/>
      </c>
      <c r="AR265" s="134" t="str">
        <f>_xlfn.IFNA(MATCH(R265,Achievements[[#All],[Column117]],0)+10,"")</f>
        <v/>
      </c>
      <c r="AS265" s="134" t="str">
        <f>_xlfn.IFNA(MATCH(S265,Achievements[[#All],[Column117]],0)+10,"")</f>
        <v/>
      </c>
      <c r="AT265" s="134" t="str">
        <f>_xlfn.IFNA(MATCH(T265,Achievements[[#All],[Column118]],0)+10,"")</f>
        <v/>
      </c>
      <c r="AU265" s="134" t="str">
        <f>_xlfn.IFNA(MATCH(U265,Achievements[[#All],[Column118]],0)+10,"")</f>
        <v/>
      </c>
      <c r="AV265" s="134" t="str">
        <f>_xlfn.IFNA(MATCH(V265,Achievements[[#All],[Column119]],0)+10,"")</f>
        <v/>
      </c>
      <c r="AW265" s="134" t="str">
        <f>_xlfn.IFNA(MATCH(W265,Achievements[[#All],[Column119]],0)+10,"")</f>
        <v/>
      </c>
      <c r="AX265" s="134" t="str">
        <f>_xlfn.IFNA(MATCH(X265,Achievements[[#All],[Column120]],0)+10,"")</f>
        <v/>
      </c>
      <c r="AY265" s="134" t="str">
        <f>_xlfn.IFNA(MATCH(Y265,Achievements[[#All],[Column120]],0)+10,"")</f>
        <v/>
      </c>
      <c r="AZ265" s="116" t="e">
        <f t="shared" ca="1" si="6"/>
        <v>#NAME?</v>
      </c>
      <c r="BA265" s="134" t="e" cm="1">
        <f t="array" aca="1" ref="BA265" ca="1">SplitValues("; ",Persons[[#This Row],[Column1]])</f>
        <v>#NAME?</v>
      </c>
      <c r="CA265" s="134" t="e">
        <f ca="1">_xlfn.IFNA(MATCH(BA265,Achievements[[#All],[Column1]],0)+10,"")</f>
        <v>#NAME?</v>
      </c>
      <c r="CB265" s="134" t="str">
        <f>_xlfn.IFNA(MATCH(BB265,Achievements[[#All],[Column1]],0)+10,"")</f>
        <v/>
      </c>
      <c r="CC265" s="134" t="str">
        <f>_xlfn.IFNA(MATCH(BC265,Achievements[[#All],[Column110]],0)+10,"")</f>
        <v/>
      </c>
      <c r="CD265" s="134" t="str">
        <f>_xlfn.IFNA(MATCH(BD265,Achievements[[#All],[Column110]],0)+10,"")</f>
        <v/>
      </c>
      <c r="CE265" s="134" t="str">
        <f>_xlfn.IFNA(MATCH(BE265,Achievements[[#All],[Column111]],0)+10,"")</f>
        <v/>
      </c>
      <c r="CF265" s="134" t="str">
        <f>_xlfn.IFNA(MATCH(BF265,Achievements[[#All],[Column111]],0)+10,"")</f>
        <v/>
      </c>
      <c r="CG265" s="134" t="str">
        <f>_xlfn.IFNA(MATCH(BG265,Achievements[[#All],[Column112]],0)+10,"")</f>
        <v/>
      </c>
      <c r="CH265" s="134" t="str">
        <f>_xlfn.IFNA(MATCH(BH265,Achievements[[#All],[Column112]],0)+10,"")</f>
        <v/>
      </c>
      <c r="CI265" s="134" t="str">
        <f>_xlfn.IFNA(MATCH(BI265,Achievements[[#All],[Column113]],0)+10,"")</f>
        <v/>
      </c>
      <c r="CJ265" s="134" t="str">
        <f>_xlfn.IFNA(MATCH(BJ265,Achievements[[#All],[Column113]],0)+10,"")</f>
        <v/>
      </c>
      <c r="CK265" s="134" t="str">
        <f>_xlfn.IFNA(MATCH(BK265,Achievements[[#All],[Column114]],0)+10,"")</f>
        <v/>
      </c>
      <c r="CL265" s="134" t="str">
        <f>_xlfn.IFNA(MATCH(BL265,Achievements[[#All],[Column114]],0)+10,"")</f>
        <v/>
      </c>
      <c r="CM265" s="134" t="str">
        <f>_xlfn.IFNA(MATCH(BM265,Achievements[[#All],[Column115]],0)+10,"")</f>
        <v/>
      </c>
      <c r="CN265" s="134" t="str">
        <f>_xlfn.IFNA(MATCH(BN265,Achievements[[#All],[Column115]],0)+10,"")</f>
        <v/>
      </c>
      <c r="CO265" s="134" t="str">
        <f>_xlfn.IFNA(MATCH(BO265,Achievements[[#All],[Column116]],0)+10,"")</f>
        <v/>
      </c>
      <c r="CP265" s="134" t="str">
        <f>_xlfn.IFNA(MATCH(BP265,Achievements[[#All],[Column116]],0)+10,"")</f>
        <v/>
      </c>
      <c r="CQ265" s="134" t="str">
        <f>_xlfn.IFNA(MATCH(BQ265,Achievements[[#All],[Column117]],0)+10,"")</f>
        <v/>
      </c>
      <c r="CR265" s="134" t="str">
        <f>_xlfn.IFNA(MATCH(BR265,Achievements[[#All],[Column117]],0)+10,"")</f>
        <v/>
      </c>
      <c r="CS265" s="134" t="str">
        <f>_xlfn.IFNA(MATCH(BS265,Achievements[[#All],[Column118]],0)+10,"")</f>
        <v/>
      </c>
      <c r="CT265" s="134" t="str">
        <f>_xlfn.IFNA(MATCH(BT265,Achievements[[#All],[Column118]],0)+10,"")</f>
        <v/>
      </c>
      <c r="CU265" s="134" t="str">
        <f>_xlfn.IFNA(MATCH(BU265,Achievements[[#All],[Column119]],0)+10,"")</f>
        <v/>
      </c>
      <c r="CV265" s="134" t="str">
        <f>_xlfn.IFNA(MATCH(BV265,Achievements[[#All],[Column119]],0)+10,"")</f>
        <v/>
      </c>
      <c r="CW265" s="134" t="str">
        <f>_xlfn.IFNA(MATCH(BW265,Achievements[[#All],[Column120]],0)+10,"")</f>
        <v/>
      </c>
      <c r="CX265" s="134" t="str">
        <f>_xlfn.IFNA(MATCH(BX265,Achievements[[#All],[Column120]],0)+10,"")</f>
        <v/>
      </c>
      <c r="CY265" s="134" t="str">
        <f>_xlfn.IFNA(MATCH(BY265,Achievements[[#All],[Column121]],0)+10,"")</f>
        <v/>
      </c>
      <c r="CZ265" s="118" t="e">
        <f t="shared" ca="1" si="7"/>
        <v>#NAME?</v>
      </c>
    </row>
    <row r="266" spans="1:104" x14ac:dyDescent="0.25">
      <c r="A266" t="e" cm="1">
        <f t="array" aca="1" ref="A266" ca="1">SplitValues("; ",#REF!)</f>
        <v>#NAME?</v>
      </c>
      <c r="AA266" t="e">
        <f ca="1">_xlfn.IFNA(MATCH(A266,Achievements[[#All],[Column1]],0)+11,"")</f>
        <v>#NAME?</v>
      </c>
      <c r="AB266" s="134" t="str">
        <f>_xlfn.IFNA(MATCH(B266,Achievements[[#All],[Column1]],0)+10,"")</f>
        <v/>
      </c>
      <c r="AC266" s="134" t="str">
        <f>_xlfn.IFNA(MATCH(C266,Achievements[[#All],[Column1]],0)+10,"")</f>
        <v/>
      </c>
      <c r="AD266" s="134" t="str">
        <f>_xlfn.IFNA(MATCH(D266,Achievements[[#All],[Column110]],0)+10,"")</f>
        <v/>
      </c>
      <c r="AE266" s="134" t="str">
        <f>_xlfn.IFNA(MATCH(E266,Achievements[[#All],[Column110]],0)+10,"")</f>
        <v/>
      </c>
      <c r="AF266" s="134" t="str">
        <f>_xlfn.IFNA(MATCH(F266,Achievements[[#All],[Column111]],0)+10,"")</f>
        <v/>
      </c>
      <c r="AG266" s="134" t="str">
        <f>_xlfn.IFNA(MATCH(G266,Achievements[[#All],[Column111]],0)+10,"")</f>
        <v/>
      </c>
      <c r="AH266" s="134" t="str">
        <f>_xlfn.IFNA(MATCH(H266,Achievements[[#All],[Column112]],0)+10,"")</f>
        <v/>
      </c>
      <c r="AI266" s="134" t="str">
        <f>_xlfn.IFNA(MATCH(I266,Achievements[[#All],[Column112]],0)+10,"")</f>
        <v/>
      </c>
      <c r="AJ266" s="134" t="str">
        <f>_xlfn.IFNA(MATCH(J266,Achievements[[#All],[Column113]],0)+10,"")</f>
        <v/>
      </c>
      <c r="AK266" s="134" t="str">
        <f>_xlfn.IFNA(MATCH(K266,Achievements[[#All],[Column113]],0)+10,"")</f>
        <v/>
      </c>
      <c r="AL266" s="134" t="str">
        <f>_xlfn.IFNA(MATCH(L266,Achievements[[#All],[Column114]],0)+10,"")</f>
        <v/>
      </c>
      <c r="AM266" s="134" t="str">
        <f>_xlfn.IFNA(MATCH(M266,Achievements[[#All],[Column114]],0)+10,"")</f>
        <v/>
      </c>
      <c r="AN266" s="134" t="str">
        <f>_xlfn.IFNA(MATCH(N266,Achievements[[#All],[Column115]],0)+10,"")</f>
        <v/>
      </c>
      <c r="AO266" s="134" t="str">
        <f>_xlfn.IFNA(MATCH(O266,Achievements[[#All],[Column115]],0)+10,"")</f>
        <v/>
      </c>
      <c r="AP266" s="134" t="str">
        <f>_xlfn.IFNA(MATCH(P266,Achievements[[#All],[Column116]],0)+10,"")</f>
        <v/>
      </c>
      <c r="AQ266" s="134" t="str">
        <f>_xlfn.IFNA(MATCH(Q266,Achievements[[#All],[Column116]],0)+10,"")</f>
        <v/>
      </c>
      <c r="AR266" s="134" t="str">
        <f>_xlfn.IFNA(MATCH(R266,Achievements[[#All],[Column117]],0)+10,"")</f>
        <v/>
      </c>
      <c r="AS266" s="134" t="str">
        <f>_xlfn.IFNA(MATCH(S266,Achievements[[#All],[Column117]],0)+10,"")</f>
        <v/>
      </c>
      <c r="AT266" s="134" t="str">
        <f>_xlfn.IFNA(MATCH(T266,Achievements[[#All],[Column118]],0)+10,"")</f>
        <v/>
      </c>
      <c r="AU266" s="134" t="str">
        <f>_xlfn.IFNA(MATCH(U266,Achievements[[#All],[Column118]],0)+10,"")</f>
        <v/>
      </c>
      <c r="AV266" s="134" t="str">
        <f>_xlfn.IFNA(MATCH(V266,Achievements[[#All],[Column119]],0)+10,"")</f>
        <v/>
      </c>
      <c r="AW266" s="134" t="str">
        <f>_xlfn.IFNA(MATCH(W266,Achievements[[#All],[Column119]],0)+10,"")</f>
        <v/>
      </c>
      <c r="AX266" s="134" t="str">
        <f>_xlfn.IFNA(MATCH(X266,Achievements[[#All],[Column120]],0)+10,"")</f>
        <v/>
      </c>
      <c r="AY266" s="134" t="str">
        <f>_xlfn.IFNA(MATCH(Y266,Achievements[[#All],[Column120]],0)+10,"")</f>
        <v/>
      </c>
      <c r="AZ266" s="116" t="e">
        <f t="shared" ca="1" si="6"/>
        <v>#NAME?</v>
      </c>
      <c r="BA266" s="134" t="e" cm="1">
        <f t="array" aca="1" ref="BA266" ca="1">SplitValues("; ",Persons[[#This Row],[Column1]])</f>
        <v>#NAME?</v>
      </c>
      <c r="CA266" s="134" t="e">
        <f ca="1">_xlfn.IFNA(MATCH(BA266,Achievements[[#All],[Column1]],0)+10,"")</f>
        <v>#NAME?</v>
      </c>
      <c r="CB266" s="134" t="str">
        <f>_xlfn.IFNA(MATCH(BB266,Achievements[[#All],[Column1]],0)+10,"")</f>
        <v/>
      </c>
      <c r="CC266" s="134" t="str">
        <f>_xlfn.IFNA(MATCH(BC266,Achievements[[#All],[Column110]],0)+10,"")</f>
        <v/>
      </c>
      <c r="CD266" s="134" t="str">
        <f>_xlfn.IFNA(MATCH(BD266,Achievements[[#All],[Column110]],0)+10,"")</f>
        <v/>
      </c>
      <c r="CE266" s="134" t="str">
        <f>_xlfn.IFNA(MATCH(BE266,Achievements[[#All],[Column111]],0)+10,"")</f>
        <v/>
      </c>
      <c r="CF266" s="134" t="str">
        <f>_xlfn.IFNA(MATCH(BF266,Achievements[[#All],[Column111]],0)+10,"")</f>
        <v/>
      </c>
      <c r="CG266" s="134" t="str">
        <f>_xlfn.IFNA(MATCH(BG266,Achievements[[#All],[Column112]],0)+10,"")</f>
        <v/>
      </c>
      <c r="CH266" s="134" t="str">
        <f>_xlfn.IFNA(MATCH(BH266,Achievements[[#All],[Column112]],0)+10,"")</f>
        <v/>
      </c>
      <c r="CI266" s="134" t="str">
        <f>_xlfn.IFNA(MATCH(BI266,Achievements[[#All],[Column113]],0)+10,"")</f>
        <v/>
      </c>
      <c r="CJ266" s="134" t="str">
        <f>_xlfn.IFNA(MATCH(BJ266,Achievements[[#All],[Column113]],0)+10,"")</f>
        <v/>
      </c>
      <c r="CK266" s="134" t="str">
        <f>_xlfn.IFNA(MATCH(BK266,Achievements[[#All],[Column114]],0)+10,"")</f>
        <v/>
      </c>
      <c r="CL266" s="134" t="str">
        <f>_xlfn.IFNA(MATCH(BL266,Achievements[[#All],[Column114]],0)+10,"")</f>
        <v/>
      </c>
      <c r="CM266" s="134" t="str">
        <f>_xlfn.IFNA(MATCH(BM266,Achievements[[#All],[Column115]],0)+10,"")</f>
        <v/>
      </c>
      <c r="CN266" s="134" t="str">
        <f>_xlfn.IFNA(MATCH(BN266,Achievements[[#All],[Column115]],0)+10,"")</f>
        <v/>
      </c>
      <c r="CO266" s="134" t="str">
        <f>_xlfn.IFNA(MATCH(BO266,Achievements[[#All],[Column116]],0)+10,"")</f>
        <v/>
      </c>
      <c r="CP266" s="134" t="str">
        <f>_xlfn.IFNA(MATCH(BP266,Achievements[[#All],[Column116]],0)+10,"")</f>
        <v/>
      </c>
      <c r="CQ266" s="134" t="str">
        <f>_xlfn.IFNA(MATCH(BQ266,Achievements[[#All],[Column117]],0)+10,"")</f>
        <v/>
      </c>
      <c r="CR266" s="134" t="str">
        <f>_xlfn.IFNA(MATCH(BR266,Achievements[[#All],[Column117]],0)+10,"")</f>
        <v/>
      </c>
      <c r="CS266" s="134" t="str">
        <f>_xlfn.IFNA(MATCH(BS266,Achievements[[#All],[Column118]],0)+10,"")</f>
        <v/>
      </c>
      <c r="CT266" s="134" t="str">
        <f>_xlfn.IFNA(MATCH(BT266,Achievements[[#All],[Column118]],0)+10,"")</f>
        <v/>
      </c>
      <c r="CU266" s="134" t="str">
        <f>_xlfn.IFNA(MATCH(BU266,Achievements[[#All],[Column119]],0)+10,"")</f>
        <v/>
      </c>
      <c r="CV266" s="134" t="str">
        <f>_xlfn.IFNA(MATCH(BV266,Achievements[[#All],[Column119]],0)+10,"")</f>
        <v/>
      </c>
      <c r="CW266" s="134" t="str">
        <f>_xlfn.IFNA(MATCH(BW266,Achievements[[#All],[Column120]],0)+10,"")</f>
        <v/>
      </c>
      <c r="CX266" s="134" t="str">
        <f>_xlfn.IFNA(MATCH(BX266,Achievements[[#All],[Column120]],0)+10,"")</f>
        <v/>
      </c>
      <c r="CY266" s="134" t="str">
        <f>_xlfn.IFNA(MATCH(BY266,Achievements[[#All],[Column121]],0)+10,"")</f>
        <v/>
      </c>
      <c r="CZ266" s="118" t="e">
        <f t="shared" ca="1" si="7"/>
        <v>#NAME?</v>
      </c>
    </row>
    <row r="267" spans="1:104" x14ac:dyDescent="0.25">
      <c r="A267" t="e" cm="1">
        <f t="array" aca="1" ref="A267" ca="1">SplitValues("; ",#REF!)</f>
        <v>#NAME?</v>
      </c>
      <c r="AA267" t="e">
        <f ca="1">_xlfn.IFNA(MATCH(A267,Achievements[[#All],[Column1]],0)+11,"")</f>
        <v>#NAME?</v>
      </c>
      <c r="AB267" s="134" t="str">
        <f>_xlfn.IFNA(MATCH(B267,Achievements[[#All],[Column1]],0)+10,"")</f>
        <v/>
      </c>
      <c r="AC267" s="134" t="str">
        <f>_xlfn.IFNA(MATCH(C267,Achievements[[#All],[Column1]],0)+10,"")</f>
        <v/>
      </c>
      <c r="AD267" s="134" t="str">
        <f>_xlfn.IFNA(MATCH(D267,Achievements[[#All],[Column110]],0)+10,"")</f>
        <v/>
      </c>
      <c r="AE267" s="134" t="str">
        <f>_xlfn.IFNA(MATCH(E267,Achievements[[#All],[Column110]],0)+10,"")</f>
        <v/>
      </c>
      <c r="AF267" s="134" t="str">
        <f>_xlfn.IFNA(MATCH(F267,Achievements[[#All],[Column111]],0)+10,"")</f>
        <v/>
      </c>
      <c r="AG267" s="134" t="str">
        <f>_xlfn.IFNA(MATCH(G267,Achievements[[#All],[Column111]],0)+10,"")</f>
        <v/>
      </c>
      <c r="AH267" s="134" t="str">
        <f>_xlfn.IFNA(MATCH(H267,Achievements[[#All],[Column112]],0)+10,"")</f>
        <v/>
      </c>
      <c r="AI267" s="134" t="str">
        <f>_xlfn.IFNA(MATCH(I267,Achievements[[#All],[Column112]],0)+10,"")</f>
        <v/>
      </c>
      <c r="AJ267" s="134" t="str">
        <f>_xlfn.IFNA(MATCH(J267,Achievements[[#All],[Column113]],0)+10,"")</f>
        <v/>
      </c>
      <c r="AK267" s="134" t="str">
        <f>_xlfn.IFNA(MATCH(K267,Achievements[[#All],[Column113]],0)+10,"")</f>
        <v/>
      </c>
      <c r="AL267" s="134" t="str">
        <f>_xlfn.IFNA(MATCH(L267,Achievements[[#All],[Column114]],0)+10,"")</f>
        <v/>
      </c>
      <c r="AM267" s="134" t="str">
        <f>_xlfn.IFNA(MATCH(M267,Achievements[[#All],[Column114]],0)+10,"")</f>
        <v/>
      </c>
      <c r="AN267" s="134" t="str">
        <f>_xlfn.IFNA(MATCH(N267,Achievements[[#All],[Column115]],0)+10,"")</f>
        <v/>
      </c>
      <c r="AO267" s="134" t="str">
        <f>_xlfn.IFNA(MATCH(O267,Achievements[[#All],[Column115]],0)+10,"")</f>
        <v/>
      </c>
      <c r="AP267" s="134" t="str">
        <f>_xlfn.IFNA(MATCH(P267,Achievements[[#All],[Column116]],0)+10,"")</f>
        <v/>
      </c>
      <c r="AQ267" s="134" t="str">
        <f>_xlfn.IFNA(MATCH(Q267,Achievements[[#All],[Column116]],0)+10,"")</f>
        <v/>
      </c>
      <c r="AR267" s="134" t="str">
        <f>_xlfn.IFNA(MATCH(R267,Achievements[[#All],[Column117]],0)+10,"")</f>
        <v/>
      </c>
      <c r="AS267" s="134" t="str">
        <f>_xlfn.IFNA(MATCH(S267,Achievements[[#All],[Column117]],0)+10,"")</f>
        <v/>
      </c>
      <c r="AT267" s="134" t="str">
        <f>_xlfn.IFNA(MATCH(T267,Achievements[[#All],[Column118]],0)+10,"")</f>
        <v/>
      </c>
      <c r="AU267" s="134" t="str">
        <f>_xlfn.IFNA(MATCH(U267,Achievements[[#All],[Column118]],0)+10,"")</f>
        <v/>
      </c>
      <c r="AV267" s="134" t="str">
        <f>_xlfn.IFNA(MATCH(V267,Achievements[[#All],[Column119]],0)+10,"")</f>
        <v/>
      </c>
      <c r="AW267" s="134" t="str">
        <f>_xlfn.IFNA(MATCH(W267,Achievements[[#All],[Column119]],0)+10,"")</f>
        <v/>
      </c>
      <c r="AX267" s="134" t="str">
        <f>_xlfn.IFNA(MATCH(X267,Achievements[[#All],[Column120]],0)+10,"")</f>
        <v/>
      </c>
      <c r="AY267" s="134" t="str">
        <f>_xlfn.IFNA(MATCH(Y267,Achievements[[#All],[Column120]],0)+10,"")</f>
        <v/>
      </c>
      <c r="AZ267" s="116" t="e">
        <f t="shared" ca="1" si="6"/>
        <v>#NAME?</v>
      </c>
      <c r="BA267" s="134" t="e" cm="1">
        <f t="array" aca="1" ref="BA267" ca="1">SplitValues("; ",Persons[[#This Row],[Column1]])</f>
        <v>#NAME?</v>
      </c>
      <c r="CA267" s="134" t="e">
        <f ca="1">_xlfn.IFNA(MATCH(BA267,Achievements[[#All],[Column1]],0)+10,"")</f>
        <v>#NAME?</v>
      </c>
      <c r="CB267" s="134" t="str">
        <f>_xlfn.IFNA(MATCH(BB267,Achievements[[#All],[Column1]],0)+10,"")</f>
        <v/>
      </c>
      <c r="CC267" s="134" t="str">
        <f>_xlfn.IFNA(MATCH(BC267,Achievements[[#All],[Column110]],0)+10,"")</f>
        <v/>
      </c>
      <c r="CD267" s="134" t="str">
        <f>_xlfn.IFNA(MATCH(BD267,Achievements[[#All],[Column110]],0)+10,"")</f>
        <v/>
      </c>
      <c r="CE267" s="134" t="str">
        <f>_xlfn.IFNA(MATCH(BE267,Achievements[[#All],[Column111]],0)+10,"")</f>
        <v/>
      </c>
      <c r="CF267" s="134" t="str">
        <f>_xlfn.IFNA(MATCH(BF267,Achievements[[#All],[Column111]],0)+10,"")</f>
        <v/>
      </c>
      <c r="CG267" s="134" t="str">
        <f>_xlfn.IFNA(MATCH(BG267,Achievements[[#All],[Column112]],0)+10,"")</f>
        <v/>
      </c>
      <c r="CH267" s="134" t="str">
        <f>_xlfn.IFNA(MATCH(BH267,Achievements[[#All],[Column112]],0)+10,"")</f>
        <v/>
      </c>
      <c r="CI267" s="134" t="str">
        <f>_xlfn.IFNA(MATCH(BI267,Achievements[[#All],[Column113]],0)+10,"")</f>
        <v/>
      </c>
      <c r="CJ267" s="134" t="str">
        <f>_xlfn.IFNA(MATCH(BJ267,Achievements[[#All],[Column113]],0)+10,"")</f>
        <v/>
      </c>
      <c r="CK267" s="134" t="str">
        <f>_xlfn.IFNA(MATCH(BK267,Achievements[[#All],[Column114]],0)+10,"")</f>
        <v/>
      </c>
      <c r="CL267" s="134" t="str">
        <f>_xlfn.IFNA(MATCH(BL267,Achievements[[#All],[Column114]],0)+10,"")</f>
        <v/>
      </c>
      <c r="CM267" s="134" t="str">
        <f>_xlfn.IFNA(MATCH(BM267,Achievements[[#All],[Column115]],0)+10,"")</f>
        <v/>
      </c>
      <c r="CN267" s="134" t="str">
        <f>_xlfn.IFNA(MATCH(BN267,Achievements[[#All],[Column115]],0)+10,"")</f>
        <v/>
      </c>
      <c r="CO267" s="134" t="str">
        <f>_xlfn.IFNA(MATCH(BO267,Achievements[[#All],[Column116]],0)+10,"")</f>
        <v/>
      </c>
      <c r="CP267" s="134" t="str">
        <f>_xlfn.IFNA(MATCH(BP267,Achievements[[#All],[Column116]],0)+10,"")</f>
        <v/>
      </c>
      <c r="CQ267" s="134" t="str">
        <f>_xlfn.IFNA(MATCH(BQ267,Achievements[[#All],[Column117]],0)+10,"")</f>
        <v/>
      </c>
      <c r="CR267" s="134" t="str">
        <f>_xlfn.IFNA(MATCH(BR267,Achievements[[#All],[Column117]],0)+10,"")</f>
        <v/>
      </c>
      <c r="CS267" s="134" t="str">
        <f>_xlfn.IFNA(MATCH(BS267,Achievements[[#All],[Column118]],0)+10,"")</f>
        <v/>
      </c>
      <c r="CT267" s="134" t="str">
        <f>_xlfn.IFNA(MATCH(BT267,Achievements[[#All],[Column118]],0)+10,"")</f>
        <v/>
      </c>
      <c r="CU267" s="134" t="str">
        <f>_xlfn.IFNA(MATCH(BU267,Achievements[[#All],[Column119]],0)+10,"")</f>
        <v/>
      </c>
      <c r="CV267" s="134" t="str">
        <f>_xlfn.IFNA(MATCH(BV267,Achievements[[#All],[Column119]],0)+10,"")</f>
        <v/>
      </c>
      <c r="CW267" s="134" t="str">
        <f>_xlfn.IFNA(MATCH(BW267,Achievements[[#All],[Column120]],0)+10,"")</f>
        <v/>
      </c>
      <c r="CX267" s="134" t="str">
        <f>_xlfn.IFNA(MATCH(BX267,Achievements[[#All],[Column120]],0)+10,"")</f>
        <v/>
      </c>
      <c r="CY267" s="134" t="str">
        <f>_xlfn.IFNA(MATCH(BY267,Achievements[[#All],[Column121]],0)+10,"")</f>
        <v/>
      </c>
      <c r="CZ267" s="118" t="e">
        <f t="shared" ca="1" si="7"/>
        <v>#NAME?</v>
      </c>
    </row>
    <row r="268" spans="1:104" x14ac:dyDescent="0.25">
      <c r="A268" t="e" cm="1">
        <f t="array" aca="1" ref="A268" ca="1">SplitValues("; ",#REF!)</f>
        <v>#NAME?</v>
      </c>
      <c r="AA268" t="e">
        <f ca="1">_xlfn.IFNA(MATCH(A268,Achievements[[#All],[Column1]],0)+11,"")</f>
        <v>#NAME?</v>
      </c>
      <c r="AB268" s="134" t="str">
        <f>_xlfn.IFNA(MATCH(B268,Achievements[[#All],[Column1]],0)+10,"")</f>
        <v/>
      </c>
      <c r="AC268" s="134" t="str">
        <f>_xlfn.IFNA(MATCH(C268,Achievements[[#All],[Column1]],0)+10,"")</f>
        <v/>
      </c>
      <c r="AD268" s="134" t="str">
        <f>_xlfn.IFNA(MATCH(D268,Achievements[[#All],[Column110]],0)+10,"")</f>
        <v/>
      </c>
      <c r="AE268" s="134" t="str">
        <f>_xlfn.IFNA(MATCH(E268,Achievements[[#All],[Column110]],0)+10,"")</f>
        <v/>
      </c>
      <c r="AF268" s="134" t="str">
        <f>_xlfn.IFNA(MATCH(F268,Achievements[[#All],[Column111]],0)+10,"")</f>
        <v/>
      </c>
      <c r="AG268" s="134" t="str">
        <f>_xlfn.IFNA(MATCH(G268,Achievements[[#All],[Column111]],0)+10,"")</f>
        <v/>
      </c>
      <c r="AH268" s="134" t="str">
        <f>_xlfn.IFNA(MATCH(H268,Achievements[[#All],[Column112]],0)+10,"")</f>
        <v/>
      </c>
      <c r="AI268" s="134" t="str">
        <f>_xlfn.IFNA(MATCH(I268,Achievements[[#All],[Column112]],0)+10,"")</f>
        <v/>
      </c>
      <c r="AJ268" s="134" t="str">
        <f>_xlfn.IFNA(MATCH(J268,Achievements[[#All],[Column113]],0)+10,"")</f>
        <v/>
      </c>
      <c r="AK268" s="134" t="str">
        <f>_xlfn.IFNA(MATCH(K268,Achievements[[#All],[Column113]],0)+10,"")</f>
        <v/>
      </c>
      <c r="AL268" s="134" t="str">
        <f>_xlfn.IFNA(MATCH(L268,Achievements[[#All],[Column114]],0)+10,"")</f>
        <v/>
      </c>
      <c r="AM268" s="134" t="str">
        <f>_xlfn.IFNA(MATCH(M268,Achievements[[#All],[Column114]],0)+10,"")</f>
        <v/>
      </c>
      <c r="AN268" s="134" t="str">
        <f>_xlfn.IFNA(MATCH(N268,Achievements[[#All],[Column115]],0)+10,"")</f>
        <v/>
      </c>
      <c r="AO268" s="134" t="str">
        <f>_xlfn.IFNA(MATCH(O268,Achievements[[#All],[Column115]],0)+10,"")</f>
        <v/>
      </c>
      <c r="AP268" s="134" t="str">
        <f>_xlfn.IFNA(MATCH(P268,Achievements[[#All],[Column116]],0)+10,"")</f>
        <v/>
      </c>
      <c r="AQ268" s="134" t="str">
        <f>_xlfn.IFNA(MATCH(Q268,Achievements[[#All],[Column116]],0)+10,"")</f>
        <v/>
      </c>
      <c r="AR268" s="134" t="str">
        <f>_xlfn.IFNA(MATCH(R268,Achievements[[#All],[Column117]],0)+10,"")</f>
        <v/>
      </c>
      <c r="AS268" s="134" t="str">
        <f>_xlfn.IFNA(MATCH(S268,Achievements[[#All],[Column117]],0)+10,"")</f>
        <v/>
      </c>
      <c r="AT268" s="134" t="str">
        <f>_xlfn.IFNA(MATCH(T268,Achievements[[#All],[Column118]],0)+10,"")</f>
        <v/>
      </c>
      <c r="AU268" s="134" t="str">
        <f>_xlfn.IFNA(MATCH(U268,Achievements[[#All],[Column118]],0)+10,"")</f>
        <v/>
      </c>
      <c r="AV268" s="134" t="str">
        <f>_xlfn.IFNA(MATCH(V268,Achievements[[#All],[Column119]],0)+10,"")</f>
        <v/>
      </c>
      <c r="AW268" s="134" t="str">
        <f>_xlfn.IFNA(MATCH(W268,Achievements[[#All],[Column119]],0)+10,"")</f>
        <v/>
      </c>
      <c r="AX268" s="134" t="str">
        <f>_xlfn.IFNA(MATCH(X268,Achievements[[#All],[Column120]],0)+10,"")</f>
        <v/>
      </c>
      <c r="AY268" s="134" t="str">
        <f>_xlfn.IFNA(MATCH(Y268,Achievements[[#All],[Column120]],0)+10,"")</f>
        <v/>
      </c>
      <c r="AZ268" s="116" t="e">
        <f t="shared" ca="1" si="6"/>
        <v>#NAME?</v>
      </c>
      <c r="BA268" s="134" t="e" cm="1">
        <f t="array" aca="1" ref="BA268" ca="1">SplitValues("; ",Persons[[#This Row],[Column1]])</f>
        <v>#NAME?</v>
      </c>
      <c r="CA268" s="134" t="e">
        <f ca="1">_xlfn.IFNA(MATCH(BA268,Achievements[[#All],[Column1]],0)+10,"")</f>
        <v>#NAME?</v>
      </c>
      <c r="CB268" s="134" t="str">
        <f>_xlfn.IFNA(MATCH(BB268,Achievements[[#All],[Column1]],0)+10,"")</f>
        <v/>
      </c>
      <c r="CC268" s="134" t="str">
        <f>_xlfn.IFNA(MATCH(BC268,Achievements[[#All],[Column110]],0)+10,"")</f>
        <v/>
      </c>
      <c r="CD268" s="134" t="str">
        <f>_xlfn.IFNA(MATCH(BD268,Achievements[[#All],[Column110]],0)+10,"")</f>
        <v/>
      </c>
      <c r="CE268" s="134" t="str">
        <f>_xlfn.IFNA(MATCH(BE268,Achievements[[#All],[Column111]],0)+10,"")</f>
        <v/>
      </c>
      <c r="CF268" s="134" t="str">
        <f>_xlfn.IFNA(MATCH(BF268,Achievements[[#All],[Column111]],0)+10,"")</f>
        <v/>
      </c>
      <c r="CG268" s="134" t="str">
        <f>_xlfn.IFNA(MATCH(BG268,Achievements[[#All],[Column112]],0)+10,"")</f>
        <v/>
      </c>
      <c r="CH268" s="134" t="str">
        <f>_xlfn.IFNA(MATCH(BH268,Achievements[[#All],[Column112]],0)+10,"")</f>
        <v/>
      </c>
      <c r="CI268" s="134" t="str">
        <f>_xlfn.IFNA(MATCH(BI268,Achievements[[#All],[Column113]],0)+10,"")</f>
        <v/>
      </c>
      <c r="CJ268" s="134" t="str">
        <f>_xlfn.IFNA(MATCH(BJ268,Achievements[[#All],[Column113]],0)+10,"")</f>
        <v/>
      </c>
      <c r="CK268" s="134" t="str">
        <f>_xlfn.IFNA(MATCH(BK268,Achievements[[#All],[Column114]],0)+10,"")</f>
        <v/>
      </c>
      <c r="CL268" s="134" t="str">
        <f>_xlfn.IFNA(MATCH(BL268,Achievements[[#All],[Column114]],0)+10,"")</f>
        <v/>
      </c>
      <c r="CM268" s="134" t="str">
        <f>_xlfn.IFNA(MATCH(BM268,Achievements[[#All],[Column115]],0)+10,"")</f>
        <v/>
      </c>
      <c r="CN268" s="134" t="str">
        <f>_xlfn.IFNA(MATCH(BN268,Achievements[[#All],[Column115]],0)+10,"")</f>
        <v/>
      </c>
      <c r="CO268" s="134" t="str">
        <f>_xlfn.IFNA(MATCH(BO268,Achievements[[#All],[Column116]],0)+10,"")</f>
        <v/>
      </c>
      <c r="CP268" s="134" t="str">
        <f>_xlfn.IFNA(MATCH(BP268,Achievements[[#All],[Column116]],0)+10,"")</f>
        <v/>
      </c>
      <c r="CQ268" s="134" t="str">
        <f>_xlfn.IFNA(MATCH(BQ268,Achievements[[#All],[Column117]],0)+10,"")</f>
        <v/>
      </c>
      <c r="CR268" s="134" t="str">
        <f>_xlfn.IFNA(MATCH(BR268,Achievements[[#All],[Column117]],0)+10,"")</f>
        <v/>
      </c>
      <c r="CS268" s="134" t="str">
        <f>_xlfn.IFNA(MATCH(BS268,Achievements[[#All],[Column118]],0)+10,"")</f>
        <v/>
      </c>
      <c r="CT268" s="134" t="str">
        <f>_xlfn.IFNA(MATCH(BT268,Achievements[[#All],[Column118]],0)+10,"")</f>
        <v/>
      </c>
      <c r="CU268" s="134" t="str">
        <f>_xlfn.IFNA(MATCH(BU268,Achievements[[#All],[Column119]],0)+10,"")</f>
        <v/>
      </c>
      <c r="CV268" s="134" t="str">
        <f>_xlfn.IFNA(MATCH(BV268,Achievements[[#All],[Column119]],0)+10,"")</f>
        <v/>
      </c>
      <c r="CW268" s="134" t="str">
        <f>_xlfn.IFNA(MATCH(BW268,Achievements[[#All],[Column120]],0)+10,"")</f>
        <v/>
      </c>
      <c r="CX268" s="134" t="str">
        <f>_xlfn.IFNA(MATCH(BX268,Achievements[[#All],[Column120]],0)+10,"")</f>
        <v/>
      </c>
      <c r="CY268" s="134" t="str">
        <f>_xlfn.IFNA(MATCH(BY268,Achievements[[#All],[Column121]],0)+10,"")</f>
        <v/>
      </c>
      <c r="CZ268" s="118" t="e">
        <f t="shared" ca="1" si="7"/>
        <v>#NAME?</v>
      </c>
    </row>
    <row r="269" spans="1:104" x14ac:dyDescent="0.25">
      <c r="A269" t="e" cm="1">
        <f t="array" aca="1" ref="A269" ca="1">SplitValues("; ",#REF!)</f>
        <v>#NAME?</v>
      </c>
      <c r="AA269" t="e">
        <f ca="1">_xlfn.IFNA(MATCH(A269,Achievements[[#All],[Column1]],0)+11,"")</f>
        <v>#NAME?</v>
      </c>
      <c r="AB269" s="134" t="str">
        <f>_xlfn.IFNA(MATCH(B269,Achievements[[#All],[Column1]],0)+10,"")</f>
        <v/>
      </c>
      <c r="AC269" s="134" t="str">
        <f>_xlfn.IFNA(MATCH(C269,Achievements[[#All],[Column1]],0)+10,"")</f>
        <v/>
      </c>
      <c r="AD269" s="134" t="str">
        <f>_xlfn.IFNA(MATCH(D269,Achievements[[#All],[Column110]],0)+10,"")</f>
        <v/>
      </c>
      <c r="AE269" s="134" t="str">
        <f>_xlfn.IFNA(MATCH(E269,Achievements[[#All],[Column110]],0)+10,"")</f>
        <v/>
      </c>
      <c r="AF269" s="134" t="str">
        <f>_xlfn.IFNA(MATCH(F269,Achievements[[#All],[Column111]],0)+10,"")</f>
        <v/>
      </c>
      <c r="AG269" s="134" t="str">
        <f>_xlfn.IFNA(MATCH(G269,Achievements[[#All],[Column111]],0)+10,"")</f>
        <v/>
      </c>
      <c r="AH269" s="134" t="str">
        <f>_xlfn.IFNA(MATCH(H269,Achievements[[#All],[Column112]],0)+10,"")</f>
        <v/>
      </c>
      <c r="AI269" s="134" t="str">
        <f>_xlfn.IFNA(MATCH(I269,Achievements[[#All],[Column112]],0)+10,"")</f>
        <v/>
      </c>
      <c r="AJ269" s="134" t="str">
        <f>_xlfn.IFNA(MATCH(J269,Achievements[[#All],[Column113]],0)+10,"")</f>
        <v/>
      </c>
      <c r="AK269" s="134" t="str">
        <f>_xlfn.IFNA(MATCH(K269,Achievements[[#All],[Column113]],0)+10,"")</f>
        <v/>
      </c>
      <c r="AL269" s="134" t="str">
        <f>_xlfn.IFNA(MATCH(L269,Achievements[[#All],[Column114]],0)+10,"")</f>
        <v/>
      </c>
      <c r="AM269" s="134" t="str">
        <f>_xlfn.IFNA(MATCH(M269,Achievements[[#All],[Column114]],0)+10,"")</f>
        <v/>
      </c>
      <c r="AN269" s="134" t="str">
        <f>_xlfn.IFNA(MATCH(N269,Achievements[[#All],[Column115]],0)+10,"")</f>
        <v/>
      </c>
      <c r="AO269" s="134" t="str">
        <f>_xlfn.IFNA(MATCH(O269,Achievements[[#All],[Column115]],0)+10,"")</f>
        <v/>
      </c>
      <c r="AP269" s="134" t="str">
        <f>_xlfn.IFNA(MATCH(P269,Achievements[[#All],[Column116]],0)+10,"")</f>
        <v/>
      </c>
      <c r="AQ269" s="134" t="str">
        <f>_xlfn.IFNA(MATCH(Q269,Achievements[[#All],[Column116]],0)+10,"")</f>
        <v/>
      </c>
      <c r="AR269" s="134" t="str">
        <f>_xlfn.IFNA(MATCH(R269,Achievements[[#All],[Column117]],0)+10,"")</f>
        <v/>
      </c>
      <c r="AS269" s="134" t="str">
        <f>_xlfn.IFNA(MATCH(S269,Achievements[[#All],[Column117]],0)+10,"")</f>
        <v/>
      </c>
      <c r="AT269" s="134" t="str">
        <f>_xlfn.IFNA(MATCH(T269,Achievements[[#All],[Column118]],0)+10,"")</f>
        <v/>
      </c>
      <c r="AU269" s="134" t="str">
        <f>_xlfn.IFNA(MATCH(U269,Achievements[[#All],[Column118]],0)+10,"")</f>
        <v/>
      </c>
      <c r="AV269" s="134" t="str">
        <f>_xlfn.IFNA(MATCH(V269,Achievements[[#All],[Column119]],0)+10,"")</f>
        <v/>
      </c>
      <c r="AW269" s="134" t="str">
        <f>_xlfn.IFNA(MATCH(W269,Achievements[[#All],[Column119]],0)+10,"")</f>
        <v/>
      </c>
      <c r="AX269" s="134" t="str">
        <f>_xlfn.IFNA(MATCH(X269,Achievements[[#All],[Column120]],0)+10,"")</f>
        <v/>
      </c>
      <c r="AY269" s="134" t="str">
        <f>_xlfn.IFNA(MATCH(Y269,Achievements[[#All],[Column120]],0)+10,"")</f>
        <v/>
      </c>
      <c r="AZ269" s="116" t="e">
        <f t="shared" ref="AZ269:AZ313" ca="1" si="8">SUBSTITUTE(TRIM(AA269&amp;" "&amp;AB269&amp;" "&amp;AC269&amp;" "&amp;AD269&amp;" "&amp;AE269&amp;" "&amp;AF269&amp;" "&amp;AG269&amp;" "&amp;AH269&amp;" "&amp;AI269&amp;" "&amp;AJ269&amp;" "&amp;AK269&amp;" "&amp;AL269&amp;" "&amp;AM269&amp;" "&amp;AN269&amp;" "&amp;AO269&amp;" "&amp;AP269&amp;" "&amp;AQ269&amp;" "&amp;AR269&amp;" "&amp;AS269&amp;" "&amp;AT269&amp;" "&amp;AU269&amp;" "&amp;AV269&amp;" "&amp;AW269&amp;" "&amp;AX269&amp;" "&amp;AY269)," ",", ")</f>
        <v>#NAME?</v>
      </c>
      <c r="BA269" s="134" t="e" cm="1">
        <f t="array" aca="1" ref="BA269" ca="1">SplitValues("; ",Persons[[#This Row],[Column1]])</f>
        <v>#NAME?</v>
      </c>
      <c r="CA269" s="134" t="e">
        <f ca="1">_xlfn.IFNA(MATCH(BA269,Achievements[[#All],[Column1]],0)+10,"")</f>
        <v>#NAME?</v>
      </c>
      <c r="CB269" s="134" t="str">
        <f>_xlfn.IFNA(MATCH(BB269,Achievements[[#All],[Column1]],0)+10,"")</f>
        <v/>
      </c>
      <c r="CC269" s="134" t="str">
        <f>_xlfn.IFNA(MATCH(BC269,Achievements[[#All],[Column110]],0)+10,"")</f>
        <v/>
      </c>
      <c r="CD269" s="134" t="str">
        <f>_xlfn.IFNA(MATCH(BD269,Achievements[[#All],[Column110]],0)+10,"")</f>
        <v/>
      </c>
      <c r="CE269" s="134" t="str">
        <f>_xlfn.IFNA(MATCH(BE269,Achievements[[#All],[Column111]],0)+10,"")</f>
        <v/>
      </c>
      <c r="CF269" s="134" t="str">
        <f>_xlfn.IFNA(MATCH(BF269,Achievements[[#All],[Column111]],0)+10,"")</f>
        <v/>
      </c>
      <c r="CG269" s="134" t="str">
        <f>_xlfn.IFNA(MATCH(BG269,Achievements[[#All],[Column112]],0)+10,"")</f>
        <v/>
      </c>
      <c r="CH269" s="134" t="str">
        <f>_xlfn.IFNA(MATCH(BH269,Achievements[[#All],[Column112]],0)+10,"")</f>
        <v/>
      </c>
      <c r="CI269" s="134" t="str">
        <f>_xlfn.IFNA(MATCH(BI269,Achievements[[#All],[Column113]],0)+10,"")</f>
        <v/>
      </c>
      <c r="CJ269" s="134" t="str">
        <f>_xlfn.IFNA(MATCH(BJ269,Achievements[[#All],[Column113]],0)+10,"")</f>
        <v/>
      </c>
      <c r="CK269" s="134" t="str">
        <f>_xlfn.IFNA(MATCH(BK269,Achievements[[#All],[Column114]],0)+10,"")</f>
        <v/>
      </c>
      <c r="CL269" s="134" t="str">
        <f>_xlfn.IFNA(MATCH(BL269,Achievements[[#All],[Column114]],0)+10,"")</f>
        <v/>
      </c>
      <c r="CM269" s="134" t="str">
        <f>_xlfn.IFNA(MATCH(BM269,Achievements[[#All],[Column115]],0)+10,"")</f>
        <v/>
      </c>
      <c r="CN269" s="134" t="str">
        <f>_xlfn.IFNA(MATCH(BN269,Achievements[[#All],[Column115]],0)+10,"")</f>
        <v/>
      </c>
      <c r="CO269" s="134" t="str">
        <f>_xlfn.IFNA(MATCH(BO269,Achievements[[#All],[Column116]],0)+10,"")</f>
        <v/>
      </c>
      <c r="CP269" s="134" t="str">
        <f>_xlfn.IFNA(MATCH(BP269,Achievements[[#All],[Column116]],0)+10,"")</f>
        <v/>
      </c>
      <c r="CQ269" s="134" t="str">
        <f>_xlfn.IFNA(MATCH(BQ269,Achievements[[#All],[Column117]],0)+10,"")</f>
        <v/>
      </c>
      <c r="CR269" s="134" t="str">
        <f>_xlfn.IFNA(MATCH(BR269,Achievements[[#All],[Column117]],0)+10,"")</f>
        <v/>
      </c>
      <c r="CS269" s="134" t="str">
        <f>_xlfn.IFNA(MATCH(BS269,Achievements[[#All],[Column118]],0)+10,"")</f>
        <v/>
      </c>
      <c r="CT269" s="134" t="str">
        <f>_xlfn.IFNA(MATCH(BT269,Achievements[[#All],[Column118]],0)+10,"")</f>
        <v/>
      </c>
      <c r="CU269" s="134" t="str">
        <f>_xlfn.IFNA(MATCH(BU269,Achievements[[#All],[Column119]],0)+10,"")</f>
        <v/>
      </c>
      <c r="CV269" s="134" t="str">
        <f>_xlfn.IFNA(MATCH(BV269,Achievements[[#All],[Column119]],0)+10,"")</f>
        <v/>
      </c>
      <c r="CW269" s="134" t="str">
        <f>_xlfn.IFNA(MATCH(BW269,Achievements[[#All],[Column120]],0)+10,"")</f>
        <v/>
      </c>
      <c r="CX269" s="134" t="str">
        <f>_xlfn.IFNA(MATCH(BX269,Achievements[[#All],[Column120]],0)+10,"")</f>
        <v/>
      </c>
      <c r="CY269" s="134" t="str">
        <f>_xlfn.IFNA(MATCH(BY269,Achievements[[#All],[Column121]],0)+10,"")</f>
        <v/>
      </c>
      <c r="CZ269" s="118" t="e">
        <f t="shared" ref="CZ269:CZ314" ca="1" si="9">SUBSTITUTE(TRIM(CA269&amp;" "&amp;CB269&amp;" "&amp;CC269&amp;" "&amp;CD269&amp;" "&amp;CE269&amp;" "&amp;CF269&amp;" "&amp;CG269&amp;" "&amp;CH269&amp;" "&amp;CI269&amp;" "&amp;CJ269&amp;" "&amp;CK269&amp;" "&amp;CL269&amp;" "&amp;CM269&amp;" "&amp;CN269&amp;" "&amp;CO269&amp;" "&amp;CP269&amp;" "&amp;CQ269&amp;" "&amp;CR269&amp;" "&amp;CS269&amp;" "&amp;CT269&amp;" "&amp;CU269&amp;" "&amp;CV269&amp;" "&amp;CW269&amp;" "&amp;CX269&amp;" "&amp;CY269)," ",", ")</f>
        <v>#NAME?</v>
      </c>
    </row>
    <row r="270" spans="1:104" x14ac:dyDescent="0.25">
      <c r="A270" t="e" cm="1">
        <f t="array" aca="1" ref="A270" ca="1">SplitValues("; ",#REF!)</f>
        <v>#NAME?</v>
      </c>
      <c r="AA270" t="e">
        <f ca="1">_xlfn.IFNA(MATCH(A270,Achievements[[#All],[Column1]],0)+11,"")</f>
        <v>#NAME?</v>
      </c>
      <c r="AB270" s="134" t="str">
        <f>_xlfn.IFNA(MATCH(B270,Achievements[[#All],[Column1]],0)+10,"")</f>
        <v/>
      </c>
      <c r="AC270" s="134" t="str">
        <f>_xlfn.IFNA(MATCH(C270,Achievements[[#All],[Column1]],0)+10,"")</f>
        <v/>
      </c>
      <c r="AD270" s="134" t="str">
        <f>_xlfn.IFNA(MATCH(D270,Achievements[[#All],[Column110]],0)+10,"")</f>
        <v/>
      </c>
      <c r="AE270" s="134" t="str">
        <f>_xlfn.IFNA(MATCH(E270,Achievements[[#All],[Column110]],0)+10,"")</f>
        <v/>
      </c>
      <c r="AF270" s="134" t="str">
        <f>_xlfn.IFNA(MATCH(F270,Achievements[[#All],[Column111]],0)+10,"")</f>
        <v/>
      </c>
      <c r="AG270" s="134" t="str">
        <f>_xlfn.IFNA(MATCH(G270,Achievements[[#All],[Column111]],0)+10,"")</f>
        <v/>
      </c>
      <c r="AH270" s="134" t="str">
        <f>_xlfn.IFNA(MATCH(H270,Achievements[[#All],[Column112]],0)+10,"")</f>
        <v/>
      </c>
      <c r="AI270" s="134" t="str">
        <f>_xlfn.IFNA(MATCH(I270,Achievements[[#All],[Column112]],0)+10,"")</f>
        <v/>
      </c>
      <c r="AJ270" s="134" t="str">
        <f>_xlfn.IFNA(MATCH(J270,Achievements[[#All],[Column113]],0)+10,"")</f>
        <v/>
      </c>
      <c r="AK270" s="134" t="str">
        <f>_xlfn.IFNA(MATCH(K270,Achievements[[#All],[Column113]],0)+10,"")</f>
        <v/>
      </c>
      <c r="AL270" s="134" t="str">
        <f>_xlfn.IFNA(MATCH(L270,Achievements[[#All],[Column114]],0)+10,"")</f>
        <v/>
      </c>
      <c r="AM270" s="134" t="str">
        <f>_xlfn.IFNA(MATCH(M270,Achievements[[#All],[Column114]],0)+10,"")</f>
        <v/>
      </c>
      <c r="AN270" s="134" t="str">
        <f>_xlfn.IFNA(MATCH(N270,Achievements[[#All],[Column115]],0)+10,"")</f>
        <v/>
      </c>
      <c r="AO270" s="134" t="str">
        <f>_xlfn.IFNA(MATCH(O270,Achievements[[#All],[Column115]],0)+10,"")</f>
        <v/>
      </c>
      <c r="AP270" s="134" t="str">
        <f>_xlfn.IFNA(MATCH(P270,Achievements[[#All],[Column116]],0)+10,"")</f>
        <v/>
      </c>
      <c r="AQ270" s="134" t="str">
        <f>_xlfn.IFNA(MATCH(Q270,Achievements[[#All],[Column116]],0)+10,"")</f>
        <v/>
      </c>
      <c r="AR270" s="134" t="str">
        <f>_xlfn.IFNA(MATCH(R270,Achievements[[#All],[Column117]],0)+10,"")</f>
        <v/>
      </c>
      <c r="AS270" s="134" t="str">
        <f>_xlfn.IFNA(MATCH(S270,Achievements[[#All],[Column117]],0)+10,"")</f>
        <v/>
      </c>
      <c r="AT270" s="134" t="str">
        <f>_xlfn.IFNA(MATCH(T270,Achievements[[#All],[Column118]],0)+10,"")</f>
        <v/>
      </c>
      <c r="AU270" s="134" t="str">
        <f>_xlfn.IFNA(MATCH(U270,Achievements[[#All],[Column118]],0)+10,"")</f>
        <v/>
      </c>
      <c r="AV270" s="134" t="str">
        <f>_xlfn.IFNA(MATCH(V270,Achievements[[#All],[Column119]],0)+10,"")</f>
        <v/>
      </c>
      <c r="AW270" s="134" t="str">
        <f>_xlfn.IFNA(MATCH(W270,Achievements[[#All],[Column119]],0)+10,"")</f>
        <v/>
      </c>
      <c r="AX270" s="134" t="str">
        <f>_xlfn.IFNA(MATCH(X270,Achievements[[#All],[Column120]],0)+10,"")</f>
        <v/>
      </c>
      <c r="AY270" s="134" t="str">
        <f>_xlfn.IFNA(MATCH(Y270,Achievements[[#All],[Column120]],0)+10,"")</f>
        <v/>
      </c>
      <c r="AZ270" s="116" t="e">
        <f t="shared" ca="1" si="8"/>
        <v>#NAME?</v>
      </c>
      <c r="BA270" s="134" t="e" cm="1">
        <f t="array" aca="1" ref="BA270" ca="1">SplitValues("; ",Persons[[#This Row],[Column1]])</f>
        <v>#NAME?</v>
      </c>
      <c r="CA270" s="134" t="e">
        <f ca="1">_xlfn.IFNA(MATCH(BA270,Achievements[[#All],[Column1]],0)+10,"")</f>
        <v>#NAME?</v>
      </c>
      <c r="CB270" s="134" t="str">
        <f>_xlfn.IFNA(MATCH(BB270,Achievements[[#All],[Column1]],0)+10,"")</f>
        <v/>
      </c>
      <c r="CC270" s="134" t="str">
        <f>_xlfn.IFNA(MATCH(BC270,Achievements[[#All],[Column110]],0)+10,"")</f>
        <v/>
      </c>
      <c r="CD270" s="134" t="str">
        <f>_xlfn.IFNA(MATCH(BD270,Achievements[[#All],[Column110]],0)+10,"")</f>
        <v/>
      </c>
      <c r="CE270" s="134" t="str">
        <f>_xlfn.IFNA(MATCH(BE270,Achievements[[#All],[Column111]],0)+10,"")</f>
        <v/>
      </c>
      <c r="CF270" s="134" t="str">
        <f>_xlfn.IFNA(MATCH(BF270,Achievements[[#All],[Column111]],0)+10,"")</f>
        <v/>
      </c>
      <c r="CG270" s="134" t="str">
        <f>_xlfn.IFNA(MATCH(BG270,Achievements[[#All],[Column112]],0)+10,"")</f>
        <v/>
      </c>
      <c r="CH270" s="134" t="str">
        <f>_xlfn.IFNA(MATCH(BH270,Achievements[[#All],[Column112]],0)+10,"")</f>
        <v/>
      </c>
      <c r="CI270" s="134" t="str">
        <f>_xlfn.IFNA(MATCH(BI270,Achievements[[#All],[Column113]],0)+10,"")</f>
        <v/>
      </c>
      <c r="CJ270" s="134" t="str">
        <f>_xlfn.IFNA(MATCH(BJ270,Achievements[[#All],[Column113]],0)+10,"")</f>
        <v/>
      </c>
      <c r="CK270" s="134" t="str">
        <f>_xlfn.IFNA(MATCH(BK270,Achievements[[#All],[Column114]],0)+10,"")</f>
        <v/>
      </c>
      <c r="CL270" s="134" t="str">
        <f>_xlfn.IFNA(MATCH(BL270,Achievements[[#All],[Column114]],0)+10,"")</f>
        <v/>
      </c>
      <c r="CM270" s="134" t="str">
        <f>_xlfn.IFNA(MATCH(BM270,Achievements[[#All],[Column115]],0)+10,"")</f>
        <v/>
      </c>
      <c r="CN270" s="134" t="str">
        <f>_xlfn.IFNA(MATCH(BN270,Achievements[[#All],[Column115]],0)+10,"")</f>
        <v/>
      </c>
      <c r="CO270" s="134" t="str">
        <f>_xlfn.IFNA(MATCH(BO270,Achievements[[#All],[Column116]],0)+10,"")</f>
        <v/>
      </c>
      <c r="CP270" s="134" t="str">
        <f>_xlfn.IFNA(MATCH(BP270,Achievements[[#All],[Column116]],0)+10,"")</f>
        <v/>
      </c>
      <c r="CQ270" s="134" t="str">
        <f>_xlfn.IFNA(MATCH(BQ270,Achievements[[#All],[Column117]],0)+10,"")</f>
        <v/>
      </c>
      <c r="CR270" s="134" t="str">
        <f>_xlfn.IFNA(MATCH(BR270,Achievements[[#All],[Column117]],0)+10,"")</f>
        <v/>
      </c>
      <c r="CS270" s="134" t="str">
        <f>_xlfn.IFNA(MATCH(BS270,Achievements[[#All],[Column118]],0)+10,"")</f>
        <v/>
      </c>
      <c r="CT270" s="134" t="str">
        <f>_xlfn.IFNA(MATCH(BT270,Achievements[[#All],[Column118]],0)+10,"")</f>
        <v/>
      </c>
      <c r="CU270" s="134" t="str">
        <f>_xlfn.IFNA(MATCH(BU270,Achievements[[#All],[Column119]],0)+10,"")</f>
        <v/>
      </c>
      <c r="CV270" s="134" t="str">
        <f>_xlfn.IFNA(MATCH(BV270,Achievements[[#All],[Column119]],0)+10,"")</f>
        <v/>
      </c>
      <c r="CW270" s="134" t="str">
        <f>_xlfn.IFNA(MATCH(BW270,Achievements[[#All],[Column120]],0)+10,"")</f>
        <v/>
      </c>
      <c r="CX270" s="134" t="str">
        <f>_xlfn.IFNA(MATCH(BX270,Achievements[[#All],[Column120]],0)+10,"")</f>
        <v/>
      </c>
      <c r="CY270" s="134" t="str">
        <f>_xlfn.IFNA(MATCH(BY270,Achievements[[#All],[Column121]],0)+10,"")</f>
        <v/>
      </c>
      <c r="CZ270" s="118" t="e">
        <f t="shared" ca="1" si="9"/>
        <v>#NAME?</v>
      </c>
    </row>
    <row r="271" spans="1:104" x14ac:dyDescent="0.25">
      <c r="A271" t="e" cm="1">
        <f t="array" aca="1" ref="A271" ca="1">SplitValues("; ",#REF!)</f>
        <v>#NAME?</v>
      </c>
      <c r="AA271" t="e">
        <f ca="1">_xlfn.IFNA(MATCH(A271,Achievements[[#All],[Column1]],0)+11,"")</f>
        <v>#NAME?</v>
      </c>
      <c r="AB271" s="134" t="str">
        <f>_xlfn.IFNA(MATCH(B271,Achievements[[#All],[Column1]],0)+10,"")</f>
        <v/>
      </c>
      <c r="AC271" s="134" t="str">
        <f>_xlfn.IFNA(MATCH(C271,Achievements[[#All],[Column1]],0)+10,"")</f>
        <v/>
      </c>
      <c r="AD271" s="134" t="str">
        <f>_xlfn.IFNA(MATCH(D271,Achievements[[#All],[Column110]],0)+10,"")</f>
        <v/>
      </c>
      <c r="AE271" s="134" t="str">
        <f>_xlfn.IFNA(MATCH(E271,Achievements[[#All],[Column110]],0)+10,"")</f>
        <v/>
      </c>
      <c r="AF271" s="134" t="str">
        <f>_xlfn.IFNA(MATCH(F271,Achievements[[#All],[Column111]],0)+10,"")</f>
        <v/>
      </c>
      <c r="AG271" s="134" t="str">
        <f>_xlfn.IFNA(MATCH(G271,Achievements[[#All],[Column111]],0)+10,"")</f>
        <v/>
      </c>
      <c r="AH271" s="134" t="str">
        <f>_xlfn.IFNA(MATCH(H271,Achievements[[#All],[Column112]],0)+10,"")</f>
        <v/>
      </c>
      <c r="AI271" s="134" t="str">
        <f>_xlfn.IFNA(MATCH(I271,Achievements[[#All],[Column112]],0)+10,"")</f>
        <v/>
      </c>
      <c r="AJ271" s="134" t="str">
        <f>_xlfn.IFNA(MATCH(J271,Achievements[[#All],[Column113]],0)+10,"")</f>
        <v/>
      </c>
      <c r="AK271" s="134" t="str">
        <f>_xlfn.IFNA(MATCH(K271,Achievements[[#All],[Column113]],0)+10,"")</f>
        <v/>
      </c>
      <c r="AL271" s="134" t="str">
        <f>_xlfn.IFNA(MATCH(L271,Achievements[[#All],[Column114]],0)+10,"")</f>
        <v/>
      </c>
      <c r="AM271" s="134" t="str">
        <f>_xlfn.IFNA(MATCH(M271,Achievements[[#All],[Column114]],0)+10,"")</f>
        <v/>
      </c>
      <c r="AN271" s="134" t="str">
        <f>_xlfn.IFNA(MATCH(N271,Achievements[[#All],[Column115]],0)+10,"")</f>
        <v/>
      </c>
      <c r="AO271" s="134" t="str">
        <f>_xlfn.IFNA(MATCH(O271,Achievements[[#All],[Column115]],0)+10,"")</f>
        <v/>
      </c>
      <c r="AP271" s="134" t="str">
        <f>_xlfn.IFNA(MATCH(P271,Achievements[[#All],[Column116]],0)+10,"")</f>
        <v/>
      </c>
      <c r="AQ271" s="134" t="str">
        <f>_xlfn.IFNA(MATCH(Q271,Achievements[[#All],[Column116]],0)+10,"")</f>
        <v/>
      </c>
      <c r="AR271" s="134" t="str">
        <f>_xlfn.IFNA(MATCH(R271,Achievements[[#All],[Column117]],0)+10,"")</f>
        <v/>
      </c>
      <c r="AS271" s="134" t="str">
        <f>_xlfn.IFNA(MATCH(S271,Achievements[[#All],[Column117]],0)+10,"")</f>
        <v/>
      </c>
      <c r="AT271" s="134" t="str">
        <f>_xlfn.IFNA(MATCH(T271,Achievements[[#All],[Column118]],0)+10,"")</f>
        <v/>
      </c>
      <c r="AU271" s="134" t="str">
        <f>_xlfn.IFNA(MATCH(U271,Achievements[[#All],[Column118]],0)+10,"")</f>
        <v/>
      </c>
      <c r="AV271" s="134" t="str">
        <f>_xlfn.IFNA(MATCH(V271,Achievements[[#All],[Column119]],0)+10,"")</f>
        <v/>
      </c>
      <c r="AW271" s="134" t="str">
        <f>_xlfn.IFNA(MATCH(W271,Achievements[[#All],[Column119]],0)+10,"")</f>
        <v/>
      </c>
      <c r="AX271" s="134" t="str">
        <f>_xlfn.IFNA(MATCH(X271,Achievements[[#All],[Column120]],0)+10,"")</f>
        <v/>
      </c>
      <c r="AY271" s="134" t="str">
        <f>_xlfn.IFNA(MATCH(Y271,Achievements[[#All],[Column120]],0)+10,"")</f>
        <v/>
      </c>
      <c r="AZ271" s="116" t="e">
        <f t="shared" ca="1" si="8"/>
        <v>#NAME?</v>
      </c>
      <c r="BA271" s="134" t="e" cm="1">
        <f t="array" aca="1" ref="BA271" ca="1">SplitValues("; ",Persons[[#This Row],[Column1]])</f>
        <v>#NAME?</v>
      </c>
      <c r="CA271" s="134" t="e">
        <f ca="1">_xlfn.IFNA(MATCH(BA271,Achievements[[#All],[Column1]],0)+10,"")</f>
        <v>#NAME?</v>
      </c>
      <c r="CB271" s="134" t="str">
        <f>_xlfn.IFNA(MATCH(BB271,Achievements[[#All],[Column1]],0)+10,"")</f>
        <v/>
      </c>
      <c r="CC271" s="134" t="str">
        <f>_xlfn.IFNA(MATCH(BC271,Achievements[[#All],[Column110]],0)+10,"")</f>
        <v/>
      </c>
      <c r="CD271" s="134" t="str">
        <f>_xlfn.IFNA(MATCH(BD271,Achievements[[#All],[Column110]],0)+10,"")</f>
        <v/>
      </c>
      <c r="CE271" s="134" t="str">
        <f>_xlfn.IFNA(MATCH(BE271,Achievements[[#All],[Column111]],0)+10,"")</f>
        <v/>
      </c>
      <c r="CF271" s="134" t="str">
        <f>_xlfn.IFNA(MATCH(BF271,Achievements[[#All],[Column111]],0)+10,"")</f>
        <v/>
      </c>
      <c r="CG271" s="134" t="str">
        <f>_xlfn.IFNA(MATCH(BG271,Achievements[[#All],[Column112]],0)+10,"")</f>
        <v/>
      </c>
      <c r="CH271" s="134" t="str">
        <f>_xlfn.IFNA(MATCH(BH271,Achievements[[#All],[Column112]],0)+10,"")</f>
        <v/>
      </c>
      <c r="CI271" s="134" t="str">
        <f>_xlfn.IFNA(MATCH(BI271,Achievements[[#All],[Column113]],0)+10,"")</f>
        <v/>
      </c>
      <c r="CJ271" s="134" t="str">
        <f>_xlfn.IFNA(MATCH(BJ271,Achievements[[#All],[Column113]],0)+10,"")</f>
        <v/>
      </c>
      <c r="CK271" s="134" t="str">
        <f>_xlfn.IFNA(MATCH(BK271,Achievements[[#All],[Column114]],0)+10,"")</f>
        <v/>
      </c>
      <c r="CL271" s="134" t="str">
        <f>_xlfn.IFNA(MATCH(BL271,Achievements[[#All],[Column114]],0)+10,"")</f>
        <v/>
      </c>
      <c r="CM271" s="134" t="str">
        <f>_xlfn.IFNA(MATCH(BM271,Achievements[[#All],[Column115]],0)+10,"")</f>
        <v/>
      </c>
      <c r="CN271" s="134" t="str">
        <f>_xlfn.IFNA(MATCH(BN271,Achievements[[#All],[Column115]],0)+10,"")</f>
        <v/>
      </c>
      <c r="CO271" s="134" t="str">
        <f>_xlfn.IFNA(MATCH(BO271,Achievements[[#All],[Column116]],0)+10,"")</f>
        <v/>
      </c>
      <c r="CP271" s="134" t="str">
        <f>_xlfn.IFNA(MATCH(BP271,Achievements[[#All],[Column116]],0)+10,"")</f>
        <v/>
      </c>
      <c r="CQ271" s="134" t="str">
        <f>_xlfn.IFNA(MATCH(BQ271,Achievements[[#All],[Column117]],0)+10,"")</f>
        <v/>
      </c>
      <c r="CR271" s="134" t="str">
        <f>_xlfn.IFNA(MATCH(BR271,Achievements[[#All],[Column117]],0)+10,"")</f>
        <v/>
      </c>
      <c r="CS271" s="134" t="str">
        <f>_xlfn.IFNA(MATCH(BS271,Achievements[[#All],[Column118]],0)+10,"")</f>
        <v/>
      </c>
      <c r="CT271" s="134" t="str">
        <f>_xlfn.IFNA(MATCH(BT271,Achievements[[#All],[Column118]],0)+10,"")</f>
        <v/>
      </c>
      <c r="CU271" s="134" t="str">
        <f>_xlfn.IFNA(MATCH(BU271,Achievements[[#All],[Column119]],0)+10,"")</f>
        <v/>
      </c>
      <c r="CV271" s="134" t="str">
        <f>_xlfn.IFNA(MATCH(BV271,Achievements[[#All],[Column119]],0)+10,"")</f>
        <v/>
      </c>
      <c r="CW271" s="134" t="str">
        <f>_xlfn.IFNA(MATCH(BW271,Achievements[[#All],[Column120]],0)+10,"")</f>
        <v/>
      </c>
      <c r="CX271" s="134" t="str">
        <f>_xlfn.IFNA(MATCH(BX271,Achievements[[#All],[Column120]],0)+10,"")</f>
        <v/>
      </c>
      <c r="CY271" s="134" t="str">
        <f>_xlfn.IFNA(MATCH(BY271,Achievements[[#All],[Column121]],0)+10,"")</f>
        <v/>
      </c>
      <c r="CZ271" s="118" t="e">
        <f t="shared" ca="1" si="9"/>
        <v>#NAME?</v>
      </c>
    </row>
    <row r="272" spans="1:104" x14ac:dyDescent="0.25">
      <c r="A272" t="e" cm="1">
        <f t="array" aca="1" ref="A272" ca="1">SplitValues("; ",#REF!)</f>
        <v>#NAME?</v>
      </c>
      <c r="AA272" t="e">
        <f ca="1">_xlfn.IFNA(MATCH(A272,Achievements[[#All],[Column1]],0)+11,"")</f>
        <v>#NAME?</v>
      </c>
      <c r="AB272" s="134" t="str">
        <f>_xlfn.IFNA(MATCH(B272,Achievements[[#All],[Column1]],0)+10,"")</f>
        <v/>
      </c>
      <c r="AC272" s="134" t="str">
        <f>_xlfn.IFNA(MATCH(C272,Achievements[[#All],[Column1]],0)+10,"")</f>
        <v/>
      </c>
      <c r="AD272" s="134" t="str">
        <f>_xlfn.IFNA(MATCH(D272,Achievements[[#All],[Column110]],0)+10,"")</f>
        <v/>
      </c>
      <c r="AE272" s="134" t="str">
        <f>_xlfn.IFNA(MATCH(E272,Achievements[[#All],[Column110]],0)+10,"")</f>
        <v/>
      </c>
      <c r="AF272" s="134" t="str">
        <f>_xlfn.IFNA(MATCH(F272,Achievements[[#All],[Column111]],0)+10,"")</f>
        <v/>
      </c>
      <c r="AG272" s="134" t="str">
        <f>_xlfn.IFNA(MATCH(G272,Achievements[[#All],[Column111]],0)+10,"")</f>
        <v/>
      </c>
      <c r="AH272" s="134" t="str">
        <f>_xlfn.IFNA(MATCH(H272,Achievements[[#All],[Column112]],0)+10,"")</f>
        <v/>
      </c>
      <c r="AI272" s="134" t="str">
        <f>_xlfn.IFNA(MATCH(I272,Achievements[[#All],[Column112]],0)+10,"")</f>
        <v/>
      </c>
      <c r="AJ272" s="134" t="str">
        <f>_xlfn.IFNA(MATCH(J272,Achievements[[#All],[Column113]],0)+10,"")</f>
        <v/>
      </c>
      <c r="AK272" s="134" t="str">
        <f>_xlfn.IFNA(MATCH(K272,Achievements[[#All],[Column113]],0)+10,"")</f>
        <v/>
      </c>
      <c r="AL272" s="134" t="str">
        <f>_xlfn.IFNA(MATCH(L272,Achievements[[#All],[Column114]],0)+10,"")</f>
        <v/>
      </c>
      <c r="AM272" s="134" t="str">
        <f>_xlfn.IFNA(MATCH(M272,Achievements[[#All],[Column114]],0)+10,"")</f>
        <v/>
      </c>
      <c r="AN272" s="134" t="str">
        <f>_xlfn.IFNA(MATCH(N272,Achievements[[#All],[Column115]],0)+10,"")</f>
        <v/>
      </c>
      <c r="AO272" s="134" t="str">
        <f>_xlfn.IFNA(MATCH(O272,Achievements[[#All],[Column115]],0)+10,"")</f>
        <v/>
      </c>
      <c r="AP272" s="134" t="str">
        <f>_xlfn.IFNA(MATCH(P272,Achievements[[#All],[Column116]],0)+10,"")</f>
        <v/>
      </c>
      <c r="AQ272" s="134" t="str">
        <f>_xlfn.IFNA(MATCH(Q272,Achievements[[#All],[Column116]],0)+10,"")</f>
        <v/>
      </c>
      <c r="AR272" s="134" t="str">
        <f>_xlfn.IFNA(MATCH(R272,Achievements[[#All],[Column117]],0)+10,"")</f>
        <v/>
      </c>
      <c r="AS272" s="134" t="str">
        <f>_xlfn.IFNA(MATCH(S272,Achievements[[#All],[Column117]],0)+10,"")</f>
        <v/>
      </c>
      <c r="AT272" s="134" t="str">
        <f>_xlfn.IFNA(MATCH(T272,Achievements[[#All],[Column118]],0)+10,"")</f>
        <v/>
      </c>
      <c r="AU272" s="134" t="str">
        <f>_xlfn.IFNA(MATCH(U272,Achievements[[#All],[Column118]],0)+10,"")</f>
        <v/>
      </c>
      <c r="AV272" s="134" t="str">
        <f>_xlfn.IFNA(MATCH(V272,Achievements[[#All],[Column119]],0)+10,"")</f>
        <v/>
      </c>
      <c r="AW272" s="134" t="str">
        <f>_xlfn.IFNA(MATCH(W272,Achievements[[#All],[Column119]],0)+10,"")</f>
        <v/>
      </c>
      <c r="AX272" s="134" t="str">
        <f>_xlfn.IFNA(MATCH(X272,Achievements[[#All],[Column120]],0)+10,"")</f>
        <v/>
      </c>
      <c r="AY272" s="134" t="str">
        <f>_xlfn.IFNA(MATCH(Y272,Achievements[[#All],[Column120]],0)+10,"")</f>
        <v/>
      </c>
      <c r="AZ272" s="116" t="e">
        <f t="shared" ca="1" si="8"/>
        <v>#NAME?</v>
      </c>
      <c r="BA272" s="134" t="e" cm="1">
        <f t="array" aca="1" ref="BA272" ca="1">SplitValues("; ",Persons[[#This Row],[Column1]])</f>
        <v>#NAME?</v>
      </c>
      <c r="CA272" s="134" t="e">
        <f ca="1">_xlfn.IFNA(MATCH(BA272,Achievements[[#All],[Column1]],0)+10,"")</f>
        <v>#NAME?</v>
      </c>
      <c r="CB272" s="134" t="str">
        <f>_xlfn.IFNA(MATCH(BB272,Achievements[[#All],[Column1]],0)+10,"")</f>
        <v/>
      </c>
      <c r="CC272" s="134" t="str">
        <f>_xlfn.IFNA(MATCH(BC272,Achievements[[#All],[Column110]],0)+10,"")</f>
        <v/>
      </c>
      <c r="CD272" s="134" t="str">
        <f>_xlfn.IFNA(MATCH(BD272,Achievements[[#All],[Column110]],0)+10,"")</f>
        <v/>
      </c>
      <c r="CE272" s="134" t="str">
        <f>_xlfn.IFNA(MATCH(BE272,Achievements[[#All],[Column111]],0)+10,"")</f>
        <v/>
      </c>
      <c r="CF272" s="134" t="str">
        <f>_xlfn.IFNA(MATCH(BF272,Achievements[[#All],[Column111]],0)+10,"")</f>
        <v/>
      </c>
      <c r="CG272" s="134" t="str">
        <f>_xlfn.IFNA(MATCH(BG272,Achievements[[#All],[Column112]],0)+10,"")</f>
        <v/>
      </c>
      <c r="CH272" s="134" t="str">
        <f>_xlfn.IFNA(MATCH(BH272,Achievements[[#All],[Column112]],0)+10,"")</f>
        <v/>
      </c>
      <c r="CI272" s="134" t="str">
        <f>_xlfn.IFNA(MATCH(BI272,Achievements[[#All],[Column113]],0)+10,"")</f>
        <v/>
      </c>
      <c r="CJ272" s="134" t="str">
        <f>_xlfn.IFNA(MATCH(BJ272,Achievements[[#All],[Column113]],0)+10,"")</f>
        <v/>
      </c>
      <c r="CK272" s="134" t="str">
        <f>_xlfn.IFNA(MATCH(BK272,Achievements[[#All],[Column114]],0)+10,"")</f>
        <v/>
      </c>
      <c r="CL272" s="134" t="str">
        <f>_xlfn.IFNA(MATCH(BL272,Achievements[[#All],[Column114]],0)+10,"")</f>
        <v/>
      </c>
      <c r="CM272" s="134" t="str">
        <f>_xlfn.IFNA(MATCH(BM272,Achievements[[#All],[Column115]],0)+10,"")</f>
        <v/>
      </c>
      <c r="CN272" s="134" t="str">
        <f>_xlfn.IFNA(MATCH(BN272,Achievements[[#All],[Column115]],0)+10,"")</f>
        <v/>
      </c>
      <c r="CO272" s="134" t="str">
        <f>_xlfn.IFNA(MATCH(BO272,Achievements[[#All],[Column116]],0)+10,"")</f>
        <v/>
      </c>
      <c r="CP272" s="134" t="str">
        <f>_xlfn.IFNA(MATCH(BP272,Achievements[[#All],[Column116]],0)+10,"")</f>
        <v/>
      </c>
      <c r="CQ272" s="134" t="str">
        <f>_xlfn.IFNA(MATCH(BQ272,Achievements[[#All],[Column117]],0)+10,"")</f>
        <v/>
      </c>
      <c r="CR272" s="134" t="str">
        <f>_xlfn.IFNA(MATCH(BR272,Achievements[[#All],[Column117]],0)+10,"")</f>
        <v/>
      </c>
      <c r="CS272" s="134" t="str">
        <f>_xlfn.IFNA(MATCH(BS272,Achievements[[#All],[Column118]],0)+10,"")</f>
        <v/>
      </c>
      <c r="CT272" s="134" t="str">
        <f>_xlfn.IFNA(MATCH(BT272,Achievements[[#All],[Column118]],0)+10,"")</f>
        <v/>
      </c>
      <c r="CU272" s="134" t="str">
        <f>_xlfn.IFNA(MATCH(BU272,Achievements[[#All],[Column119]],0)+10,"")</f>
        <v/>
      </c>
      <c r="CV272" s="134" t="str">
        <f>_xlfn.IFNA(MATCH(BV272,Achievements[[#All],[Column119]],0)+10,"")</f>
        <v/>
      </c>
      <c r="CW272" s="134" t="str">
        <f>_xlfn.IFNA(MATCH(BW272,Achievements[[#All],[Column120]],0)+10,"")</f>
        <v/>
      </c>
      <c r="CX272" s="134" t="str">
        <f>_xlfn.IFNA(MATCH(BX272,Achievements[[#All],[Column120]],0)+10,"")</f>
        <v/>
      </c>
      <c r="CY272" s="134" t="str">
        <f>_xlfn.IFNA(MATCH(BY272,Achievements[[#All],[Column121]],0)+10,"")</f>
        <v/>
      </c>
      <c r="CZ272" s="118" t="e">
        <f t="shared" ca="1" si="9"/>
        <v>#NAME?</v>
      </c>
    </row>
    <row r="273" spans="1:104" x14ac:dyDescent="0.25">
      <c r="A273" t="e" cm="1">
        <f t="array" aca="1" ref="A273" ca="1">SplitValues("; ",#REF!)</f>
        <v>#NAME?</v>
      </c>
      <c r="AA273" t="e">
        <f ca="1">_xlfn.IFNA(MATCH(A273,Achievements[[#All],[Column1]],0)+11,"")</f>
        <v>#NAME?</v>
      </c>
      <c r="AB273" s="134" t="str">
        <f>_xlfn.IFNA(MATCH(B273,Achievements[[#All],[Column1]],0)+10,"")</f>
        <v/>
      </c>
      <c r="AC273" s="134" t="str">
        <f>_xlfn.IFNA(MATCH(C273,Achievements[[#All],[Column1]],0)+10,"")</f>
        <v/>
      </c>
      <c r="AD273" s="134" t="str">
        <f>_xlfn.IFNA(MATCH(D273,Achievements[[#All],[Column110]],0)+10,"")</f>
        <v/>
      </c>
      <c r="AE273" s="134" t="str">
        <f>_xlfn.IFNA(MATCH(E273,Achievements[[#All],[Column110]],0)+10,"")</f>
        <v/>
      </c>
      <c r="AF273" s="134" t="str">
        <f>_xlfn.IFNA(MATCH(F273,Achievements[[#All],[Column111]],0)+10,"")</f>
        <v/>
      </c>
      <c r="AG273" s="134" t="str">
        <f>_xlfn.IFNA(MATCH(G273,Achievements[[#All],[Column111]],0)+10,"")</f>
        <v/>
      </c>
      <c r="AH273" s="134" t="str">
        <f>_xlfn.IFNA(MATCH(H273,Achievements[[#All],[Column112]],0)+10,"")</f>
        <v/>
      </c>
      <c r="AI273" s="134" t="str">
        <f>_xlfn.IFNA(MATCH(I273,Achievements[[#All],[Column112]],0)+10,"")</f>
        <v/>
      </c>
      <c r="AJ273" s="134" t="str">
        <f>_xlfn.IFNA(MATCH(J273,Achievements[[#All],[Column113]],0)+10,"")</f>
        <v/>
      </c>
      <c r="AK273" s="134" t="str">
        <f>_xlfn.IFNA(MATCH(K273,Achievements[[#All],[Column113]],0)+10,"")</f>
        <v/>
      </c>
      <c r="AL273" s="134" t="str">
        <f>_xlfn.IFNA(MATCH(L273,Achievements[[#All],[Column114]],0)+10,"")</f>
        <v/>
      </c>
      <c r="AM273" s="134" t="str">
        <f>_xlfn.IFNA(MATCH(M273,Achievements[[#All],[Column114]],0)+10,"")</f>
        <v/>
      </c>
      <c r="AN273" s="134" t="str">
        <f>_xlfn.IFNA(MATCH(N273,Achievements[[#All],[Column115]],0)+10,"")</f>
        <v/>
      </c>
      <c r="AO273" s="134" t="str">
        <f>_xlfn.IFNA(MATCH(O273,Achievements[[#All],[Column115]],0)+10,"")</f>
        <v/>
      </c>
      <c r="AP273" s="134" t="str">
        <f>_xlfn.IFNA(MATCH(P273,Achievements[[#All],[Column116]],0)+10,"")</f>
        <v/>
      </c>
      <c r="AQ273" s="134" t="str">
        <f>_xlfn.IFNA(MATCH(Q273,Achievements[[#All],[Column116]],0)+10,"")</f>
        <v/>
      </c>
      <c r="AR273" s="134" t="str">
        <f>_xlfn.IFNA(MATCH(R273,Achievements[[#All],[Column117]],0)+10,"")</f>
        <v/>
      </c>
      <c r="AS273" s="134" t="str">
        <f>_xlfn.IFNA(MATCH(S273,Achievements[[#All],[Column117]],0)+10,"")</f>
        <v/>
      </c>
      <c r="AT273" s="134" t="str">
        <f>_xlfn.IFNA(MATCH(T273,Achievements[[#All],[Column118]],0)+10,"")</f>
        <v/>
      </c>
      <c r="AU273" s="134" t="str">
        <f>_xlfn.IFNA(MATCH(U273,Achievements[[#All],[Column118]],0)+10,"")</f>
        <v/>
      </c>
      <c r="AV273" s="134" t="str">
        <f>_xlfn.IFNA(MATCH(V273,Achievements[[#All],[Column119]],0)+10,"")</f>
        <v/>
      </c>
      <c r="AW273" s="134" t="str">
        <f>_xlfn.IFNA(MATCH(W273,Achievements[[#All],[Column119]],0)+10,"")</f>
        <v/>
      </c>
      <c r="AX273" s="134" t="str">
        <f>_xlfn.IFNA(MATCH(X273,Achievements[[#All],[Column120]],0)+10,"")</f>
        <v/>
      </c>
      <c r="AY273" s="134" t="str">
        <f>_xlfn.IFNA(MATCH(Y273,Achievements[[#All],[Column120]],0)+10,"")</f>
        <v/>
      </c>
      <c r="AZ273" s="116" t="e">
        <f t="shared" ca="1" si="8"/>
        <v>#NAME?</v>
      </c>
      <c r="BA273" s="134" t="e" cm="1">
        <f t="array" aca="1" ref="BA273" ca="1">SplitValues("; ",Persons[[#This Row],[Column1]])</f>
        <v>#NAME?</v>
      </c>
      <c r="CA273" s="134" t="e">
        <f ca="1">_xlfn.IFNA(MATCH(BA273,Achievements[[#All],[Column1]],0)+10,"")</f>
        <v>#NAME?</v>
      </c>
      <c r="CB273" s="134" t="str">
        <f>_xlfn.IFNA(MATCH(BB273,Achievements[[#All],[Column1]],0)+10,"")</f>
        <v/>
      </c>
      <c r="CC273" s="134" t="str">
        <f>_xlfn.IFNA(MATCH(BC273,Achievements[[#All],[Column110]],0)+10,"")</f>
        <v/>
      </c>
      <c r="CD273" s="134" t="str">
        <f>_xlfn.IFNA(MATCH(BD273,Achievements[[#All],[Column110]],0)+10,"")</f>
        <v/>
      </c>
      <c r="CE273" s="134" t="str">
        <f>_xlfn.IFNA(MATCH(BE273,Achievements[[#All],[Column111]],0)+10,"")</f>
        <v/>
      </c>
      <c r="CF273" s="134" t="str">
        <f>_xlfn.IFNA(MATCH(BF273,Achievements[[#All],[Column111]],0)+10,"")</f>
        <v/>
      </c>
      <c r="CG273" s="134" t="str">
        <f>_xlfn.IFNA(MATCH(BG273,Achievements[[#All],[Column112]],0)+10,"")</f>
        <v/>
      </c>
      <c r="CH273" s="134" t="str">
        <f>_xlfn.IFNA(MATCH(BH273,Achievements[[#All],[Column112]],0)+10,"")</f>
        <v/>
      </c>
      <c r="CI273" s="134" t="str">
        <f>_xlfn.IFNA(MATCH(BI273,Achievements[[#All],[Column113]],0)+10,"")</f>
        <v/>
      </c>
      <c r="CJ273" s="134" t="str">
        <f>_xlfn.IFNA(MATCH(BJ273,Achievements[[#All],[Column113]],0)+10,"")</f>
        <v/>
      </c>
      <c r="CK273" s="134" t="str">
        <f>_xlfn.IFNA(MATCH(BK273,Achievements[[#All],[Column114]],0)+10,"")</f>
        <v/>
      </c>
      <c r="CL273" s="134" t="str">
        <f>_xlfn.IFNA(MATCH(BL273,Achievements[[#All],[Column114]],0)+10,"")</f>
        <v/>
      </c>
      <c r="CM273" s="134" t="str">
        <f>_xlfn.IFNA(MATCH(BM273,Achievements[[#All],[Column115]],0)+10,"")</f>
        <v/>
      </c>
      <c r="CN273" s="134" t="str">
        <f>_xlfn.IFNA(MATCH(BN273,Achievements[[#All],[Column115]],0)+10,"")</f>
        <v/>
      </c>
      <c r="CO273" s="134" t="str">
        <f>_xlfn.IFNA(MATCH(BO273,Achievements[[#All],[Column116]],0)+10,"")</f>
        <v/>
      </c>
      <c r="CP273" s="134" t="str">
        <f>_xlfn.IFNA(MATCH(BP273,Achievements[[#All],[Column116]],0)+10,"")</f>
        <v/>
      </c>
      <c r="CQ273" s="134" t="str">
        <f>_xlfn.IFNA(MATCH(BQ273,Achievements[[#All],[Column117]],0)+10,"")</f>
        <v/>
      </c>
      <c r="CR273" s="134" t="str">
        <f>_xlfn.IFNA(MATCH(BR273,Achievements[[#All],[Column117]],0)+10,"")</f>
        <v/>
      </c>
      <c r="CS273" s="134" t="str">
        <f>_xlfn.IFNA(MATCH(BS273,Achievements[[#All],[Column118]],0)+10,"")</f>
        <v/>
      </c>
      <c r="CT273" s="134" t="str">
        <f>_xlfn.IFNA(MATCH(BT273,Achievements[[#All],[Column118]],0)+10,"")</f>
        <v/>
      </c>
      <c r="CU273" s="134" t="str">
        <f>_xlfn.IFNA(MATCH(BU273,Achievements[[#All],[Column119]],0)+10,"")</f>
        <v/>
      </c>
      <c r="CV273" s="134" t="str">
        <f>_xlfn.IFNA(MATCH(BV273,Achievements[[#All],[Column119]],0)+10,"")</f>
        <v/>
      </c>
      <c r="CW273" s="134" t="str">
        <f>_xlfn.IFNA(MATCH(BW273,Achievements[[#All],[Column120]],0)+10,"")</f>
        <v/>
      </c>
      <c r="CX273" s="134" t="str">
        <f>_xlfn.IFNA(MATCH(BX273,Achievements[[#All],[Column120]],0)+10,"")</f>
        <v/>
      </c>
      <c r="CY273" s="134" t="str">
        <f>_xlfn.IFNA(MATCH(BY273,Achievements[[#All],[Column121]],0)+10,"")</f>
        <v/>
      </c>
      <c r="CZ273" s="118" t="e">
        <f t="shared" ca="1" si="9"/>
        <v>#NAME?</v>
      </c>
    </row>
    <row r="274" spans="1:104" x14ac:dyDescent="0.25">
      <c r="A274" t="e" cm="1">
        <f t="array" aca="1" ref="A274" ca="1">SplitValues("; ",#REF!)</f>
        <v>#NAME?</v>
      </c>
      <c r="AA274" t="e">
        <f ca="1">_xlfn.IFNA(MATCH(A274,Achievements[[#All],[Column1]],0)+11,"")</f>
        <v>#NAME?</v>
      </c>
      <c r="AB274" s="134" t="str">
        <f>_xlfn.IFNA(MATCH(B274,Achievements[[#All],[Column1]],0)+10,"")</f>
        <v/>
      </c>
      <c r="AC274" s="134" t="str">
        <f>_xlfn.IFNA(MATCH(C274,Achievements[[#All],[Column1]],0)+10,"")</f>
        <v/>
      </c>
      <c r="AD274" s="134" t="str">
        <f>_xlfn.IFNA(MATCH(D274,Achievements[[#All],[Column110]],0)+10,"")</f>
        <v/>
      </c>
      <c r="AE274" s="134" t="str">
        <f>_xlfn.IFNA(MATCH(E274,Achievements[[#All],[Column110]],0)+10,"")</f>
        <v/>
      </c>
      <c r="AF274" s="134" t="str">
        <f>_xlfn.IFNA(MATCH(F274,Achievements[[#All],[Column111]],0)+10,"")</f>
        <v/>
      </c>
      <c r="AG274" s="134" t="str">
        <f>_xlfn.IFNA(MATCH(G274,Achievements[[#All],[Column111]],0)+10,"")</f>
        <v/>
      </c>
      <c r="AH274" s="134" t="str">
        <f>_xlfn.IFNA(MATCH(H274,Achievements[[#All],[Column112]],0)+10,"")</f>
        <v/>
      </c>
      <c r="AI274" s="134" t="str">
        <f>_xlfn.IFNA(MATCH(I274,Achievements[[#All],[Column112]],0)+10,"")</f>
        <v/>
      </c>
      <c r="AJ274" s="134" t="str">
        <f>_xlfn.IFNA(MATCH(J274,Achievements[[#All],[Column113]],0)+10,"")</f>
        <v/>
      </c>
      <c r="AK274" s="134" t="str">
        <f>_xlfn.IFNA(MATCH(K274,Achievements[[#All],[Column113]],0)+10,"")</f>
        <v/>
      </c>
      <c r="AL274" s="134" t="str">
        <f>_xlfn.IFNA(MATCH(L274,Achievements[[#All],[Column114]],0)+10,"")</f>
        <v/>
      </c>
      <c r="AM274" s="134" t="str">
        <f>_xlfn.IFNA(MATCH(M274,Achievements[[#All],[Column114]],0)+10,"")</f>
        <v/>
      </c>
      <c r="AN274" s="134" t="str">
        <f>_xlfn.IFNA(MATCH(N274,Achievements[[#All],[Column115]],0)+10,"")</f>
        <v/>
      </c>
      <c r="AO274" s="134" t="str">
        <f>_xlfn.IFNA(MATCH(O274,Achievements[[#All],[Column115]],0)+10,"")</f>
        <v/>
      </c>
      <c r="AP274" s="134" t="str">
        <f>_xlfn.IFNA(MATCH(P274,Achievements[[#All],[Column116]],0)+10,"")</f>
        <v/>
      </c>
      <c r="AQ274" s="134" t="str">
        <f>_xlfn.IFNA(MATCH(Q274,Achievements[[#All],[Column116]],0)+10,"")</f>
        <v/>
      </c>
      <c r="AR274" s="134" t="str">
        <f>_xlfn.IFNA(MATCH(R274,Achievements[[#All],[Column117]],0)+10,"")</f>
        <v/>
      </c>
      <c r="AS274" s="134" t="str">
        <f>_xlfn.IFNA(MATCH(S274,Achievements[[#All],[Column117]],0)+10,"")</f>
        <v/>
      </c>
      <c r="AT274" s="134" t="str">
        <f>_xlfn.IFNA(MATCH(T274,Achievements[[#All],[Column118]],0)+10,"")</f>
        <v/>
      </c>
      <c r="AU274" s="134" t="str">
        <f>_xlfn.IFNA(MATCH(U274,Achievements[[#All],[Column118]],0)+10,"")</f>
        <v/>
      </c>
      <c r="AV274" s="134" t="str">
        <f>_xlfn.IFNA(MATCH(V274,Achievements[[#All],[Column119]],0)+10,"")</f>
        <v/>
      </c>
      <c r="AW274" s="134" t="str">
        <f>_xlfn.IFNA(MATCH(W274,Achievements[[#All],[Column119]],0)+10,"")</f>
        <v/>
      </c>
      <c r="AX274" s="134" t="str">
        <f>_xlfn.IFNA(MATCH(X274,Achievements[[#All],[Column120]],0)+10,"")</f>
        <v/>
      </c>
      <c r="AY274" s="134" t="str">
        <f>_xlfn.IFNA(MATCH(Y274,Achievements[[#All],[Column120]],0)+10,"")</f>
        <v/>
      </c>
      <c r="AZ274" s="116" t="e">
        <f t="shared" ca="1" si="8"/>
        <v>#NAME?</v>
      </c>
      <c r="BA274" s="134" t="e" cm="1">
        <f t="array" aca="1" ref="BA274" ca="1">SplitValues("; ",Persons[[#This Row],[Column1]])</f>
        <v>#NAME?</v>
      </c>
      <c r="CA274" s="134" t="e">
        <f ca="1">_xlfn.IFNA(MATCH(BA274,Achievements[[#All],[Column1]],0)+10,"")</f>
        <v>#NAME?</v>
      </c>
      <c r="CB274" s="134" t="str">
        <f>_xlfn.IFNA(MATCH(BB274,Achievements[[#All],[Column1]],0)+10,"")</f>
        <v/>
      </c>
      <c r="CC274" s="134" t="str">
        <f>_xlfn.IFNA(MATCH(BC274,Achievements[[#All],[Column110]],0)+10,"")</f>
        <v/>
      </c>
      <c r="CD274" s="134" t="str">
        <f>_xlfn.IFNA(MATCH(BD274,Achievements[[#All],[Column110]],0)+10,"")</f>
        <v/>
      </c>
      <c r="CE274" s="134" t="str">
        <f>_xlfn.IFNA(MATCH(BE274,Achievements[[#All],[Column111]],0)+10,"")</f>
        <v/>
      </c>
      <c r="CF274" s="134" t="str">
        <f>_xlfn.IFNA(MATCH(BF274,Achievements[[#All],[Column111]],0)+10,"")</f>
        <v/>
      </c>
      <c r="CG274" s="134" t="str">
        <f>_xlfn.IFNA(MATCH(BG274,Achievements[[#All],[Column112]],0)+10,"")</f>
        <v/>
      </c>
      <c r="CH274" s="134" t="str">
        <f>_xlfn.IFNA(MATCH(BH274,Achievements[[#All],[Column112]],0)+10,"")</f>
        <v/>
      </c>
      <c r="CI274" s="134" t="str">
        <f>_xlfn.IFNA(MATCH(BI274,Achievements[[#All],[Column113]],0)+10,"")</f>
        <v/>
      </c>
      <c r="CJ274" s="134" t="str">
        <f>_xlfn.IFNA(MATCH(BJ274,Achievements[[#All],[Column113]],0)+10,"")</f>
        <v/>
      </c>
      <c r="CK274" s="134" t="str">
        <f>_xlfn.IFNA(MATCH(BK274,Achievements[[#All],[Column114]],0)+10,"")</f>
        <v/>
      </c>
      <c r="CL274" s="134" t="str">
        <f>_xlfn.IFNA(MATCH(BL274,Achievements[[#All],[Column114]],0)+10,"")</f>
        <v/>
      </c>
      <c r="CM274" s="134" t="str">
        <f>_xlfn.IFNA(MATCH(BM274,Achievements[[#All],[Column115]],0)+10,"")</f>
        <v/>
      </c>
      <c r="CN274" s="134" t="str">
        <f>_xlfn.IFNA(MATCH(BN274,Achievements[[#All],[Column115]],0)+10,"")</f>
        <v/>
      </c>
      <c r="CO274" s="134" t="str">
        <f>_xlfn.IFNA(MATCH(BO274,Achievements[[#All],[Column116]],0)+10,"")</f>
        <v/>
      </c>
      <c r="CP274" s="134" t="str">
        <f>_xlfn.IFNA(MATCH(BP274,Achievements[[#All],[Column116]],0)+10,"")</f>
        <v/>
      </c>
      <c r="CQ274" s="134" t="str">
        <f>_xlfn.IFNA(MATCH(BQ274,Achievements[[#All],[Column117]],0)+10,"")</f>
        <v/>
      </c>
      <c r="CR274" s="134" t="str">
        <f>_xlfn.IFNA(MATCH(BR274,Achievements[[#All],[Column117]],0)+10,"")</f>
        <v/>
      </c>
      <c r="CS274" s="134" t="str">
        <f>_xlfn.IFNA(MATCH(BS274,Achievements[[#All],[Column118]],0)+10,"")</f>
        <v/>
      </c>
      <c r="CT274" s="134" t="str">
        <f>_xlfn.IFNA(MATCH(BT274,Achievements[[#All],[Column118]],0)+10,"")</f>
        <v/>
      </c>
      <c r="CU274" s="134" t="str">
        <f>_xlfn.IFNA(MATCH(BU274,Achievements[[#All],[Column119]],0)+10,"")</f>
        <v/>
      </c>
      <c r="CV274" s="134" t="str">
        <f>_xlfn.IFNA(MATCH(BV274,Achievements[[#All],[Column119]],0)+10,"")</f>
        <v/>
      </c>
      <c r="CW274" s="134" t="str">
        <f>_xlfn.IFNA(MATCH(BW274,Achievements[[#All],[Column120]],0)+10,"")</f>
        <v/>
      </c>
      <c r="CX274" s="134" t="str">
        <f>_xlfn.IFNA(MATCH(BX274,Achievements[[#All],[Column120]],0)+10,"")</f>
        <v/>
      </c>
      <c r="CY274" s="134" t="str">
        <f>_xlfn.IFNA(MATCH(BY274,Achievements[[#All],[Column121]],0)+10,"")</f>
        <v/>
      </c>
      <c r="CZ274" s="118" t="e">
        <f t="shared" ca="1" si="9"/>
        <v>#NAME?</v>
      </c>
    </row>
    <row r="275" spans="1:104" x14ac:dyDescent="0.25">
      <c r="A275" t="e" cm="1">
        <f t="array" aca="1" ref="A275" ca="1">SplitValues("; ",#REF!)</f>
        <v>#NAME?</v>
      </c>
      <c r="AA275" t="e">
        <f ca="1">_xlfn.IFNA(MATCH(A275,Achievements[[#All],[Column1]],0)+11,"")</f>
        <v>#NAME?</v>
      </c>
      <c r="AB275" s="134" t="str">
        <f>_xlfn.IFNA(MATCH(B275,Achievements[[#All],[Column1]],0)+10,"")</f>
        <v/>
      </c>
      <c r="AC275" s="134" t="str">
        <f>_xlfn.IFNA(MATCH(C275,Achievements[[#All],[Column1]],0)+10,"")</f>
        <v/>
      </c>
      <c r="AD275" s="134" t="str">
        <f>_xlfn.IFNA(MATCH(D275,Achievements[[#All],[Column110]],0)+10,"")</f>
        <v/>
      </c>
      <c r="AE275" s="134" t="str">
        <f>_xlfn.IFNA(MATCH(E275,Achievements[[#All],[Column110]],0)+10,"")</f>
        <v/>
      </c>
      <c r="AF275" s="134" t="str">
        <f>_xlfn.IFNA(MATCH(F275,Achievements[[#All],[Column111]],0)+10,"")</f>
        <v/>
      </c>
      <c r="AG275" s="134" t="str">
        <f>_xlfn.IFNA(MATCH(G275,Achievements[[#All],[Column111]],0)+10,"")</f>
        <v/>
      </c>
      <c r="AH275" s="134" t="str">
        <f>_xlfn.IFNA(MATCH(H275,Achievements[[#All],[Column112]],0)+10,"")</f>
        <v/>
      </c>
      <c r="AI275" s="134" t="str">
        <f>_xlfn.IFNA(MATCH(I275,Achievements[[#All],[Column112]],0)+10,"")</f>
        <v/>
      </c>
      <c r="AJ275" s="134" t="str">
        <f>_xlfn.IFNA(MATCH(J275,Achievements[[#All],[Column113]],0)+10,"")</f>
        <v/>
      </c>
      <c r="AK275" s="134" t="str">
        <f>_xlfn.IFNA(MATCH(K275,Achievements[[#All],[Column113]],0)+10,"")</f>
        <v/>
      </c>
      <c r="AL275" s="134" t="str">
        <f>_xlfn.IFNA(MATCH(L275,Achievements[[#All],[Column114]],0)+10,"")</f>
        <v/>
      </c>
      <c r="AM275" s="134" t="str">
        <f>_xlfn.IFNA(MATCH(M275,Achievements[[#All],[Column114]],0)+10,"")</f>
        <v/>
      </c>
      <c r="AN275" s="134" t="str">
        <f>_xlfn.IFNA(MATCH(N275,Achievements[[#All],[Column115]],0)+10,"")</f>
        <v/>
      </c>
      <c r="AO275" s="134" t="str">
        <f>_xlfn.IFNA(MATCH(O275,Achievements[[#All],[Column115]],0)+10,"")</f>
        <v/>
      </c>
      <c r="AP275" s="134" t="str">
        <f>_xlfn.IFNA(MATCH(P275,Achievements[[#All],[Column116]],0)+10,"")</f>
        <v/>
      </c>
      <c r="AQ275" s="134" t="str">
        <f>_xlfn.IFNA(MATCH(Q275,Achievements[[#All],[Column116]],0)+10,"")</f>
        <v/>
      </c>
      <c r="AR275" s="134" t="str">
        <f>_xlfn.IFNA(MATCH(R275,Achievements[[#All],[Column117]],0)+10,"")</f>
        <v/>
      </c>
      <c r="AS275" s="134" t="str">
        <f>_xlfn.IFNA(MATCH(S275,Achievements[[#All],[Column117]],0)+10,"")</f>
        <v/>
      </c>
      <c r="AT275" s="134" t="str">
        <f>_xlfn.IFNA(MATCH(T275,Achievements[[#All],[Column118]],0)+10,"")</f>
        <v/>
      </c>
      <c r="AU275" s="134" t="str">
        <f>_xlfn.IFNA(MATCH(U275,Achievements[[#All],[Column118]],0)+10,"")</f>
        <v/>
      </c>
      <c r="AV275" s="134" t="str">
        <f>_xlfn.IFNA(MATCH(V275,Achievements[[#All],[Column119]],0)+10,"")</f>
        <v/>
      </c>
      <c r="AW275" s="134" t="str">
        <f>_xlfn.IFNA(MATCH(W275,Achievements[[#All],[Column119]],0)+10,"")</f>
        <v/>
      </c>
      <c r="AX275" s="134" t="str">
        <f>_xlfn.IFNA(MATCH(X275,Achievements[[#All],[Column120]],0)+10,"")</f>
        <v/>
      </c>
      <c r="AY275" s="134" t="str">
        <f>_xlfn.IFNA(MATCH(Y275,Achievements[[#All],[Column120]],0)+10,"")</f>
        <v/>
      </c>
      <c r="AZ275" s="116" t="e">
        <f t="shared" ca="1" si="8"/>
        <v>#NAME?</v>
      </c>
      <c r="BA275" s="134" t="e" cm="1">
        <f t="array" aca="1" ref="BA275" ca="1">SplitValues("; ",Persons[[#This Row],[Column1]])</f>
        <v>#NAME?</v>
      </c>
      <c r="CA275" s="134" t="e">
        <f ca="1">_xlfn.IFNA(MATCH(BA275,Achievements[[#All],[Column1]],0)+10,"")</f>
        <v>#NAME?</v>
      </c>
      <c r="CB275" s="134" t="str">
        <f>_xlfn.IFNA(MATCH(BB275,Achievements[[#All],[Column1]],0)+10,"")</f>
        <v/>
      </c>
      <c r="CC275" s="134" t="str">
        <f>_xlfn.IFNA(MATCH(BC275,Achievements[[#All],[Column110]],0)+10,"")</f>
        <v/>
      </c>
      <c r="CD275" s="134" t="str">
        <f>_xlfn.IFNA(MATCH(BD275,Achievements[[#All],[Column110]],0)+10,"")</f>
        <v/>
      </c>
      <c r="CE275" s="134" t="str">
        <f>_xlfn.IFNA(MATCH(BE275,Achievements[[#All],[Column111]],0)+10,"")</f>
        <v/>
      </c>
      <c r="CF275" s="134" t="str">
        <f>_xlfn.IFNA(MATCH(BF275,Achievements[[#All],[Column111]],0)+10,"")</f>
        <v/>
      </c>
      <c r="CG275" s="134" t="str">
        <f>_xlfn.IFNA(MATCH(BG275,Achievements[[#All],[Column112]],0)+10,"")</f>
        <v/>
      </c>
      <c r="CH275" s="134" t="str">
        <f>_xlfn.IFNA(MATCH(BH275,Achievements[[#All],[Column112]],0)+10,"")</f>
        <v/>
      </c>
      <c r="CI275" s="134" t="str">
        <f>_xlfn.IFNA(MATCH(BI275,Achievements[[#All],[Column113]],0)+10,"")</f>
        <v/>
      </c>
      <c r="CJ275" s="134" t="str">
        <f>_xlfn.IFNA(MATCH(BJ275,Achievements[[#All],[Column113]],0)+10,"")</f>
        <v/>
      </c>
      <c r="CK275" s="134" t="str">
        <f>_xlfn.IFNA(MATCH(BK275,Achievements[[#All],[Column114]],0)+10,"")</f>
        <v/>
      </c>
      <c r="CL275" s="134" t="str">
        <f>_xlfn.IFNA(MATCH(BL275,Achievements[[#All],[Column114]],0)+10,"")</f>
        <v/>
      </c>
      <c r="CM275" s="134" t="str">
        <f>_xlfn.IFNA(MATCH(BM275,Achievements[[#All],[Column115]],0)+10,"")</f>
        <v/>
      </c>
      <c r="CN275" s="134" t="str">
        <f>_xlfn.IFNA(MATCH(BN275,Achievements[[#All],[Column115]],0)+10,"")</f>
        <v/>
      </c>
      <c r="CO275" s="134" t="str">
        <f>_xlfn.IFNA(MATCH(BO275,Achievements[[#All],[Column116]],0)+10,"")</f>
        <v/>
      </c>
      <c r="CP275" s="134" t="str">
        <f>_xlfn.IFNA(MATCH(BP275,Achievements[[#All],[Column116]],0)+10,"")</f>
        <v/>
      </c>
      <c r="CQ275" s="134" t="str">
        <f>_xlfn.IFNA(MATCH(BQ275,Achievements[[#All],[Column117]],0)+10,"")</f>
        <v/>
      </c>
      <c r="CR275" s="134" t="str">
        <f>_xlfn.IFNA(MATCH(BR275,Achievements[[#All],[Column117]],0)+10,"")</f>
        <v/>
      </c>
      <c r="CS275" s="134" t="str">
        <f>_xlfn.IFNA(MATCH(BS275,Achievements[[#All],[Column118]],0)+10,"")</f>
        <v/>
      </c>
      <c r="CT275" s="134" t="str">
        <f>_xlfn.IFNA(MATCH(BT275,Achievements[[#All],[Column118]],0)+10,"")</f>
        <v/>
      </c>
      <c r="CU275" s="134" t="str">
        <f>_xlfn.IFNA(MATCH(BU275,Achievements[[#All],[Column119]],0)+10,"")</f>
        <v/>
      </c>
      <c r="CV275" s="134" t="str">
        <f>_xlfn.IFNA(MATCH(BV275,Achievements[[#All],[Column119]],0)+10,"")</f>
        <v/>
      </c>
      <c r="CW275" s="134" t="str">
        <f>_xlfn.IFNA(MATCH(BW275,Achievements[[#All],[Column120]],0)+10,"")</f>
        <v/>
      </c>
      <c r="CX275" s="134" t="str">
        <f>_xlfn.IFNA(MATCH(BX275,Achievements[[#All],[Column120]],0)+10,"")</f>
        <v/>
      </c>
      <c r="CY275" s="134" t="str">
        <f>_xlfn.IFNA(MATCH(BY275,Achievements[[#All],[Column121]],0)+10,"")</f>
        <v/>
      </c>
      <c r="CZ275" s="118" t="e">
        <f t="shared" ca="1" si="9"/>
        <v>#NAME?</v>
      </c>
    </row>
    <row r="276" spans="1:104" x14ac:dyDescent="0.25">
      <c r="A276" t="e" cm="1">
        <f t="array" aca="1" ref="A276" ca="1">SplitValues("; ",#REF!)</f>
        <v>#NAME?</v>
      </c>
      <c r="AA276" t="e">
        <f ca="1">_xlfn.IFNA(MATCH(A276,Achievements[[#All],[Column1]],0)+11,"")</f>
        <v>#NAME?</v>
      </c>
      <c r="AB276" s="134" t="str">
        <f>_xlfn.IFNA(MATCH(B276,Achievements[[#All],[Column1]],0)+10,"")</f>
        <v/>
      </c>
      <c r="AC276" s="134" t="str">
        <f>_xlfn.IFNA(MATCH(C276,Achievements[[#All],[Column1]],0)+10,"")</f>
        <v/>
      </c>
      <c r="AD276" s="134" t="str">
        <f>_xlfn.IFNA(MATCH(D276,Achievements[[#All],[Column110]],0)+10,"")</f>
        <v/>
      </c>
      <c r="AE276" s="134" t="str">
        <f>_xlfn.IFNA(MATCH(E276,Achievements[[#All],[Column110]],0)+10,"")</f>
        <v/>
      </c>
      <c r="AF276" s="134" t="str">
        <f>_xlfn.IFNA(MATCH(F276,Achievements[[#All],[Column111]],0)+10,"")</f>
        <v/>
      </c>
      <c r="AG276" s="134" t="str">
        <f>_xlfn.IFNA(MATCH(G276,Achievements[[#All],[Column111]],0)+10,"")</f>
        <v/>
      </c>
      <c r="AH276" s="134" t="str">
        <f>_xlfn.IFNA(MATCH(H276,Achievements[[#All],[Column112]],0)+10,"")</f>
        <v/>
      </c>
      <c r="AI276" s="134" t="str">
        <f>_xlfn.IFNA(MATCH(I276,Achievements[[#All],[Column112]],0)+10,"")</f>
        <v/>
      </c>
      <c r="AJ276" s="134" t="str">
        <f>_xlfn.IFNA(MATCH(J276,Achievements[[#All],[Column113]],0)+10,"")</f>
        <v/>
      </c>
      <c r="AK276" s="134" t="str">
        <f>_xlfn.IFNA(MATCH(K276,Achievements[[#All],[Column113]],0)+10,"")</f>
        <v/>
      </c>
      <c r="AL276" s="134" t="str">
        <f>_xlfn.IFNA(MATCH(L276,Achievements[[#All],[Column114]],0)+10,"")</f>
        <v/>
      </c>
      <c r="AM276" s="134" t="str">
        <f>_xlfn.IFNA(MATCH(M276,Achievements[[#All],[Column114]],0)+10,"")</f>
        <v/>
      </c>
      <c r="AN276" s="134" t="str">
        <f>_xlfn.IFNA(MATCH(N276,Achievements[[#All],[Column115]],0)+10,"")</f>
        <v/>
      </c>
      <c r="AO276" s="134" t="str">
        <f>_xlfn.IFNA(MATCH(O276,Achievements[[#All],[Column115]],0)+10,"")</f>
        <v/>
      </c>
      <c r="AP276" s="134" t="str">
        <f>_xlfn.IFNA(MATCH(P276,Achievements[[#All],[Column116]],0)+10,"")</f>
        <v/>
      </c>
      <c r="AQ276" s="134" t="str">
        <f>_xlfn.IFNA(MATCH(Q276,Achievements[[#All],[Column116]],0)+10,"")</f>
        <v/>
      </c>
      <c r="AR276" s="134" t="str">
        <f>_xlfn.IFNA(MATCH(R276,Achievements[[#All],[Column117]],0)+10,"")</f>
        <v/>
      </c>
      <c r="AS276" s="134" t="str">
        <f>_xlfn.IFNA(MATCH(S276,Achievements[[#All],[Column117]],0)+10,"")</f>
        <v/>
      </c>
      <c r="AT276" s="134" t="str">
        <f>_xlfn.IFNA(MATCH(T276,Achievements[[#All],[Column118]],0)+10,"")</f>
        <v/>
      </c>
      <c r="AU276" s="134" t="str">
        <f>_xlfn.IFNA(MATCH(U276,Achievements[[#All],[Column118]],0)+10,"")</f>
        <v/>
      </c>
      <c r="AV276" s="134" t="str">
        <f>_xlfn.IFNA(MATCH(V276,Achievements[[#All],[Column119]],0)+10,"")</f>
        <v/>
      </c>
      <c r="AW276" s="134" t="str">
        <f>_xlfn.IFNA(MATCH(W276,Achievements[[#All],[Column119]],0)+10,"")</f>
        <v/>
      </c>
      <c r="AX276" s="134" t="str">
        <f>_xlfn.IFNA(MATCH(X276,Achievements[[#All],[Column120]],0)+10,"")</f>
        <v/>
      </c>
      <c r="AY276" s="134" t="str">
        <f>_xlfn.IFNA(MATCH(Y276,Achievements[[#All],[Column120]],0)+10,"")</f>
        <v/>
      </c>
      <c r="AZ276" s="116" t="e">
        <f t="shared" ca="1" si="8"/>
        <v>#NAME?</v>
      </c>
      <c r="BA276" s="134" t="e" cm="1">
        <f t="array" aca="1" ref="BA276" ca="1">SplitValues("; ",Persons[[#This Row],[Column1]])</f>
        <v>#NAME?</v>
      </c>
      <c r="CA276" s="134" t="e">
        <f ca="1">_xlfn.IFNA(MATCH(BA276,Achievements[[#All],[Column1]],0)+10,"")</f>
        <v>#NAME?</v>
      </c>
      <c r="CB276" s="134" t="str">
        <f>_xlfn.IFNA(MATCH(BB276,Achievements[[#All],[Column1]],0)+10,"")</f>
        <v/>
      </c>
      <c r="CC276" s="134" t="str">
        <f>_xlfn.IFNA(MATCH(BC276,Achievements[[#All],[Column110]],0)+10,"")</f>
        <v/>
      </c>
      <c r="CD276" s="134" t="str">
        <f>_xlfn.IFNA(MATCH(BD276,Achievements[[#All],[Column110]],0)+10,"")</f>
        <v/>
      </c>
      <c r="CE276" s="134" t="str">
        <f>_xlfn.IFNA(MATCH(BE276,Achievements[[#All],[Column111]],0)+10,"")</f>
        <v/>
      </c>
      <c r="CF276" s="134" t="str">
        <f>_xlfn.IFNA(MATCH(BF276,Achievements[[#All],[Column111]],0)+10,"")</f>
        <v/>
      </c>
      <c r="CG276" s="134" t="str">
        <f>_xlfn.IFNA(MATCH(BG276,Achievements[[#All],[Column112]],0)+10,"")</f>
        <v/>
      </c>
      <c r="CH276" s="134" t="str">
        <f>_xlfn.IFNA(MATCH(BH276,Achievements[[#All],[Column112]],0)+10,"")</f>
        <v/>
      </c>
      <c r="CI276" s="134" t="str">
        <f>_xlfn.IFNA(MATCH(BI276,Achievements[[#All],[Column113]],0)+10,"")</f>
        <v/>
      </c>
      <c r="CJ276" s="134" t="str">
        <f>_xlfn.IFNA(MATCH(BJ276,Achievements[[#All],[Column113]],0)+10,"")</f>
        <v/>
      </c>
      <c r="CK276" s="134" t="str">
        <f>_xlfn.IFNA(MATCH(BK276,Achievements[[#All],[Column114]],0)+10,"")</f>
        <v/>
      </c>
      <c r="CL276" s="134" t="str">
        <f>_xlfn.IFNA(MATCH(BL276,Achievements[[#All],[Column114]],0)+10,"")</f>
        <v/>
      </c>
      <c r="CM276" s="134" t="str">
        <f>_xlfn.IFNA(MATCH(BM276,Achievements[[#All],[Column115]],0)+10,"")</f>
        <v/>
      </c>
      <c r="CN276" s="134" t="str">
        <f>_xlfn.IFNA(MATCH(BN276,Achievements[[#All],[Column115]],0)+10,"")</f>
        <v/>
      </c>
      <c r="CO276" s="134" t="str">
        <f>_xlfn.IFNA(MATCH(BO276,Achievements[[#All],[Column116]],0)+10,"")</f>
        <v/>
      </c>
      <c r="CP276" s="134" t="str">
        <f>_xlfn.IFNA(MATCH(BP276,Achievements[[#All],[Column116]],0)+10,"")</f>
        <v/>
      </c>
      <c r="CQ276" s="134" t="str">
        <f>_xlfn.IFNA(MATCH(BQ276,Achievements[[#All],[Column117]],0)+10,"")</f>
        <v/>
      </c>
      <c r="CR276" s="134" t="str">
        <f>_xlfn.IFNA(MATCH(BR276,Achievements[[#All],[Column117]],0)+10,"")</f>
        <v/>
      </c>
      <c r="CS276" s="134" t="str">
        <f>_xlfn.IFNA(MATCH(BS276,Achievements[[#All],[Column118]],0)+10,"")</f>
        <v/>
      </c>
      <c r="CT276" s="134" t="str">
        <f>_xlfn.IFNA(MATCH(BT276,Achievements[[#All],[Column118]],0)+10,"")</f>
        <v/>
      </c>
      <c r="CU276" s="134" t="str">
        <f>_xlfn.IFNA(MATCH(BU276,Achievements[[#All],[Column119]],0)+10,"")</f>
        <v/>
      </c>
      <c r="CV276" s="134" t="str">
        <f>_xlfn.IFNA(MATCH(BV276,Achievements[[#All],[Column119]],0)+10,"")</f>
        <v/>
      </c>
      <c r="CW276" s="134" t="str">
        <f>_xlfn.IFNA(MATCH(BW276,Achievements[[#All],[Column120]],0)+10,"")</f>
        <v/>
      </c>
      <c r="CX276" s="134" t="str">
        <f>_xlfn.IFNA(MATCH(BX276,Achievements[[#All],[Column120]],0)+10,"")</f>
        <v/>
      </c>
      <c r="CY276" s="134" t="str">
        <f>_xlfn.IFNA(MATCH(BY276,Achievements[[#All],[Column121]],0)+10,"")</f>
        <v/>
      </c>
      <c r="CZ276" s="118" t="e">
        <f t="shared" ca="1" si="9"/>
        <v>#NAME?</v>
      </c>
    </row>
    <row r="277" spans="1:104" x14ac:dyDescent="0.25">
      <c r="A277" t="e" cm="1">
        <f t="array" aca="1" ref="A277" ca="1">SplitValues("; ",#REF!)</f>
        <v>#NAME?</v>
      </c>
      <c r="AA277" t="e">
        <f ca="1">_xlfn.IFNA(MATCH(A277,Achievements[[#All],[Column1]],0)+11,"")</f>
        <v>#NAME?</v>
      </c>
      <c r="AB277" s="134" t="str">
        <f>_xlfn.IFNA(MATCH(B277,Achievements[[#All],[Column1]],0)+10,"")</f>
        <v/>
      </c>
      <c r="AC277" s="134" t="str">
        <f>_xlfn.IFNA(MATCH(C277,Achievements[[#All],[Column1]],0)+10,"")</f>
        <v/>
      </c>
      <c r="AD277" s="134" t="str">
        <f>_xlfn.IFNA(MATCH(D277,Achievements[[#All],[Column110]],0)+10,"")</f>
        <v/>
      </c>
      <c r="AE277" s="134" t="str">
        <f>_xlfn.IFNA(MATCH(E277,Achievements[[#All],[Column110]],0)+10,"")</f>
        <v/>
      </c>
      <c r="AF277" s="134" t="str">
        <f>_xlfn.IFNA(MATCH(F277,Achievements[[#All],[Column111]],0)+10,"")</f>
        <v/>
      </c>
      <c r="AG277" s="134" t="str">
        <f>_xlfn.IFNA(MATCH(G277,Achievements[[#All],[Column111]],0)+10,"")</f>
        <v/>
      </c>
      <c r="AH277" s="134" t="str">
        <f>_xlfn.IFNA(MATCH(H277,Achievements[[#All],[Column112]],0)+10,"")</f>
        <v/>
      </c>
      <c r="AI277" s="134" t="str">
        <f>_xlfn.IFNA(MATCH(I277,Achievements[[#All],[Column112]],0)+10,"")</f>
        <v/>
      </c>
      <c r="AJ277" s="134" t="str">
        <f>_xlfn.IFNA(MATCH(J277,Achievements[[#All],[Column113]],0)+10,"")</f>
        <v/>
      </c>
      <c r="AK277" s="134" t="str">
        <f>_xlfn.IFNA(MATCH(K277,Achievements[[#All],[Column113]],0)+10,"")</f>
        <v/>
      </c>
      <c r="AL277" s="134" t="str">
        <f>_xlfn.IFNA(MATCH(L277,Achievements[[#All],[Column114]],0)+10,"")</f>
        <v/>
      </c>
      <c r="AM277" s="134" t="str">
        <f>_xlfn.IFNA(MATCH(M277,Achievements[[#All],[Column114]],0)+10,"")</f>
        <v/>
      </c>
      <c r="AN277" s="134" t="str">
        <f>_xlfn.IFNA(MATCH(N277,Achievements[[#All],[Column115]],0)+10,"")</f>
        <v/>
      </c>
      <c r="AO277" s="134" t="str">
        <f>_xlfn.IFNA(MATCH(O277,Achievements[[#All],[Column115]],0)+10,"")</f>
        <v/>
      </c>
      <c r="AP277" s="134" t="str">
        <f>_xlfn.IFNA(MATCH(P277,Achievements[[#All],[Column116]],0)+10,"")</f>
        <v/>
      </c>
      <c r="AQ277" s="134" t="str">
        <f>_xlfn.IFNA(MATCH(Q277,Achievements[[#All],[Column116]],0)+10,"")</f>
        <v/>
      </c>
      <c r="AR277" s="134" t="str">
        <f>_xlfn.IFNA(MATCH(R277,Achievements[[#All],[Column117]],0)+10,"")</f>
        <v/>
      </c>
      <c r="AS277" s="134" t="str">
        <f>_xlfn.IFNA(MATCH(S277,Achievements[[#All],[Column117]],0)+10,"")</f>
        <v/>
      </c>
      <c r="AT277" s="134" t="str">
        <f>_xlfn.IFNA(MATCH(T277,Achievements[[#All],[Column118]],0)+10,"")</f>
        <v/>
      </c>
      <c r="AU277" s="134" t="str">
        <f>_xlfn.IFNA(MATCH(U277,Achievements[[#All],[Column118]],0)+10,"")</f>
        <v/>
      </c>
      <c r="AV277" s="134" t="str">
        <f>_xlfn.IFNA(MATCH(V277,Achievements[[#All],[Column119]],0)+10,"")</f>
        <v/>
      </c>
      <c r="AW277" s="134" t="str">
        <f>_xlfn.IFNA(MATCH(W277,Achievements[[#All],[Column119]],0)+10,"")</f>
        <v/>
      </c>
      <c r="AX277" s="134" t="str">
        <f>_xlfn.IFNA(MATCH(X277,Achievements[[#All],[Column120]],0)+10,"")</f>
        <v/>
      </c>
      <c r="AY277" s="134" t="str">
        <f>_xlfn.IFNA(MATCH(Y277,Achievements[[#All],[Column120]],0)+10,"")</f>
        <v/>
      </c>
      <c r="AZ277" s="116" t="e">
        <f t="shared" ca="1" si="8"/>
        <v>#NAME?</v>
      </c>
      <c r="BA277" s="134" t="e" cm="1">
        <f t="array" aca="1" ref="BA277" ca="1">SplitValues("; ",Persons[[#This Row],[Column1]])</f>
        <v>#NAME?</v>
      </c>
      <c r="CA277" s="134" t="e">
        <f ca="1">_xlfn.IFNA(MATCH(BA277,Achievements[[#All],[Column1]],0)+10,"")</f>
        <v>#NAME?</v>
      </c>
      <c r="CB277" s="134" t="str">
        <f>_xlfn.IFNA(MATCH(BB277,Achievements[[#All],[Column1]],0)+10,"")</f>
        <v/>
      </c>
      <c r="CC277" s="134" t="str">
        <f>_xlfn.IFNA(MATCH(BC277,Achievements[[#All],[Column110]],0)+10,"")</f>
        <v/>
      </c>
      <c r="CD277" s="134" t="str">
        <f>_xlfn.IFNA(MATCH(BD277,Achievements[[#All],[Column110]],0)+10,"")</f>
        <v/>
      </c>
      <c r="CE277" s="134" t="str">
        <f>_xlfn.IFNA(MATCH(BE277,Achievements[[#All],[Column111]],0)+10,"")</f>
        <v/>
      </c>
      <c r="CF277" s="134" t="str">
        <f>_xlfn.IFNA(MATCH(BF277,Achievements[[#All],[Column111]],0)+10,"")</f>
        <v/>
      </c>
      <c r="CG277" s="134" t="str">
        <f>_xlfn.IFNA(MATCH(BG277,Achievements[[#All],[Column112]],0)+10,"")</f>
        <v/>
      </c>
      <c r="CH277" s="134" t="str">
        <f>_xlfn.IFNA(MATCH(BH277,Achievements[[#All],[Column112]],0)+10,"")</f>
        <v/>
      </c>
      <c r="CI277" s="134" t="str">
        <f>_xlfn.IFNA(MATCH(BI277,Achievements[[#All],[Column113]],0)+10,"")</f>
        <v/>
      </c>
      <c r="CJ277" s="134" t="str">
        <f>_xlfn.IFNA(MATCH(BJ277,Achievements[[#All],[Column113]],0)+10,"")</f>
        <v/>
      </c>
      <c r="CK277" s="134" t="str">
        <f>_xlfn.IFNA(MATCH(BK277,Achievements[[#All],[Column114]],0)+10,"")</f>
        <v/>
      </c>
      <c r="CL277" s="134" t="str">
        <f>_xlfn.IFNA(MATCH(BL277,Achievements[[#All],[Column114]],0)+10,"")</f>
        <v/>
      </c>
      <c r="CM277" s="134" t="str">
        <f>_xlfn.IFNA(MATCH(BM277,Achievements[[#All],[Column115]],0)+10,"")</f>
        <v/>
      </c>
      <c r="CN277" s="134" t="str">
        <f>_xlfn.IFNA(MATCH(BN277,Achievements[[#All],[Column115]],0)+10,"")</f>
        <v/>
      </c>
      <c r="CO277" s="134" t="str">
        <f>_xlfn.IFNA(MATCH(BO277,Achievements[[#All],[Column116]],0)+10,"")</f>
        <v/>
      </c>
      <c r="CP277" s="134" t="str">
        <f>_xlfn.IFNA(MATCH(BP277,Achievements[[#All],[Column116]],0)+10,"")</f>
        <v/>
      </c>
      <c r="CQ277" s="134" t="str">
        <f>_xlfn.IFNA(MATCH(BQ277,Achievements[[#All],[Column117]],0)+10,"")</f>
        <v/>
      </c>
      <c r="CR277" s="134" t="str">
        <f>_xlfn.IFNA(MATCH(BR277,Achievements[[#All],[Column117]],0)+10,"")</f>
        <v/>
      </c>
      <c r="CS277" s="134" t="str">
        <f>_xlfn.IFNA(MATCH(BS277,Achievements[[#All],[Column118]],0)+10,"")</f>
        <v/>
      </c>
      <c r="CT277" s="134" t="str">
        <f>_xlfn.IFNA(MATCH(BT277,Achievements[[#All],[Column118]],0)+10,"")</f>
        <v/>
      </c>
      <c r="CU277" s="134" t="str">
        <f>_xlfn.IFNA(MATCH(BU277,Achievements[[#All],[Column119]],0)+10,"")</f>
        <v/>
      </c>
      <c r="CV277" s="134" t="str">
        <f>_xlfn.IFNA(MATCH(BV277,Achievements[[#All],[Column119]],0)+10,"")</f>
        <v/>
      </c>
      <c r="CW277" s="134" t="str">
        <f>_xlfn.IFNA(MATCH(BW277,Achievements[[#All],[Column120]],0)+10,"")</f>
        <v/>
      </c>
      <c r="CX277" s="134" t="str">
        <f>_xlfn.IFNA(MATCH(BX277,Achievements[[#All],[Column120]],0)+10,"")</f>
        <v/>
      </c>
      <c r="CY277" s="134" t="str">
        <f>_xlfn.IFNA(MATCH(BY277,Achievements[[#All],[Column121]],0)+10,"")</f>
        <v/>
      </c>
      <c r="CZ277" s="118" t="e">
        <f t="shared" ca="1" si="9"/>
        <v>#NAME?</v>
      </c>
    </row>
    <row r="278" spans="1:104" x14ac:dyDescent="0.25">
      <c r="A278" t="e" cm="1">
        <f t="array" aca="1" ref="A278" ca="1">SplitValues("; ",#REF!)</f>
        <v>#NAME?</v>
      </c>
      <c r="AA278" t="e">
        <f ca="1">_xlfn.IFNA(MATCH(A278,Achievements[[#All],[Column1]],0)+11,"")</f>
        <v>#NAME?</v>
      </c>
      <c r="AB278" s="134" t="str">
        <f>_xlfn.IFNA(MATCH(B278,Achievements[[#All],[Column1]],0)+10,"")</f>
        <v/>
      </c>
      <c r="AC278" s="134" t="str">
        <f>_xlfn.IFNA(MATCH(C278,Achievements[[#All],[Column1]],0)+10,"")</f>
        <v/>
      </c>
      <c r="AD278" s="134" t="str">
        <f>_xlfn.IFNA(MATCH(D278,Achievements[[#All],[Column110]],0)+10,"")</f>
        <v/>
      </c>
      <c r="AE278" s="134" t="str">
        <f>_xlfn.IFNA(MATCH(E278,Achievements[[#All],[Column110]],0)+10,"")</f>
        <v/>
      </c>
      <c r="AF278" s="134" t="str">
        <f>_xlfn.IFNA(MATCH(F278,Achievements[[#All],[Column111]],0)+10,"")</f>
        <v/>
      </c>
      <c r="AG278" s="134" t="str">
        <f>_xlfn.IFNA(MATCH(G278,Achievements[[#All],[Column111]],0)+10,"")</f>
        <v/>
      </c>
      <c r="AH278" s="134" t="str">
        <f>_xlfn.IFNA(MATCH(H278,Achievements[[#All],[Column112]],0)+10,"")</f>
        <v/>
      </c>
      <c r="AI278" s="134" t="str">
        <f>_xlfn.IFNA(MATCH(I278,Achievements[[#All],[Column112]],0)+10,"")</f>
        <v/>
      </c>
      <c r="AJ278" s="134" t="str">
        <f>_xlfn.IFNA(MATCH(J278,Achievements[[#All],[Column113]],0)+10,"")</f>
        <v/>
      </c>
      <c r="AK278" s="134" t="str">
        <f>_xlfn.IFNA(MATCH(K278,Achievements[[#All],[Column113]],0)+10,"")</f>
        <v/>
      </c>
      <c r="AL278" s="134" t="str">
        <f>_xlfn.IFNA(MATCH(L278,Achievements[[#All],[Column114]],0)+10,"")</f>
        <v/>
      </c>
      <c r="AM278" s="134" t="str">
        <f>_xlfn.IFNA(MATCH(M278,Achievements[[#All],[Column114]],0)+10,"")</f>
        <v/>
      </c>
      <c r="AN278" s="134" t="str">
        <f>_xlfn.IFNA(MATCH(N278,Achievements[[#All],[Column115]],0)+10,"")</f>
        <v/>
      </c>
      <c r="AO278" s="134" t="str">
        <f>_xlfn.IFNA(MATCH(O278,Achievements[[#All],[Column115]],0)+10,"")</f>
        <v/>
      </c>
      <c r="AP278" s="134" t="str">
        <f>_xlfn.IFNA(MATCH(P278,Achievements[[#All],[Column116]],0)+10,"")</f>
        <v/>
      </c>
      <c r="AQ278" s="134" t="str">
        <f>_xlfn.IFNA(MATCH(Q278,Achievements[[#All],[Column116]],0)+10,"")</f>
        <v/>
      </c>
      <c r="AR278" s="134" t="str">
        <f>_xlfn.IFNA(MATCH(R278,Achievements[[#All],[Column117]],0)+10,"")</f>
        <v/>
      </c>
      <c r="AS278" s="134" t="str">
        <f>_xlfn.IFNA(MATCH(S278,Achievements[[#All],[Column117]],0)+10,"")</f>
        <v/>
      </c>
      <c r="AT278" s="134" t="str">
        <f>_xlfn.IFNA(MATCH(T278,Achievements[[#All],[Column118]],0)+10,"")</f>
        <v/>
      </c>
      <c r="AU278" s="134" t="str">
        <f>_xlfn.IFNA(MATCH(U278,Achievements[[#All],[Column118]],0)+10,"")</f>
        <v/>
      </c>
      <c r="AV278" s="134" t="str">
        <f>_xlfn.IFNA(MATCH(V278,Achievements[[#All],[Column119]],0)+10,"")</f>
        <v/>
      </c>
      <c r="AW278" s="134" t="str">
        <f>_xlfn.IFNA(MATCH(W278,Achievements[[#All],[Column119]],0)+10,"")</f>
        <v/>
      </c>
      <c r="AX278" s="134" t="str">
        <f>_xlfn.IFNA(MATCH(X278,Achievements[[#All],[Column120]],0)+10,"")</f>
        <v/>
      </c>
      <c r="AY278" s="134" t="str">
        <f>_xlfn.IFNA(MATCH(Y278,Achievements[[#All],[Column120]],0)+10,"")</f>
        <v/>
      </c>
      <c r="AZ278" s="116" t="e">
        <f t="shared" ca="1" si="8"/>
        <v>#NAME?</v>
      </c>
      <c r="BA278" s="134" t="e" cm="1">
        <f t="array" aca="1" ref="BA278" ca="1">SplitValues("; ",Persons[[#This Row],[Column1]])</f>
        <v>#NAME?</v>
      </c>
      <c r="CA278" s="134" t="e">
        <f ca="1">_xlfn.IFNA(MATCH(BA278,Achievements[[#All],[Column1]],0)+10,"")</f>
        <v>#NAME?</v>
      </c>
      <c r="CB278" s="134" t="str">
        <f>_xlfn.IFNA(MATCH(BB278,Achievements[[#All],[Column1]],0)+10,"")</f>
        <v/>
      </c>
      <c r="CC278" s="134" t="str">
        <f>_xlfn.IFNA(MATCH(BC278,Achievements[[#All],[Column110]],0)+10,"")</f>
        <v/>
      </c>
      <c r="CD278" s="134" t="str">
        <f>_xlfn.IFNA(MATCH(BD278,Achievements[[#All],[Column110]],0)+10,"")</f>
        <v/>
      </c>
      <c r="CE278" s="134" t="str">
        <f>_xlfn.IFNA(MATCH(BE278,Achievements[[#All],[Column111]],0)+10,"")</f>
        <v/>
      </c>
      <c r="CF278" s="134" t="str">
        <f>_xlfn.IFNA(MATCH(BF278,Achievements[[#All],[Column111]],0)+10,"")</f>
        <v/>
      </c>
      <c r="CG278" s="134" t="str">
        <f>_xlfn.IFNA(MATCH(BG278,Achievements[[#All],[Column112]],0)+10,"")</f>
        <v/>
      </c>
      <c r="CH278" s="134" t="str">
        <f>_xlfn.IFNA(MATCH(BH278,Achievements[[#All],[Column112]],0)+10,"")</f>
        <v/>
      </c>
      <c r="CI278" s="134" t="str">
        <f>_xlfn.IFNA(MATCH(BI278,Achievements[[#All],[Column113]],0)+10,"")</f>
        <v/>
      </c>
      <c r="CJ278" s="134" t="str">
        <f>_xlfn.IFNA(MATCH(BJ278,Achievements[[#All],[Column113]],0)+10,"")</f>
        <v/>
      </c>
      <c r="CK278" s="134" t="str">
        <f>_xlfn.IFNA(MATCH(BK278,Achievements[[#All],[Column114]],0)+10,"")</f>
        <v/>
      </c>
      <c r="CL278" s="134" t="str">
        <f>_xlfn.IFNA(MATCH(BL278,Achievements[[#All],[Column114]],0)+10,"")</f>
        <v/>
      </c>
      <c r="CM278" s="134" t="str">
        <f>_xlfn.IFNA(MATCH(BM278,Achievements[[#All],[Column115]],0)+10,"")</f>
        <v/>
      </c>
      <c r="CN278" s="134" t="str">
        <f>_xlfn.IFNA(MATCH(BN278,Achievements[[#All],[Column115]],0)+10,"")</f>
        <v/>
      </c>
      <c r="CO278" s="134" t="str">
        <f>_xlfn.IFNA(MATCH(BO278,Achievements[[#All],[Column116]],0)+10,"")</f>
        <v/>
      </c>
      <c r="CP278" s="134" t="str">
        <f>_xlfn.IFNA(MATCH(BP278,Achievements[[#All],[Column116]],0)+10,"")</f>
        <v/>
      </c>
      <c r="CQ278" s="134" t="str">
        <f>_xlfn.IFNA(MATCH(BQ278,Achievements[[#All],[Column117]],0)+10,"")</f>
        <v/>
      </c>
      <c r="CR278" s="134" t="str">
        <f>_xlfn.IFNA(MATCH(BR278,Achievements[[#All],[Column117]],0)+10,"")</f>
        <v/>
      </c>
      <c r="CS278" s="134" t="str">
        <f>_xlfn.IFNA(MATCH(BS278,Achievements[[#All],[Column118]],0)+10,"")</f>
        <v/>
      </c>
      <c r="CT278" s="134" t="str">
        <f>_xlfn.IFNA(MATCH(BT278,Achievements[[#All],[Column118]],0)+10,"")</f>
        <v/>
      </c>
      <c r="CU278" s="134" t="str">
        <f>_xlfn.IFNA(MATCH(BU278,Achievements[[#All],[Column119]],0)+10,"")</f>
        <v/>
      </c>
      <c r="CV278" s="134" t="str">
        <f>_xlfn.IFNA(MATCH(BV278,Achievements[[#All],[Column119]],0)+10,"")</f>
        <v/>
      </c>
      <c r="CW278" s="134" t="str">
        <f>_xlfn.IFNA(MATCH(BW278,Achievements[[#All],[Column120]],0)+10,"")</f>
        <v/>
      </c>
      <c r="CX278" s="134" t="str">
        <f>_xlfn.IFNA(MATCH(BX278,Achievements[[#All],[Column120]],0)+10,"")</f>
        <v/>
      </c>
      <c r="CY278" s="134" t="str">
        <f>_xlfn.IFNA(MATCH(BY278,Achievements[[#All],[Column121]],0)+10,"")</f>
        <v/>
      </c>
      <c r="CZ278" s="118" t="e">
        <f t="shared" ca="1" si="9"/>
        <v>#NAME?</v>
      </c>
    </row>
    <row r="279" spans="1:104" x14ac:dyDescent="0.25">
      <c r="A279" t="e" cm="1">
        <f t="array" aca="1" ref="A279" ca="1">SplitValues("; ",#REF!)</f>
        <v>#NAME?</v>
      </c>
      <c r="AA279" t="e">
        <f ca="1">_xlfn.IFNA(MATCH(A279,Achievements[[#All],[Column1]],0)+11,"")</f>
        <v>#NAME?</v>
      </c>
      <c r="AB279" s="134" t="str">
        <f>_xlfn.IFNA(MATCH(B279,Achievements[[#All],[Column1]],0)+10,"")</f>
        <v/>
      </c>
      <c r="AC279" s="134" t="str">
        <f>_xlfn.IFNA(MATCH(C279,Achievements[[#All],[Column1]],0)+10,"")</f>
        <v/>
      </c>
      <c r="AD279" s="134" t="str">
        <f>_xlfn.IFNA(MATCH(D279,Achievements[[#All],[Column110]],0)+10,"")</f>
        <v/>
      </c>
      <c r="AE279" s="134" t="str">
        <f>_xlfn.IFNA(MATCH(E279,Achievements[[#All],[Column110]],0)+10,"")</f>
        <v/>
      </c>
      <c r="AF279" s="134" t="str">
        <f>_xlfn.IFNA(MATCH(F279,Achievements[[#All],[Column111]],0)+10,"")</f>
        <v/>
      </c>
      <c r="AG279" s="134" t="str">
        <f>_xlfn.IFNA(MATCH(G279,Achievements[[#All],[Column111]],0)+10,"")</f>
        <v/>
      </c>
      <c r="AH279" s="134" t="str">
        <f>_xlfn.IFNA(MATCH(H279,Achievements[[#All],[Column112]],0)+10,"")</f>
        <v/>
      </c>
      <c r="AI279" s="134" t="str">
        <f>_xlfn.IFNA(MATCH(I279,Achievements[[#All],[Column112]],0)+10,"")</f>
        <v/>
      </c>
      <c r="AJ279" s="134" t="str">
        <f>_xlfn.IFNA(MATCH(J279,Achievements[[#All],[Column113]],0)+10,"")</f>
        <v/>
      </c>
      <c r="AK279" s="134" t="str">
        <f>_xlfn.IFNA(MATCH(K279,Achievements[[#All],[Column113]],0)+10,"")</f>
        <v/>
      </c>
      <c r="AL279" s="134" t="str">
        <f>_xlfn.IFNA(MATCH(L279,Achievements[[#All],[Column114]],0)+10,"")</f>
        <v/>
      </c>
      <c r="AM279" s="134" t="str">
        <f>_xlfn.IFNA(MATCH(M279,Achievements[[#All],[Column114]],0)+10,"")</f>
        <v/>
      </c>
      <c r="AN279" s="134" t="str">
        <f>_xlfn.IFNA(MATCH(N279,Achievements[[#All],[Column115]],0)+10,"")</f>
        <v/>
      </c>
      <c r="AO279" s="134" t="str">
        <f>_xlfn.IFNA(MATCH(O279,Achievements[[#All],[Column115]],0)+10,"")</f>
        <v/>
      </c>
      <c r="AP279" s="134" t="str">
        <f>_xlfn.IFNA(MATCH(P279,Achievements[[#All],[Column116]],0)+10,"")</f>
        <v/>
      </c>
      <c r="AQ279" s="134" t="str">
        <f>_xlfn.IFNA(MATCH(Q279,Achievements[[#All],[Column116]],0)+10,"")</f>
        <v/>
      </c>
      <c r="AR279" s="134" t="str">
        <f>_xlfn.IFNA(MATCH(R279,Achievements[[#All],[Column117]],0)+10,"")</f>
        <v/>
      </c>
      <c r="AS279" s="134" t="str">
        <f>_xlfn.IFNA(MATCH(S279,Achievements[[#All],[Column117]],0)+10,"")</f>
        <v/>
      </c>
      <c r="AT279" s="134" t="str">
        <f>_xlfn.IFNA(MATCH(T279,Achievements[[#All],[Column118]],0)+10,"")</f>
        <v/>
      </c>
      <c r="AU279" s="134" t="str">
        <f>_xlfn.IFNA(MATCH(U279,Achievements[[#All],[Column118]],0)+10,"")</f>
        <v/>
      </c>
      <c r="AV279" s="134" t="str">
        <f>_xlfn.IFNA(MATCH(V279,Achievements[[#All],[Column119]],0)+10,"")</f>
        <v/>
      </c>
      <c r="AW279" s="134" t="str">
        <f>_xlfn.IFNA(MATCH(W279,Achievements[[#All],[Column119]],0)+10,"")</f>
        <v/>
      </c>
      <c r="AX279" s="134" t="str">
        <f>_xlfn.IFNA(MATCH(X279,Achievements[[#All],[Column120]],0)+10,"")</f>
        <v/>
      </c>
      <c r="AY279" s="134" t="str">
        <f>_xlfn.IFNA(MATCH(Y279,Achievements[[#All],[Column120]],0)+10,"")</f>
        <v/>
      </c>
      <c r="AZ279" s="116" t="e">
        <f t="shared" ca="1" si="8"/>
        <v>#NAME?</v>
      </c>
      <c r="BA279" s="134" t="e" cm="1">
        <f t="array" aca="1" ref="BA279" ca="1">SplitValues("; ",Persons[[#This Row],[Column1]])</f>
        <v>#NAME?</v>
      </c>
      <c r="CA279" s="134" t="e">
        <f ca="1">_xlfn.IFNA(MATCH(BA279,Achievements[[#All],[Column1]],0)+10,"")</f>
        <v>#NAME?</v>
      </c>
      <c r="CB279" s="134" t="str">
        <f>_xlfn.IFNA(MATCH(BB279,Achievements[[#All],[Column1]],0)+10,"")</f>
        <v/>
      </c>
      <c r="CC279" s="134" t="str">
        <f>_xlfn.IFNA(MATCH(BC279,Achievements[[#All],[Column110]],0)+10,"")</f>
        <v/>
      </c>
      <c r="CD279" s="134" t="str">
        <f>_xlfn.IFNA(MATCH(BD279,Achievements[[#All],[Column110]],0)+10,"")</f>
        <v/>
      </c>
      <c r="CE279" s="134" t="str">
        <f>_xlfn.IFNA(MATCH(BE279,Achievements[[#All],[Column111]],0)+10,"")</f>
        <v/>
      </c>
      <c r="CF279" s="134" t="str">
        <f>_xlfn.IFNA(MATCH(BF279,Achievements[[#All],[Column111]],0)+10,"")</f>
        <v/>
      </c>
      <c r="CG279" s="134" t="str">
        <f>_xlfn.IFNA(MATCH(BG279,Achievements[[#All],[Column112]],0)+10,"")</f>
        <v/>
      </c>
      <c r="CH279" s="134" t="str">
        <f>_xlfn.IFNA(MATCH(BH279,Achievements[[#All],[Column112]],0)+10,"")</f>
        <v/>
      </c>
      <c r="CI279" s="134" t="str">
        <f>_xlfn.IFNA(MATCH(BI279,Achievements[[#All],[Column113]],0)+10,"")</f>
        <v/>
      </c>
      <c r="CJ279" s="134" t="str">
        <f>_xlfn.IFNA(MATCH(BJ279,Achievements[[#All],[Column113]],0)+10,"")</f>
        <v/>
      </c>
      <c r="CK279" s="134" t="str">
        <f>_xlfn.IFNA(MATCH(BK279,Achievements[[#All],[Column114]],0)+10,"")</f>
        <v/>
      </c>
      <c r="CL279" s="134" t="str">
        <f>_xlfn.IFNA(MATCH(BL279,Achievements[[#All],[Column114]],0)+10,"")</f>
        <v/>
      </c>
      <c r="CM279" s="134" t="str">
        <f>_xlfn.IFNA(MATCH(BM279,Achievements[[#All],[Column115]],0)+10,"")</f>
        <v/>
      </c>
      <c r="CN279" s="134" t="str">
        <f>_xlfn.IFNA(MATCH(BN279,Achievements[[#All],[Column115]],0)+10,"")</f>
        <v/>
      </c>
      <c r="CO279" s="134" t="str">
        <f>_xlfn.IFNA(MATCH(BO279,Achievements[[#All],[Column116]],0)+10,"")</f>
        <v/>
      </c>
      <c r="CP279" s="134" t="str">
        <f>_xlfn.IFNA(MATCH(BP279,Achievements[[#All],[Column116]],0)+10,"")</f>
        <v/>
      </c>
      <c r="CQ279" s="134" t="str">
        <f>_xlfn.IFNA(MATCH(BQ279,Achievements[[#All],[Column117]],0)+10,"")</f>
        <v/>
      </c>
      <c r="CR279" s="134" t="str">
        <f>_xlfn.IFNA(MATCH(BR279,Achievements[[#All],[Column117]],0)+10,"")</f>
        <v/>
      </c>
      <c r="CS279" s="134" t="str">
        <f>_xlfn.IFNA(MATCH(BS279,Achievements[[#All],[Column118]],0)+10,"")</f>
        <v/>
      </c>
      <c r="CT279" s="134" t="str">
        <f>_xlfn.IFNA(MATCH(BT279,Achievements[[#All],[Column118]],0)+10,"")</f>
        <v/>
      </c>
      <c r="CU279" s="134" t="str">
        <f>_xlfn.IFNA(MATCH(BU279,Achievements[[#All],[Column119]],0)+10,"")</f>
        <v/>
      </c>
      <c r="CV279" s="134" t="str">
        <f>_xlfn.IFNA(MATCH(BV279,Achievements[[#All],[Column119]],0)+10,"")</f>
        <v/>
      </c>
      <c r="CW279" s="134" t="str">
        <f>_xlfn.IFNA(MATCH(BW279,Achievements[[#All],[Column120]],0)+10,"")</f>
        <v/>
      </c>
      <c r="CX279" s="134" t="str">
        <f>_xlfn.IFNA(MATCH(BX279,Achievements[[#All],[Column120]],0)+10,"")</f>
        <v/>
      </c>
      <c r="CY279" s="134" t="str">
        <f>_xlfn.IFNA(MATCH(BY279,Achievements[[#All],[Column121]],0)+10,"")</f>
        <v/>
      </c>
      <c r="CZ279" s="118" t="e">
        <f t="shared" ca="1" si="9"/>
        <v>#NAME?</v>
      </c>
    </row>
    <row r="280" spans="1:104" x14ac:dyDescent="0.25">
      <c r="A280" t="e" cm="1">
        <f t="array" aca="1" ref="A280" ca="1">SplitValues("; ",#REF!)</f>
        <v>#NAME?</v>
      </c>
      <c r="AA280" t="e">
        <f ca="1">_xlfn.IFNA(MATCH(A280,Achievements[[#All],[Column1]],0)+11,"")</f>
        <v>#NAME?</v>
      </c>
      <c r="AB280" s="134" t="str">
        <f>_xlfn.IFNA(MATCH(B280,Achievements[[#All],[Column1]],0)+10,"")</f>
        <v/>
      </c>
      <c r="AC280" s="134" t="str">
        <f>_xlfn.IFNA(MATCH(C280,Achievements[[#All],[Column1]],0)+10,"")</f>
        <v/>
      </c>
      <c r="AD280" s="134" t="str">
        <f>_xlfn.IFNA(MATCH(D280,Achievements[[#All],[Column110]],0)+10,"")</f>
        <v/>
      </c>
      <c r="AE280" s="134" t="str">
        <f>_xlfn.IFNA(MATCH(E280,Achievements[[#All],[Column110]],0)+10,"")</f>
        <v/>
      </c>
      <c r="AF280" s="134" t="str">
        <f>_xlfn.IFNA(MATCH(F280,Achievements[[#All],[Column111]],0)+10,"")</f>
        <v/>
      </c>
      <c r="AG280" s="134" t="str">
        <f>_xlfn.IFNA(MATCH(G280,Achievements[[#All],[Column111]],0)+10,"")</f>
        <v/>
      </c>
      <c r="AH280" s="134" t="str">
        <f>_xlfn.IFNA(MATCH(H280,Achievements[[#All],[Column112]],0)+10,"")</f>
        <v/>
      </c>
      <c r="AI280" s="134" t="str">
        <f>_xlfn.IFNA(MATCH(I280,Achievements[[#All],[Column112]],0)+10,"")</f>
        <v/>
      </c>
      <c r="AJ280" s="134" t="str">
        <f>_xlfn.IFNA(MATCH(J280,Achievements[[#All],[Column113]],0)+10,"")</f>
        <v/>
      </c>
      <c r="AK280" s="134" t="str">
        <f>_xlfn.IFNA(MATCH(K280,Achievements[[#All],[Column113]],0)+10,"")</f>
        <v/>
      </c>
      <c r="AL280" s="134" t="str">
        <f>_xlfn.IFNA(MATCH(L280,Achievements[[#All],[Column114]],0)+10,"")</f>
        <v/>
      </c>
      <c r="AM280" s="134" t="str">
        <f>_xlfn.IFNA(MATCH(M280,Achievements[[#All],[Column114]],0)+10,"")</f>
        <v/>
      </c>
      <c r="AN280" s="134" t="str">
        <f>_xlfn.IFNA(MATCH(N280,Achievements[[#All],[Column115]],0)+10,"")</f>
        <v/>
      </c>
      <c r="AO280" s="134" t="str">
        <f>_xlfn.IFNA(MATCH(O280,Achievements[[#All],[Column115]],0)+10,"")</f>
        <v/>
      </c>
      <c r="AP280" s="134" t="str">
        <f>_xlfn.IFNA(MATCH(P280,Achievements[[#All],[Column116]],0)+10,"")</f>
        <v/>
      </c>
      <c r="AQ280" s="134" t="str">
        <f>_xlfn.IFNA(MATCH(Q280,Achievements[[#All],[Column116]],0)+10,"")</f>
        <v/>
      </c>
      <c r="AR280" s="134" t="str">
        <f>_xlfn.IFNA(MATCH(R280,Achievements[[#All],[Column117]],0)+10,"")</f>
        <v/>
      </c>
      <c r="AS280" s="134" t="str">
        <f>_xlfn.IFNA(MATCH(S280,Achievements[[#All],[Column117]],0)+10,"")</f>
        <v/>
      </c>
      <c r="AT280" s="134" t="str">
        <f>_xlfn.IFNA(MATCH(T280,Achievements[[#All],[Column118]],0)+10,"")</f>
        <v/>
      </c>
      <c r="AU280" s="134" t="str">
        <f>_xlfn.IFNA(MATCH(U280,Achievements[[#All],[Column118]],0)+10,"")</f>
        <v/>
      </c>
      <c r="AV280" s="134" t="str">
        <f>_xlfn.IFNA(MATCH(V280,Achievements[[#All],[Column119]],0)+10,"")</f>
        <v/>
      </c>
      <c r="AW280" s="134" t="str">
        <f>_xlfn.IFNA(MATCH(W280,Achievements[[#All],[Column119]],0)+10,"")</f>
        <v/>
      </c>
      <c r="AX280" s="134" t="str">
        <f>_xlfn.IFNA(MATCH(X280,Achievements[[#All],[Column120]],0)+10,"")</f>
        <v/>
      </c>
      <c r="AY280" s="134" t="str">
        <f>_xlfn.IFNA(MATCH(Y280,Achievements[[#All],[Column120]],0)+10,"")</f>
        <v/>
      </c>
      <c r="AZ280" s="116" t="e">
        <f t="shared" ca="1" si="8"/>
        <v>#NAME?</v>
      </c>
      <c r="BA280" s="134" t="e" cm="1">
        <f t="array" aca="1" ref="BA280" ca="1">SplitValues("; ",Persons[[#This Row],[Column1]])</f>
        <v>#NAME?</v>
      </c>
      <c r="CA280" s="134" t="e">
        <f ca="1">_xlfn.IFNA(MATCH(BA280,Achievements[[#All],[Column1]],0)+10,"")</f>
        <v>#NAME?</v>
      </c>
      <c r="CB280" s="134" t="str">
        <f>_xlfn.IFNA(MATCH(BB280,Achievements[[#All],[Column1]],0)+10,"")</f>
        <v/>
      </c>
      <c r="CC280" s="134" t="str">
        <f>_xlfn.IFNA(MATCH(BC280,Achievements[[#All],[Column110]],0)+10,"")</f>
        <v/>
      </c>
      <c r="CD280" s="134" t="str">
        <f>_xlfn.IFNA(MATCH(BD280,Achievements[[#All],[Column110]],0)+10,"")</f>
        <v/>
      </c>
      <c r="CE280" s="134" t="str">
        <f>_xlfn.IFNA(MATCH(BE280,Achievements[[#All],[Column111]],0)+10,"")</f>
        <v/>
      </c>
      <c r="CF280" s="134" t="str">
        <f>_xlfn.IFNA(MATCH(BF280,Achievements[[#All],[Column111]],0)+10,"")</f>
        <v/>
      </c>
      <c r="CG280" s="134" t="str">
        <f>_xlfn.IFNA(MATCH(BG280,Achievements[[#All],[Column112]],0)+10,"")</f>
        <v/>
      </c>
      <c r="CH280" s="134" t="str">
        <f>_xlfn.IFNA(MATCH(BH280,Achievements[[#All],[Column112]],0)+10,"")</f>
        <v/>
      </c>
      <c r="CI280" s="134" t="str">
        <f>_xlfn.IFNA(MATCH(BI280,Achievements[[#All],[Column113]],0)+10,"")</f>
        <v/>
      </c>
      <c r="CJ280" s="134" t="str">
        <f>_xlfn.IFNA(MATCH(BJ280,Achievements[[#All],[Column113]],0)+10,"")</f>
        <v/>
      </c>
      <c r="CK280" s="134" t="str">
        <f>_xlfn.IFNA(MATCH(BK280,Achievements[[#All],[Column114]],0)+10,"")</f>
        <v/>
      </c>
      <c r="CL280" s="134" t="str">
        <f>_xlfn.IFNA(MATCH(BL280,Achievements[[#All],[Column114]],0)+10,"")</f>
        <v/>
      </c>
      <c r="CM280" s="134" t="str">
        <f>_xlfn.IFNA(MATCH(BM280,Achievements[[#All],[Column115]],0)+10,"")</f>
        <v/>
      </c>
      <c r="CN280" s="134" t="str">
        <f>_xlfn.IFNA(MATCH(BN280,Achievements[[#All],[Column115]],0)+10,"")</f>
        <v/>
      </c>
      <c r="CO280" s="134" t="str">
        <f>_xlfn.IFNA(MATCH(BO280,Achievements[[#All],[Column116]],0)+10,"")</f>
        <v/>
      </c>
      <c r="CP280" s="134" t="str">
        <f>_xlfn.IFNA(MATCH(BP280,Achievements[[#All],[Column116]],0)+10,"")</f>
        <v/>
      </c>
      <c r="CQ280" s="134" t="str">
        <f>_xlfn.IFNA(MATCH(BQ280,Achievements[[#All],[Column117]],0)+10,"")</f>
        <v/>
      </c>
      <c r="CR280" s="134" t="str">
        <f>_xlfn.IFNA(MATCH(BR280,Achievements[[#All],[Column117]],0)+10,"")</f>
        <v/>
      </c>
      <c r="CS280" s="134" t="str">
        <f>_xlfn.IFNA(MATCH(BS280,Achievements[[#All],[Column118]],0)+10,"")</f>
        <v/>
      </c>
      <c r="CT280" s="134" t="str">
        <f>_xlfn.IFNA(MATCH(BT280,Achievements[[#All],[Column118]],0)+10,"")</f>
        <v/>
      </c>
      <c r="CU280" s="134" t="str">
        <f>_xlfn.IFNA(MATCH(BU280,Achievements[[#All],[Column119]],0)+10,"")</f>
        <v/>
      </c>
      <c r="CV280" s="134" t="str">
        <f>_xlfn.IFNA(MATCH(BV280,Achievements[[#All],[Column119]],0)+10,"")</f>
        <v/>
      </c>
      <c r="CW280" s="134" t="str">
        <f>_xlfn.IFNA(MATCH(BW280,Achievements[[#All],[Column120]],0)+10,"")</f>
        <v/>
      </c>
      <c r="CX280" s="134" t="str">
        <f>_xlfn.IFNA(MATCH(BX280,Achievements[[#All],[Column120]],0)+10,"")</f>
        <v/>
      </c>
      <c r="CY280" s="134" t="str">
        <f>_xlfn.IFNA(MATCH(BY280,Achievements[[#All],[Column121]],0)+10,"")</f>
        <v/>
      </c>
      <c r="CZ280" s="118" t="e">
        <f t="shared" ca="1" si="9"/>
        <v>#NAME?</v>
      </c>
    </row>
    <row r="281" spans="1:104" x14ac:dyDescent="0.25">
      <c r="A281" t="e" cm="1">
        <f t="array" aca="1" ref="A281" ca="1">SplitValues("; ",#REF!)</f>
        <v>#NAME?</v>
      </c>
      <c r="AA281" t="e">
        <f ca="1">_xlfn.IFNA(MATCH(A281,Achievements[[#All],[Column1]],0)+11,"")</f>
        <v>#NAME?</v>
      </c>
      <c r="AB281" s="134" t="str">
        <f>_xlfn.IFNA(MATCH(B281,Achievements[[#All],[Column1]],0)+10,"")</f>
        <v/>
      </c>
      <c r="AC281" s="134" t="str">
        <f>_xlfn.IFNA(MATCH(C281,Achievements[[#All],[Column1]],0)+10,"")</f>
        <v/>
      </c>
      <c r="AD281" s="134" t="str">
        <f>_xlfn.IFNA(MATCH(D281,Achievements[[#All],[Column110]],0)+10,"")</f>
        <v/>
      </c>
      <c r="AE281" s="134" t="str">
        <f>_xlfn.IFNA(MATCH(E281,Achievements[[#All],[Column110]],0)+10,"")</f>
        <v/>
      </c>
      <c r="AF281" s="134" t="str">
        <f>_xlfn.IFNA(MATCH(F281,Achievements[[#All],[Column111]],0)+10,"")</f>
        <v/>
      </c>
      <c r="AG281" s="134" t="str">
        <f>_xlfn.IFNA(MATCH(G281,Achievements[[#All],[Column111]],0)+10,"")</f>
        <v/>
      </c>
      <c r="AH281" s="134" t="str">
        <f>_xlfn.IFNA(MATCH(H281,Achievements[[#All],[Column112]],0)+10,"")</f>
        <v/>
      </c>
      <c r="AI281" s="134" t="str">
        <f>_xlfn.IFNA(MATCH(I281,Achievements[[#All],[Column112]],0)+10,"")</f>
        <v/>
      </c>
      <c r="AJ281" s="134" t="str">
        <f>_xlfn.IFNA(MATCH(J281,Achievements[[#All],[Column113]],0)+10,"")</f>
        <v/>
      </c>
      <c r="AK281" s="134" t="str">
        <f>_xlfn.IFNA(MATCH(K281,Achievements[[#All],[Column113]],0)+10,"")</f>
        <v/>
      </c>
      <c r="AL281" s="134" t="str">
        <f>_xlfn.IFNA(MATCH(L281,Achievements[[#All],[Column114]],0)+10,"")</f>
        <v/>
      </c>
      <c r="AM281" s="134" t="str">
        <f>_xlfn.IFNA(MATCH(M281,Achievements[[#All],[Column114]],0)+10,"")</f>
        <v/>
      </c>
      <c r="AN281" s="134" t="str">
        <f>_xlfn.IFNA(MATCH(N281,Achievements[[#All],[Column115]],0)+10,"")</f>
        <v/>
      </c>
      <c r="AO281" s="134" t="str">
        <f>_xlfn.IFNA(MATCH(O281,Achievements[[#All],[Column115]],0)+10,"")</f>
        <v/>
      </c>
      <c r="AP281" s="134" t="str">
        <f>_xlfn.IFNA(MATCH(P281,Achievements[[#All],[Column116]],0)+10,"")</f>
        <v/>
      </c>
      <c r="AQ281" s="134" t="str">
        <f>_xlfn.IFNA(MATCH(Q281,Achievements[[#All],[Column116]],0)+10,"")</f>
        <v/>
      </c>
      <c r="AR281" s="134" t="str">
        <f>_xlfn.IFNA(MATCH(R281,Achievements[[#All],[Column117]],0)+10,"")</f>
        <v/>
      </c>
      <c r="AS281" s="134" t="str">
        <f>_xlfn.IFNA(MATCH(S281,Achievements[[#All],[Column117]],0)+10,"")</f>
        <v/>
      </c>
      <c r="AT281" s="134" t="str">
        <f>_xlfn.IFNA(MATCH(T281,Achievements[[#All],[Column118]],0)+10,"")</f>
        <v/>
      </c>
      <c r="AU281" s="134" t="str">
        <f>_xlfn.IFNA(MATCH(U281,Achievements[[#All],[Column118]],0)+10,"")</f>
        <v/>
      </c>
      <c r="AV281" s="134" t="str">
        <f>_xlfn.IFNA(MATCH(V281,Achievements[[#All],[Column119]],0)+10,"")</f>
        <v/>
      </c>
      <c r="AW281" s="134" t="str">
        <f>_xlfn.IFNA(MATCH(W281,Achievements[[#All],[Column119]],0)+10,"")</f>
        <v/>
      </c>
      <c r="AX281" s="134" t="str">
        <f>_xlfn.IFNA(MATCH(X281,Achievements[[#All],[Column120]],0)+10,"")</f>
        <v/>
      </c>
      <c r="AY281" s="134" t="str">
        <f>_xlfn.IFNA(MATCH(Y281,Achievements[[#All],[Column120]],0)+10,"")</f>
        <v/>
      </c>
      <c r="AZ281" s="116" t="e">
        <f t="shared" ca="1" si="8"/>
        <v>#NAME?</v>
      </c>
      <c r="BA281" s="134" t="e" cm="1">
        <f t="array" aca="1" ref="BA281" ca="1">SplitValues("; ",Persons[[#This Row],[Column1]])</f>
        <v>#NAME?</v>
      </c>
      <c r="CA281" s="134" t="e">
        <f ca="1">_xlfn.IFNA(MATCH(BA281,Achievements[[#All],[Column1]],0)+10,"")</f>
        <v>#NAME?</v>
      </c>
      <c r="CB281" s="134" t="str">
        <f>_xlfn.IFNA(MATCH(BB281,Achievements[[#All],[Column1]],0)+10,"")</f>
        <v/>
      </c>
      <c r="CC281" s="134" t="str">
        <f>_xlfn.IFNA(MATCH(BC281,Achievements[[#All],[Column110]],0)+10,"")</f>
        <v/>
      </c>
      <c r="CD281" s="134" t="str">
        <f>_xlfn.IFNA(MATCH(BD281,Achievements[[#All],[Column110]],0)+10,"")</f>
        <v/>
      </c>
      <c r="CE281" s="134" t="str">
        <f>_xlfn.IFNA(MATCH(BE281,Achievements[[#All],[Column111]],0)+10,"")</f>
        <v/>
      </c>
      <c r="CF281" s="134" t="str">
        <f>_xlfn.IFNA(MATCH(BF281,Achievements[[#All],[Column111]],0)+10,"")</f>
        <v/>
      </c>
      <c r="CG281" s="134" t="str">
        <f>_xlfn.IFNA(MATCH(BG281,Achievements[[#All],[Column112]],0)+10,"")</f>
        <v/>
      </c>
      <c r="CH281" s="134" t="str">
        <f>_xlfn.IFNA(MATCH(BH281,Achievements[[#All],[Column112]],0)+10,"")</f>
        <v/>
      </c>
      <c r="CI281" s="134" t="str">
        <f>_xlfn.IFNA(MATCH(BI281,Achievements[[#All],[Column113]],0)+10,"")</f>
        <v/>
      </c>
      <c r="CJ281" s="134" t="str">
        <f>_xlfn.IFNA(MATCH(BJ281,Achievements[[#All],[Column113]],0)+10,"")</f>
        <v/>
      </c>
      <c r="CK281" s="134" t="str">
        <f>_xlfn.IFNA(MATCH(BK281,Achievements[[#All],[Column114]],0)+10,"")</f>
        <v/>
      </c>
      <c r="CL281" s="134" t="str">
        <f>_xlfn.IFNA(MATCH(BL281,Achievements[[#All],[Column114]],0)+10,"")</f>
        <v/>
      </c>
      <c r="CM281" s="134" t="str">
        <f>_xlfn.IFNA(MATCH(BM281,Achievements[[#All],[Column115]],0)+10,"")</f>
        <v/>
      </c>
      <c r="CN281" s="134" t="str">
        <f>_xlfn.IFNA(MATCH(BN281,Achievements[[#All],[Column115]],0)+10,"")</f>
        <v/>
      </c>
      <c r="CO281" s="134" t="str">
        <f>_xlfn.IFNA(MATCH(BO281,Achievements[[#All],[Column116]],0)+10,"")</f>
        <v/>
      </c>
      <c r="CP281" s="134" t="str">
        <f>_xlfn.IFNA(MATCH(BP281,Achievements[[#All],[Column116]],0)+10,"")</f>
        <v/>
      </c>
      <c r="CQ281" s="134" t="str">
        <f>_xlfn.IFNA(MATCH(BQ281,Achievements[[#All],[Column117]],0)+10,"")</f>
        <v/>
      </c>
      <c r="CR281" s="134" t="str">
        <f>_xlfn.IFNA(MATCH(BR281,Achievements[[#All],[Column117]],0)+10,"")</f>
        <v/>
      </c>
      <c r="CS281" s="134" t="str">
        <f>_xlfn.IFNA(MATCH(BS281,Achievements[[#All],[Column118]],0)+10,"")</f>
        <v/>
      </c>
      <c r="CT281" s="134" t="str">
        <f>_xlfn.IFNA(MATCH(BT281,Achievements[[#All],[Column118]],0)+10,"")</f>
        <v/>
      </c>
      <c r="CU281" s="134" t="str">
        <f>_xlfn.IFNA(MATCH(BU281,Achievements[[#All],[Column119]],0)+10,"")</f>
        <v/>
      </c>
      <c r="CV281" s="134" t="str">
        <f>_xlfn.IFNA(MATCH(BV281,Achievements[[#All],[Column119]],0)+10,"")</f>
        <v/>
      </c>
      <c r="CW281" s="134" t="str">
        <f>_xlfn.IFNA(MATCH(BW281,Achievements[[#All],[Column120]],0)+10,"")</f>
        <v/>
      </c>
      <c r="CX281" s="134" t="str">
        <f>_xlfn.IFNA(MATCH(BX281,Achievements[[#All],[Column120]],0)+10,"")</f>
        <v/>
      </c>
      <c r="CY281" s="134" t="str">
        <f>_xlfn.IFNA(MATCH(BY281,Achievements[[#All],[Column121]],0)+10,"")</f>
        <v/>
      </c>
      <c r="CZ281" s="118" t="e">
        <f t="shared" ca="1" si="9"/>
        <v>#NAME?</v>
      </c>
    </row>
    <row r="282" spans="1:104" x14ac:dyDescent="0.25">
      <c r="A282" t="e" cm="1">
        <f t="array" aca="1" ref="A282" ca="1">SplitValues("; ",#REF!)</f>
        <v>#NAME?</v>
      </c>
      <c r="AA282" t="e">
        <f ca="1">_xlfn.IFNA(MATCH(A282,Achievements[[#All],[Column1]],0)+11,"")</f>
        <v>#NAME?</v>
      </c>
      <c r="AB282" s="134" t="str">
        <f>_xlfn.IFNA(MATCH(B282,Achievements[[#All],[Column1]],0)+10,"")</f>
        <v/>
      </c>
      <c r="AC282" s="134" t="str">
        <f>_xlfn.IFNA(MATCH(C282,Achievements[[#All],[Column1]],0)+10,"")</f>
        <v/>
      </c>
      <c r="AD282" s="134" t="str">
        <f>_xlfn.IFNA(MATCH(D282,Achievements[[#All],[Column110]],0)+10,"")</f>
        <v/>
      </c>
      <c r="AE282" s="134" t="str">
        <f>_xlfn.IFNA(MATCH(E282,Achievements[[#All],[Column110]],0)+10,"")</f>
        <v/>
      </c>
      <c r="AF282" s="134" t="str">
        <f>_xlfn.IFNA(MATCH(F282,Achievements[[#All],[Column111]],0)+10,"")</f>
        <v/>
      </c>
      <c r="AG282" s="134" t="str">
        <f>_xlfn.IFNA(MATCH(G282,Achievements[[#All],[Column111]],0)+10,"")</f>
        <v/>
      </c>
      <c r="AH282" s="134" t="str">
        <f>_xlfn.IFNA(MATCH(H282,Achievements[[#All],[Column112]],0)+10,"")</f>
        <v/>
      </c>
      <c r="AI282" s="134" t="str">
        <f>_xlfn.IFNA(MATCH(I282,Achievements[[#All],[Column112]],0)+10,"")</f>
        <v/>
      </c>
      <c r="AJ282" s="134" t="str">
        <f>_xlfn.IFNA(MATCH(J282,Achievements[[#All],[Column113]],0)+10,"")</f>
        <v/>
      </c>
      <c r="AK282" s="134" t="str">
        <f>_xlfn.IFNA(MATCH(K282,Achievements[[#All],[Column113]],0)+10,"")</f>
        <v/>
      </c>
      <c r="AL282" s="134" t="str">
        <f>_xlfn.IFNA(MATCH(L282,Achievements[[#All],[Column114]],0)+10,"")</f>
        <v/>
      </c>
      <c r="AM282" s="134" t="str">
        <f>_xlfn.IFNA(MATCH(M282,Achievements[[#All],[Column114]],0)+10,"")</f>
        <v/>
      </c>
      <c r="AN282" s="134" t="str">
        <f>_xlfn.IFNA(MATCH(N282,Achievements[[#All],[Column115]],0)+10,"")</f>
        <v/>
      </c>
      <c r="AO282" s="134" t="str">
        <f>_xlfn.IFNA(MATCH(O282,Achievements[[#All],[Column115]],0)+10,"")</f>
        <v/>
      </c>
      <c r="AP282" s="134" t="str">
        <f>_xlfn.IFNA(MATCH(P282,Achievements[[#All],[Column116]],0)+10,"")</f>
        <v/>
      </c>
      <c r="AQ282" s="134" t="str">
        <f>_xlfn.IFNA(MATCH(Q282,Achievements[[#All],[Column116]],0)+10,"")</f>
        <v/>
      </c>
      <c r="AR282" s="134" t="str">
        <f>_xlfn.IFNA(MATCH(R282,Achievements[[#All],[Column117]],0)+10,"")</f>
        <v/>
      </c>
      <c r="AS282" s="134" t="str">
        <f>_xlfn.IFNA(MATCH(S282,Achievements[[#All],[Column117]],0)+10,"")</f>
        <v/>
      </c>
      <c r="AT282" s="134" t="str">
        <f>_xlfn.IFNA(MATCH(T282,Achievements[[#All],[Column118]],0)+10,"")</f>
        <v/>
      </c>
      <c r="AU282" s="134" t="str">
        <f>_xlfn.IFNA(MATCH(U282,Achievements[[#All],[Column118]],0)+10,"")</f>
        <v/>
      </c>
      <c r="AV282" s="134" t="str">
        <f>_xlfn.IFNA(MATCH(V282,Achievements[[#All],[Column119]],0)+10,"")</f>
        <v/>
      </c>
      <c r="AW282" s="134" t="str">
        <f>_xlfn.IFNA(MATCH(W282,Achievements[[#All],[Column119]],0)+10,"")</f>
        <v/>
      </c>
      <c r="AX282" s="134" t="str">
        <f>_xlfn.IFNA(MATCH(X282,Achievements[[#All],[Column120]],0)+10,"")</f>
        <v/>
      </c>
      <c r="AY282" s="134" t="str">
        <f>_xlfn.IFNA(MATCH(Y282,Achievements[[#All],[Column120]],0)+10,"")</f>
        <v/>
      </c>
      <c r="AZ282" s="116" t="e">
        <f t="shared" ca="1" si="8"/>
        <v>#NAME?</v>
      </c>
      <c r="BA282" s="134" t="e" cm="1">
        <f t="array" aca="1" ref="BA282" ca="1">SplitValues("; ",Persons[[#This Row],[Column1]])</f>
        <v>#NAME?</v>
      </c>
      <c r="CA282" s="134" t="e">
        <f ca="1">_xlfn.IFNA(MATCH(BA282,Achievements[[#All],[Column1]],0)+10,"")</f>
        <v>#NAME?</v>
      </c>
      <c r="CB282" s="134" t="str">
        <f>_xlfn.IFNA(MATCH(BB282,Achievements[[#All],[Column1]],0)+10,"")</f>
        <v/>
      </c>
      <c r="CC282" s="134" t="str">
        <f>_xlfn.IFNA(MATCH(BC282,Achievements[[#All],[Column110]],0)+10,"")</f>
        <v/>
      </c>
      <c r="CD282" s="134" t="str">
        <f>_xlfn.IFNA(MATCH(BD282,Achievements[[#All],[Column110]],0)+10,"")</f>
        <v/>
      </c>
      <c r="CE282" s="134" t="str">
        <f>_xlfn.IFNA(MATCH(BE282,Achievements[[#All],[Column111]],0)+10,"")</f>
        <v/>
      </c>
      <c r="CF282" s="134" t="str">
        <f>_xlfn.IFNA(MATCH(BF282,Achievements[[#All],[Column111]],0)+10,"")</f>
        <v/>
      </c>
      <c r="CG282" s="134" t="str">
        <f>_xlfn.IFNA(MATCH(BG282,Achievements[[#All],[Column112]],0)+10,"")</f>
        <v/>
      </c>
      <c r="CH282" s="134" t="str">
        <f>_xlfn.IFNA(MATCH(BH282,Achievements[[#All],[Column112]],0)+10,"")</f>
        <v/>
      </c>
      <c r="CI282" s="134" t="str">
        <f>_xlfn.IFNA(MATCH(BI282,Achievements[[#All],[Column113]],0)+10,"")</f>
        <v/>
      </c>
      <c r="CJ282" s="134" t="str">
        <f>_xlfn.IFNA(MATCH(BJ282,Achievements[[#All],[Column113]],0)+10,"")</f>
        <v/>
      </c>
      <c r="CK282" s="134" t="str">
        <f>_xlfn.IFNA(MATCH(BK282,Achievements[[#All],[Column114]],0)+10,"")</f>
        <v/>
      </c>
      <c r="CL282" s="134" t="str">
        <f>_xlfn.IFNA(MATCH(BL282,Achievements[[#All],[Column114]],0)+10,"")</f>
        <v/>
      </c>
      <c r="CM282" s="134" t="str">
        <f>_xlfn.IFNA(MATCH(BM282,Achievements[[#All],[Column115]],0)+10,"")</f>
        <v/>
      </c>
      <c r="CN282" s="134" t="str">
        <f>_xlfn.IFNA(MATCH(BN282,Achievements[[#All],[Column115]],0)+10,"")</f>
        <v/>
      </c>
      <c r="CO282" s="134" t="str">
        <f>_xlfn.IFNA(MATCH(BO282,Achievements[[#All],[Column116]],0)+10,"")</f>
        <v/>
      </c>
      <c r="CP282" s="134" t="str">
        <f>_xlfn.IFNA(MATCH(BP282,Achievements[[#All],[Column116]],0)+10,"")</f>
        <v/>
      </c>
      <c r="CQ282" s="134" t="str">
        <f>_xlfn.IFNA(MATCH(BQ282,Achievements[[#All],[Column117]],0)+10,"")</f>
        <v/>
      </c>
      <c r="CR282" s="134" t="str">
        <f>_xlfn.IFNA(MATCH(BR282,Achievements[[#All],[Column117]],0)+10,"")</f>
        <v/>
      </c>
      <c r="CS282" s="134" t="str">
        <f>_xlfn.IFNA(MATCH(BS282,Achievements[[#All],[Column118]],0)+10,"")</f>
        <v/>
      </c>
      <c r="CT282" s="134" t="str">
        <f>_xlfn.IFNA(MATCH(BT282,Achievements[[#All],[Column118]],0)+10,"")</f>
        <v/>
      </c>
      <c r="CU282" s="134" t="str">
        <f>_xlfn.IFNA(MATCH(BU282,Achievements[[#All],[Column119]],0)+10,"")</f>
        <v/>
      </c>
      <c r="CV282" s="134" t="str">
        <f>_xlfn.IFNA(MATCH(BV282,Achievements[[#All],[Column119]],0)+10,"")</f>
        <v/>
      </c>
      <c r="CW282" s="134" t="str">
        <f>_xlfn.IFNA(MATCH(BW282,Achievements[[#All],[Column120]],0)+10,"")</f>
        <v/>
      </c>
      <c r="CX282" s="134" t="str">
        <f>_xlfn.IFNA(MATCH(BX282,Achievements[[#All],[Column120]],0)+10,"")</f>
        <v/>
      </c>
      <c r="CY282" s="134" t="str">
        <f>_xlfn.IFNA(MATCH(BY282,Achievements[[#All],[Column121]],0)+10,"")</f>
        <v/>
      </c>
      <c r="CZ282" s="118" t="e">
        <f t="shared" ca="1" si="9"/>
        <v>#NAME?</v>
      </c>
    </row>
    <row r="283" spans="1:104" x14ac:dyDescent="0.25">
      <c r="A283" t="e" cm="1">
        <f t="array" aca="1" ref="A283" ca="1">SplitValues("; ",#REF!)</f>
        <v>#NAME?</v>
      </c>
      <c r="AA283" t="e">
        <f ca="1">_xlfn.IFNA(MATCH(A283,Achievements[[#All],[Column1]],0)+11,"")</f>
        <v>#NAME?</v>
      </c>
      <c r="AB283" s="134" t="str">
        <f>_xlfn.IFNA(MATCH(B283,Achievements[[#All],[Column1]],0)+10,"")</f>
        <v/>
      </c>
      <c r="AC283" s="134" t="str">
        <f>_xlfn.IFNA(MATCH(C283,Achievements[[#All],[Column1]],0)+10,"")</f>
        <v/>
      </c>
      <c r="AD283" s="134" t="str">
        <f>_xlfn.IFNA(MATCH(D283,Achievements[[#All],[Column110]],0)+10,"")</f>
        <v/>
      </c>
      <c r="AE283" s="134" t="str">
        <f>_xlfn.IFNA(MATCH(E283,Achievements[[#All],[Column110]],0)+10,"")</f>
        <v/>
      </c>
      <c r="AF283" s="134" t="str">
        <f>_xlfn.IFNA(MATCH(F283,Achievements[[#All],[Column111]],0)+10,"")</f>
        <v/>
      </c>
      <c r="AG283" s="134" t="str">
        <f>_xlfn.IFNA(MATCH(G283,Achievements[[#All],[Column111]],0)+10,"")</f>
        <v/>
      </c>
      <c r="AH283" s="134" t="str">
        <f>_xlfn.IFNA(MATCH(H283,Achievements[[#All],[Column112]],0)+10,"")</f>
        <v/>
      </c>
      <c r="AI283" s="134" t="str">
        <f>_xlfn.IFNA(MATCH(I283,Achievements[[#All],[Column112]],0)+10,"")</f>
        <v/>
      </c>
      <c r="AJ283" s="134" t="str">
        <f>_xlfn.IFNA(MATCH(J283,Achievements[[#All],[Column113]],0)+10,"")</f>
        <v/>
      </c>
      <c r="AK283" s="134" t="str">
        <f>_xlfn.IFNA(MATCH(K283,Achievements[[#All],[Column113]],0)+10,"")</f>
        <v/>
      </c>
      <c r="AL283" s="134" t="str">
        <f>_xlfn.IFNA(MATCH(L283,Achievements[[#All],[Column114]],0)+10,"")</f>
        <v/>
      </c>
      <c r="AM283" s="134" t="str">
        <f>_xlfn.IFNA(MATCH(M283,Achievements[[#All],[Column114]],0)+10,"")</f>
        <v/>
      </c>
      <c r="AN283" s="134" t="str">
        <f>_xlfn.IFNA(MATCH(N283,Achievements[[#All],[Column115]],0)+10,"")</f>
        <v/>
      </c>
      <c r="AO283" s="134" t="str">
        <f>_xlfn.IFNA(MATCH(O283,Achievements[[#All],[Column115]],0)+10,"")</f>
        <v/>
      </c>
      <c r="AP283" s="134" t="str">
        <f>_xlfn.IFNA(MATCH(P283,Achievements[[#All],[Column116]],0)+10,"")</f>
        <v/>
      </c>
      <c r="AQ283" s="134" t="str">
        <f>_xlfn.IFNA(MATCH(Q283,Achievements[[#All],[Column116]],0)+10,"")</f>
        <v/>
      </c>
      <c r="AR283" s="134" t="str">
        <f>_xlfn.IFNA(MATCH(R283,Achievements[[#All],[Column117]],0)+10,"")</f>
        <v/>
      </c>
      <c r="AS283" s="134" t="str">
        <f>_xlfn.IFNA(MATCH(S283,Achievements[[#All],[Column117]],0)+10,"")</f>
        <v/>
      </c>
      <c r="AT283" s="134" t="str">
        <f>_xlfn.IFNA(MATCH(T283,Achievements[[#All],[Column118]],0)+10,"")</f>
        <v/>
      </c>
      <c r="AU283" s="134" t="str">
        <f>_xlfn.IFNA(MATCH(U283,Achievements[[#All],[Column118]],0)+10,"")</f>
        <v/>
      </c>
      <c r="AV283" s="134" t="str">
        <f>_xlfn.IFNA(MATCH(V283,Achievements[[#All],[Column119]],0)+10,"")</f>
        <v/>
      </c>
      <c r="AW283" s="134" t="str">
        <f>_xlfn.IFNA(MATCH(W283,Achievements[[#All],[Column119]],0)+10,"")</f>
        <v/>
      </c>
      <c r="AX283" s="134" t="str">
        <f>_xlfn.IFNA(MATCH(X283,Achievements[[#All],[Column120]],0)+10,"")</f>
        <v/>
      </c>
      <c r="AY283" s="134" t="str">
        <f>_xlfn.IFNA(MATCH(Y283,Achievements[[#All],[Column120]],0)+10,"")</f>
        <v/>
      </c>
      <c r="AZ283" s="116" t="e">
        <f t="shared" ca="1" si="8"/>
        <v>#NAME?</v>
      </c>
      <c r="BA283" s="134" t="e" cm="1">
        <f t="array" aca="1" ref="BA283" ca="1">SplitValues("; ",Persons[[#This Row],[Column1]])</f>
        <v>#NAME?</v>
      </c>
      <c r="CA283" s="134" t="e">
        <f ca="1">_xlfn.IFNA(MATCH(BA283,Achievements[[#All],[Column1]],0)+10,"")</f>
        <v>#NAME?</v>
      </c>
      <c r="CB283" s="134" t="str">
        <f>_xlfn.IFNA(MATCH(BB283,Achievements[[#All],[Column1]],0)+10,"")</f>
        <v/>
      </c>
      <c r="CC283" s="134" t="str">
        <f>_xlfn.IFNA(MATCH(BC283,Achievements[[#All],[Column110]],0)+10,"")</f>
        <v/>
      </c>
      <c r="CD283" s="134" t="str">
        <f>_xlfn.IFNA(MATCH(BD283,Achievements[[#All],[Column110]],0)+10,"")</f>
        <v/>
      </c>
      <c r="CE283" s="134" t="str">
        <f>_xlfn.IFNA(MATCH(BE283,Achievements[[#All],[Column111]],0)+10,"")</f>
        <v/>
      </c>
      <c r="CF283" s="134" t="str">
        <f>_xlfn.IFNA(MATCH(BF283,Achievements[[#All],[Column111]],0)+10,"")</f>
        <v/>
      </c>
      <c r="CG283" s="134" t="str">
        <f>_xlfn.IFNA(MATCH(BG283,Achievements[[#All],[Column112]],0)+10,"")</f>
        <v/>
      </c>
      <c r="CH283" s="134" t="str">
        <f>_xlfn.IFNA(MATCH(BH283,Achievements[[#All],[Column112]],0)+10,"")</f>
        <v/>
      </c>
      <c r="CI283" s="134" t="str">
        <f>_xlfn.IFNA(MATCH(BI283,Achievements[[#All],[Column113]],0)+10,"")</f>
        <v/>
      </c>
      <c r="CJ283" s="134" t="str">
        <f>_xlfn.IFNA(MATCH(BJ283,Achievements[[#All],[Column113]],0)+10,"")</f>
        <v/>
      </c>
      <c r="CK283" s="134" t="str">
        <f>_xlfn.IFNA(MATCH(BK283,Achievements[[#All],[Column114]],0)+10,"")</f>
        <v/>
      </c>
      <c r="CL283" s="134" t="str">
        <f>_xlfn.IFNA(MATCH(BL283,Achievements[[#All],[Column114]],0)+10,"")</f>
        <v/>
      </c>
      <c r="CM283" s="134" t="str">
        <f>_xlfn.IFNA(MATCH(BM283,Achievements[[#All],[Column115]],0)+10,"")</f>
        <v/>
      </c>
      <c r="CN283" s="134" t="str">
        <f>_xlfn.IFNA(MATCH(BN283,Achievements[[#All],[Column115]],0)+10,"")</f>
        <v/>
      </c>
      <c r="CO283" s="134" t="str">
        <f>_xlfn.IFNA(MATCH(BO283,Achievements[[#All],[Column116]],0)+10,"")</f>
        <v/>
      </c>
      <c r="CP283" s="134" t="str">
        <f>_xlfn.IFNA(MATCH(BP283,Achievements[[#All],[Column116]],0)+10,"")</f>
        <v/>
      </c>
      <c r="CQ283" s="134" t="str">
        <f>_xlfn.IFNA(MATCH(BQ283,Achievements[[#All],[Column117]],0)+10,"")</f>
        <v/>
      </c>
      <c r="CR283" s="134" t="str">
        <f>_xlfn.IFNA(MATCH(BR283,Achievements[[#All],[Column117]],0)+10,"")</f>
        <v/>
      </c>
      <c r="CS283" s="134" t="str">
        <f>_xlfn.IFNA(MATCH(BS283,Achievements[[#All],[Column118]],0)+10,"")</f>
        <v/>
      </c>
      <c r="CT283" s="134" t="str">
        <f>_xlfn.IFNA(MATCH(BT283,Achievements[[#All],[Column118]],0)+10,"")</f>
        <v/>
      </c>
      <c r="CU283" s="134" t="str">
        <f>_xlfn.IFNA(MATCH(BU283,Achievements[[#All],[Column119]],0)+10,"")</f>
        <v/>
      </c>
      <c r="CV283" s="134" t="str">
        <f>_xlfn.IFNA(MATCH(BV283,Achievements[[#All],[Column119]],0)+10,"")</f>
        <v/>
      </c>
      <c r="CW283" s="134" t="str">
        <f>_xlfn.IFNA(MATCH(BW283,Achievements[[#All],[Column120]],0)+10,"")</f>
        <v/>
      </c>
      <c r="CX283" s="134" t="str">
        <f>_xlfn.IFNA(MATCH(BX283,Achievements[[#All],[Column120]],0)+10,"")</f>
        <v/>
      </c>
      <c r="CY283" s="134" t="str">
        <f>_xlfn.IFNA(MATCH(BY283,Achievements[[#All],[Column121]],0)+10,"")</f>
        <v/>
      </c>
      <c r="CZ283" s="118" t="e">
        <f t="shared" ca="1" si="9"/>
        <v>#NAME?</v>
      </c>
    </row>
    <row r="284" spans="1:104" x14ac:dyDescent="0.25">
      <c r="A284" t="e" cm="1">
        <f t="array" aca="1" ref="A284" ca="1">SplitValues("; ",#REF!)</f>
        <v>#NAME?</v>
      </c>
      <c r="AA284" t="e">
        <f ca="1">_xlfn.IFNA(MATCH(A284,Achievements[[#All],[Column1]],0)+11,"")</f>
        <v>#NAME?</v>
      </c>
      <c r="AB284" s="134" t="str">
        <f>_xlfn.IFNA(MATCH(B284,Achievements[[#All],[Column1]],0)+10,"")</f>
        <v/>
      </c>
      <c r="AC284" s="134" t="str">
        <f>_xlfn.IFNA(MATCH(C284,Achievements[[#All],[Column1]],0)+10,"")</f>
        <v/>
      </c>
      <c r="AD284" s="134" t="str">
        <f>_xlfn.IFNA(MATCH(D284,Achievements[[#All],[Column110]],0)+10,"")</f>
        <v/>
      </c>
      <c r="AE284" s="134" t="str">
        <f>_xlfn.IFNA(MATCH(E284,Achievements[[#All],[Column110]],0)+10,"")</f>
        <v/>
      </c>
      <c r="AF284" s="134" t="str">
        <f>_xlfn.IFNA(MATCH(F284,Achievements[[#All],[Column111]],0)+10,"")</f>
        <v/>
      </c>
      <c r="AG284" s="134" t="str">
        <f>_xlfn.IFNA(MATCH(G284,Achievements[[#All],[Column111]],0)+10,"")</f>
        <v/>
      </c>
      <c r="AH284" s="134" t="str">
        <f>_xlfn.IFNA(MATCH(H284,Achievements[[#All],[Column112]],0)+10,"")</f>
        <v/>
      </c>
      <c r="AI284" s="134" t="str">
        <f>_xlfn.IFNA(MATCH(I284,Achievements[[#All],[Column112]],0)+10,"")</f>
        <v/>
      </c>
      <c r="AJ284" s="134" t="str">
        <f>_xlfn.IFNA(MATCH(J284,Achievements[[#All],[Column113]],0)+10,"")</f>
        <v/>
      </c>
      <c r="AK284" s="134" t="str">
        <f>_xlfn.IFNA(MATCH(K284,Achievements[[#All],[Column113]],0)+10,"")</f>
        <v/>
      </c>
      <c r="AL284" s="134" t="str">
        <f>_xlfn.IFNA(MATCH(L284,Achievements[[#All],[Column114]],0)+10,"")</f>
        <v/>
      </c>
      <c r="AM284" s="134" t="str">
        <f>_xlfn.IFNA(MATCH(M284,Achievements[[#All],[Column114]],0)+10,"")</f>
        <v/>
      </c>
      <c r="AN284" s="134" t="str">
        <f>_xlfn.IFNA(MATCH(N284,Achievements[[#All],[Column115]],0)+10,"")</f>
        <v/>
      </c>
      <c r="AO284" s="134" t="str">
        <f>_xlfn.IFNA(MATCH(O284,Achievements[[#All],[Column115]],0)+10,"")</f>
        <v/>
      </c>
      <c r="AP284" s="134" t="str">
        <f>_xlfn.IFNA(MATCH(P284,Achievements[[#All],[Column116]],0)+10,"")</f>
        <v/>
      </c>
      <c r="AQ284" s="134" t="str">
        <f>_xlfn.IFNA(MATCH(Q284,Achievements[[#All],[Column116]],0)+10,"")</f>
        <v/>
      </c>
      <c r="AR284" s="134" t="str">
        <f>_xlfn.IFNA(MATCH(R284,Achievements[[#All],[Column117]],0)+10,"")</f>
        <v/>
      </c>
      <c r="AS284" s="134" t="str">
        <f>_xlfn.IFNA(MATCH(S284,Achievements[[#All],[Column117]],0)+10,"")</f>
        <v/>
      </c>
      <c r="AT284" s="134" t="str">
        <f>_xlfn.IFNA(MATCH(T284,Achievements[[#All],[Column118]],0)+10,"")</f>
        <v/>
      </c>
      <c r="AU284" s="134" t="str">
        <f>_xlfn.IFNA(MATCH(U284,Achievements[[#All],[Column118]],0)+10,"")</f>
        <v/>
      </c>
      <c r="AV284" s="134" t="str">
        <f>_xlfn.IFNA(MATCH(V284,Achievements[[#All],[Column119]],0)+10,"")</f>
        <v/>
      </c>
      <c r="AW284" s="134" t="str">
        <f>_xlfn.IFNA(MATCH(W284,Achievements[[#All],[Column119]],0)+10,"")</f>
        <v/>
      </c>
      <c r="AX284" s="134" t="str">
        <f>_xlfn.IFNA(MATCH(X284,Achievements[[#All],[Column120]],0)+10,"")</f>
        <v/>
      </c>
      <c r="AY284" s="134" t="str">
        <f>_xlfn.IFNA(MATCH(Y284,Achievements[[#All],[Column120]],0)+10,"")</f>
        <v/>
      </c>
      <c r="AZ284" s="116" t="e">
        <f t="shared" ca="1" si="8"/>
        <v>#NAME?</v>
      </c>
      <c r="BA284" s="134" t="e" cm="1">
        <f t="array" aca="1" ref="BA284" ca="1">SplitValues("; ",Persons[[#This Row],[Column1]])</f>
        <v>#NAME?</v>
      </c>
      <c r="CA284" s="134" t="e">
        <f ca="1">_xlfn.IFNA(MATCH(BA284,Achievements[[#All],[Column1]],0)+10,"")</f>
        <v>#NAME?</v>
      </c>
      <c r="CB284" s="134" t="str">
        <f>_xlfn.IFNA(MATCH(BB284,Achievements[[#All],[Column1]],0)+10,"")</f>
        <v/>
      </c>
      <c r="CC284" s="134" t="str">
        <f>_xlfn.IFNA(MATCH(BC284,Achievements[[#All],[Column110]],0)+10,"")</f>
        <v/>
      </c>
      <c r="CD284" s="134" t="str">
        <f>_xlfn.IFNA(MATCH(BD284,Achievements[[#All],[Column110]],0)+10,"")</f>
        <v/>
      </c>
      <c r="CE284" s="134" t="str">
        <f>_xlfn.IFNA(MATCH(BE284,Achievements[[#All],[Column111]],0)+10,"")</f>
        <v/>
      </c>
      <c r="CF284" s="134" t="str">
        <f>_xlfn.IFNA(MATCH(BF284,Achievements[[#All],[Column111]],0)+10,"")</f>
        <v/>
      </c>
      <c r="CG284" s="134" t="str">
        <f>_xlfn.IFNA(MATCH(BG284,Achievements[[#All],[Column112]],0)+10,"")</f>
        <v/>
      </c>
      <c r="CH284" s="134" t="str">
        <f>_xlfn.IFNA(MATCH(BH284,Achievements[[#All],[Column112]],0)+10,"")</f>
        <v/>
      </c>
      <c r="CI284" s="134" t="str">
        <f>_xlfn.IFNA(MATCH(BI284,Achievements[[#All],[Column113]],0)+10,"")</f>
        <v/>
      </c>
      <c r="CJ284" s="134" t="str">
        <f>_xlfn.IFNA(MATCH(BJ284,Achievements[[#All],[Column113]],0)+10,"")</f>
        <v/>
      </c>
      <c r="CK284" s="134" t="str">
        <f>_xlfn.IFNA(MATCH(BK284,Achievements[[#All],[Column114]],0)+10,"")</f>
        <v/>
      </c>
      <c r="CL284" s="134" t="str">
        <f>_xlfn.IFNA(MATCH(BL284,Achievements[[#All],[Column114]],0)+10,"")</f>
        <v/>
      </c>
      <c r="CM284" s="134" t="str">
        <f>_xlfn.IFNA(MATCH(BM284,Achievements[[#All],[Column115]],0)+10,"")</f>
        <v/>
      </c>
      <c r="CN284" s="134" t="str">
        <f>_xlfn.IFNA(MATCH(BN284,Achievements[[#All],[Column115]],0)+10,"")</f>
        <v/>
      </c>
      <c r="CO284" s="134" t="str">
        <f>_xlfn.IFNA(MATCH(BO284,Achievements[[#All],[Column116]],0)+10,"")</f>
        <v/>
      </c>
      <c r="CP284" s="134" t="str">
        <f>_xlfn.IFNA(MATCH(BP284,Achievements[[#All],[Column116]],0)+10,"")</f>
        <v/>
      </c>
      <c r="CQ284" s="134" t="str">
        <f>_xlfn.IFNA(MATCH(BQ284,Achievements[[#All],[Column117]],0)+10,"")</f>
        <v/>
      </c>
      <c r="CR284" s="134" t="str">
        <f>_xlfn.IFNA(MATCH(BR284,Achievements[[#All],[Column117]],0)+10,"")</f>
        <v/>
      </c>
      <c r="CS284" s="134" t="str">
        <f>_xlfn.IFNA(MATCH(BS284,Achievements[[#All],[Column118]],0)+10,"")</f>
        <v/>
      </c>
      <c r="CT284" s="134" t="str">
        <f>_xlfn.IFNA(MATCH(BT284,Achievements[[#All],[Column118]],0)+10,"")</f>
        <v/>
      </c>
      <c r="CU284" s="134" t="str">
        <f>_xlfn.IFNA(MATCH(BU284,Achievements[[#All],[Column119]],0)+10,"")</f>
        <v/>
      </c>
      <c r="CV284" s="134" t="str">
        <f>_xlfn.IFNA(MATCH(BV284,Achievements[[#All],[Column119]],0)+10,"")</f>
        <v/>
      </c>
      <c r="CW284" s="134" t="str">
        <f>_xlfn.IFNA(MATCH(BW284,Achievements[[#All],[Column120]],0)+10,"")</f>
        <v/>
      </c>
      <c r="CX284" s="134" t="str">
        <f>_xlfn.IFNA(MATCH(BX284,Achievements[[#All],[Column120]],0)+10,"")</f>
        <v/>
      </c>
      <c r="CY284" s="134" t="str">
        <f>_xlfn.IFNA(MATCH(BY284,Achievements[[#All],[Column121]],0)+10,"")</f>
        <v/>
      </c>
      <c r="CZ284" s="118" t="e">
        <f t="shared" ca="1" si="9"/>
        <v>#NAME?</v>
      </c>
    </row>
    <row r="285" spans="1:104" x14ac:dyDescent="0.25">
      <c r="A285" t="e" cm="1">
        <f t="array" aca="1" ref="A285" ca="1">SplitValues("; ",#REF!)</f>
        <v>#NAME?</v>
      </c>
      <c r="AA285" t="e">
        <f ca="1">_xlfn.IFNA(MATCH(A285,Achievements[[#All],[Column1]],0)+11,"")</f>
        <v>#NAME?</v>
      </c>
      <c r="AB285" s="134" t="str">
        <f>_xlfn.IFNA(MATCH(B285,Achievements[[#All],[Column1]],0)+10,"")</f>
        <v/>
      </c>
      <c r="AC285" s="134" t="str">
        <f>_xlfn.IFNA(MATCH(C285,Achievements[[#All],[Column1]],0)+10,"")</f>
        <v/>
      </c>
      <c r="AD285" s="134" t="str">
        <f>_xlfn.IFNA(MATCH(D285,Achievements[[#All],[Column110]],0)+10,"")</f>
        <v/>
      </c>
      <c r="AE285" s="134" t="str">
        <f>_xlfn.IFNA(MATCH(E285,Achievements[[#All],[Column110]],0)+10,"")</f>
        <v/>
      </c>
      <c r="AF285" s="134" t="str">
        <f>_xlfn.IFNA(MATCH(F285,Achievements[[#All],[Column111]],0)+10,"")</f>
        <v/>
      </c>
      <c r="AG285" s="134" t="str">
        <f>_xlfn.IFNA(MATCH(G285,Achievements[[#All],[Column111]],0)+10,"")</f>
        <v/>
      </c>
      <c r="AH285" s="134" t="str">
        <f>_xlfn.IFNA(MATCH(H285,Achievements[[#All],[Column112]],0)+10,"")</f>
        <v/>
      </c>
      <c r="AI285" s="134" t="str">
        <f>_xlfn.IFNA(MATCH(I285,Achievements[[#All],[Column112]],0)+10,"")</f>
        <v/>
      </c>
      <c r="AJ285" s="134" t="str">
        <f>_xlfn.IFNA(MATCH(J285,Achievements[[#All],[Column113]],0)+10,"")</f>
        <v/>
      </c>
      <c r="AK285" s="134" t="str">
        <f>_xlfn.IFNA(MATCH(K285,Achievements[[#All],[Column113]],0)+10,"")</f>
        <v/>
      </c>
      <c r="AL285" s="134" t="str">
        <f>_xlfn.IFNA(MATCH(L285,Achievements[[#All],[Column114]],0)+10,"")</f>
        <v/>
      </c>
      <c r="AM285" s="134" t="str">
        <f>_xlfn.IFNA(MATCH(M285,Achievements[[#All],[Column114]],0)+10,"")</f>
        <v/>
      </c>
      <c r="AN285" s="134" t="str">
        <f>_xlfn.IFNA(MATCH(N285,Achievements[[#All],[Column115]],0)+10,"")</f>
        <v/>
      </c>
      <c r="AO285" s="134" t="str">
        <f>_xlfn.IFNA(MATCH(O285,Achievements[[#All],[Column115]],0)+10,"")</f>
        <v/>
      </c>
      <c r="AP285" s="134" t="str">
        <f>_xlfn.IFNA(MATCH(P285,Achievements[[#All],[Column116]],0)+10,"")</f>
        <v/>
      </c>
      <c r="AQ285" s="134" t="str">
        <f>_xlfn.IFNA(MATCH(Q285,Achievements[[#All],[Column116]],0)+10,"")</f>
        <v/>
      </c>
      <c r="AR285" s="134" t="str">
        <f>_xlfn.IFNA(MATCH(R285,Achievements[[#All],[Column117]],0)+10,"")</f>
        <v/>
      </c>
      <c r="AS285" s="134" t="str">
        <f>_xlfn.IFNA(MATCH(S285,Achievements[[#All],[Column117]],0)+10,"")</f>
        <v/>
      </c>
      <c r="AT285" s="134" t="str">
        <f>_xlfn.IFNA(MATCH(T285,Achievements[[#All],[Column118]],0)+10,"")</f>
        <v/>
      </c>
      <c r="AU285" s="134" t="str">
        <f>_xlfn.IFNA(MATCH(U285,Achievements[[#All],[Column118]],0)+10,"")</f>
        <v/>
      </c>
      <c r="AV285" s="134" t="str">
        <f>_xlfn.IFNA(MATCH(V285,Achievements[[#All],[Column119]],0)+10,"")</f>
        <v/>
      </c>
      <c r="AW285" s="134" t="str">
        <f>_xlfn.IFNA(MATCH(W285,Achievements[[#All],[Column119]],0)+10,"")</f>
        <v/>
      </c>
      <c r="AX285" s="134" t="str">
        <f>_xlfn.IFNA(MATCH(X285,Achievements[[#All],[Column120]],0)+10,"")</f>
        <v/>
      </c>
      <c r="AY285" s="134" t="str">
        <f>_xlfn.IFNA(MATCH(Y285,Achievements[[#All],[Column120]],0)+10,"")</f>
        <v/>
      </c>
      <c r="AZ285" s="116" t="e">
        <f t="shared" ca="1" si="8"/>
        <v>#NAME?</v>
      </c>
      <c r="BA285" s="134" t="e" cm="1">
        <f t="array" aca="1" ref="BA285" ca="1">SplitValues("; ",Persons[[#This Row],[Column1]])</f>
        <v>#NAME?</v>
      </c>
      <c r="CA285" s="134" t="e">
        <f ca="1">_xlfn.IFNA(MATCH(BA285,Achievements[[#All],[Column1]],0)+10,"")</f>
        <v>#NAME?</v>
      </c>
      <c r="CB285" s="134" t="str">
        <f>_xlfn.IFNA(MATCH(BB285,Achievements[[#All],[Column1]],0)+10,"")</f>
        <v/>
      </c>
      <c r="CC285" s="134" t="str">
        <f>_xlfn.IFNA(MATCH(BC285,Achievements[[#All],[Column110]],0)+10,"")</f>
        <v/>
      </c>
      <c r="CD285" s="134" t="str">
        <f>_xlfn.IFNA(MATCH(BD285,Achievements[[#All],[Column110]],0)+10,"")</f>
        <v/>
      </c>
      <c r="CE285" s="134" t="str">
        <f>_xlfn.IFNA(MATCH(BE285,Achievements[[#All],[Column111]],0)+10,"")</f>
        <v/>
      </c>
      <c r="CF285" s="134" t="str">
        <f>_xlfn.IFNA(MATCH(BF285,Achievements[[#All],[Column111]],0)+10,"")</f>
        <v/>
      </c>
      <c r="CG285" s="134" t="str">
        <f>_xlfn.IFNA(MATCH(BG285,Achievements[[#All],[Column112]],0)+10,"")</f>
        <v/>
      </c>
      <c r="CH285" s="134" t="str">
        <f>_xlfn.IFNA(MATCH(BH285,Achievements[[#All],[Column112]],0)+10,"")</f>
        <v/>
      </c>
      <c r="CI285" s="134" t="str">
        <f>_xlfn.IFNA(MATCH(BI285,Achievements[[#All],[Column113]],0)+10,"")</f>
        <v/>
      </c>
      <c r="CJ285" s="134" t="str">
        <f>_xlfn.IFNA(MATCH(BJ285,Achievements[[#All],[Column113]],0)+10,"")</f>
        <v/>
      </c>
      <c r="CK285" s="134" t="str">
        <f>_xlfn.IFNA(MATCH(BK285,Achievements[[#All],[Column114]],0)+10,"")</f>
        <v/>
      </c>
      <c r="CL285" s="134" t="str">
        <f>_xlfn.IFNA(MATCH(BL285,Achievements[[#All],[Column114]],0)+10,"")</f>
        <v/>
      </c>
      <c r="CM285" s="134" t="str">
        <f>_xlfn.IFNA(MATCH(BM285,Achievements[[#All],[Column115]],0)+10,"")</f>
        <v/>
      </c>
      <c r="CN285" s="134" t="str">
        <f>_xlfn.IFNA(MATCH(BN285,Achievements[[#All],[Column115]],0)+10,"")</f>
        <v/>
      </c>
      <c r="CO285" s="134" t="str">
        <f>_xlfn.IFNA(MATCH(BO285,Achievements[[#All],[Column116]],0)+10,"")</f>
        <v/>
      </c>
      <c r="CP285" s="134" t="str">
        <f>_xlfn.IFNA(MATCH(BP285,Achievements[[#All],[Column116]],0)+10,"")</f>
        <v/>
      </c>
      <c r="CQ285" s="134" t="str">
        <f>_xlfn.IFNA(MATCH(BQ285,Achievements[[#All],[Column117]],0)+10,"")</f>
        <v/>
      </c>
      <c r="CR285" s="134" t="str">
        <f>_xlfn.IFNA(MATCH(BR285,Achievements[[#All],[Column117]],0)+10,"")</f>
        <v/>
      </c>
      <c r="CS285" s="134" t="str">
        <f>_xlfn.IFNA(MATCH(BS285,Achievements[[#All],[Column118]],0)+10,"")</f>
        <v/>
      </c>
      <c r="CT285" s="134" t="str">
        <f>_xlfn.IFNA(MATCH(BT285,Achievements[[#All],[Column118]],0)+10,"")</f>
        <v/>
      </c>
      <c r="CU285" s="134" t="str">
        <f>_xlfn.IFNA(MATCH(BU285,Achievements[[#All],[Column119]],0)+10,"")</f>
        <v/>
      </c>
      <c r="CV285" s="134" t="str">
        <f>_xlfn.IFNA(MATCH(BV285,Achievements[[#All],[Column119]],0)+10,"")</f>
        <v/>
      </c>
      <c r="CW285" s="134" t="str">
        <f>_xlfn.IFNA(MATCH(BW285,Achievements[[#All],[Column120]],0)+10,"")</f>
        <v/>
      </c>
      <c r="CX285" s="134" t="str">
        <f>_xlfn.IFNA(MATCH(BX285,Achievements[[#All],[Column120]],0)+10,"")</f>
        <v/>
      </c>
      <c r="CY285" s="134" t="str">
        <f>_xlfn.IFNA(MATCH(BY285,Achievements[[#All],[Column121]],0)+10,"")</f>
        <v/>
      </c>
      <c r="CZ285" s="118" t="e">
        <f t="shared" ca="1" si="9"/>
        <v>#NAME?</v>
      </c>
    </row>
    <row r="286" spans="1:104" x14ac:dyDescent="0.25">
      <c r="A286" t="e" cm="1">
        <f t="array" aca="1" ref="A286" ca="1">SplitValues("; ",#REF!)</f>
        <v>#NAME?</v>
      </c>
      <c r="AA286" t="e">
        <f ca="1">_xlfn.IFNA(MATCH(A286,Achievements[[#All],[Column1]],0)+11,"")</f>
        <v>#NAME?</v>
      </c>
      <c r="AB286" s="134" t="str">
        <f>_xlfn.IFNA(MATCH(B286,Achievements[[#All],[Column1]],0)+10,"")</f>
        <v/>
      </c>
      <c r="AC286" s="134" t="str">
        <f>_xlfn.IFNA(MATCH(C286,Achievements[[#All],[Column1]],0)+10,"")</f>
        <v/>
      </c>
      <c r="AD286" s="134" t="str">
        <f>_xlfn.IFNA(MATCH(D286,Achievements[[#All],[Column110]],0)+10,"")</f>
        <v/>
      </c>
      <c r="AE286" s="134" t="str">
        <f>_xlfn.IFNA(MATCH(E286,Achievements[[#All],[Column110]],0)+10,"")</f>
        <v/>
      </c>
      <c r="AF286" s="134" t="str">
        <f>_xlfn.IFNA(MATCH(F286,Achievements[[#All],[Column111]],0)+10,"")</f>
        <v/>
      </c>
      <c r="AG286" s="134" t="str">
        <f>_xlfn.IFNA(MATCH(G286,Achievements[[#All],[Column111]],0)+10,"")</f>
        <v/>
      </c>
      <c r="AH286" s="134" t="str">
        <f>_xlfn.IFNA(MATCH(H286,Achievements[[#All],[Column112]],0)+10,"")</f>
        <v/>
      </c>
      <c r="AI286" s="134" t="str">
        <f>_xlfn.IFNA(MATCH(I286,Achievements[[#All],[Column112]],0)+10,"")</f>
        <v/>
      </c>
      <c r="AJ286" s="134" t="str">
        <f>_xlfn.IFNA(MATCH(J286,Achievements[[#All],[Column113]],0)+10,"")</f>
        <v/>
      </c>
      <c r="AK286" s="134" t="str">
        <f>_xlfn.IFNA(MATCH(K286,Achievements[[#All],[Column113]],0)+10,"")</f>
        <v/>
      </c>
      <c r="AL286" s="134" t="str">
        <f>_xlfn.IFNA(MATCH(L286,Achievements[[#All],[Column114]],0)+10,"")</f>
        <v/>
      </c>
      <c r="AM286" s="134" t="str">
        <f>_xlfn.IFNA(MATCH(M286,Achievements[[#All],[Column114]],0)+10,"")</f>
        <v/>
      </c>
      <c r="AN286" s="134" t="str">
        <f>_xlfn.IFNA(MATCH(N286,Achievements[[#All],[Column115]],0)+10,"")</f>
        <v/>
      </c>
      <c r="AO286" s="134" t="str">
        <f>_xlfn.IFNA(MATCH(O286,Achievements[[#All],[Column115]],0)+10,"")</f>
        <v/>
      </c>
      <c r="AP286" s="134" t="str">
        <f>_xlfn.IFNA(MATCH(P286,Achievements[[#All],[Column116]],0)+10,"")</f>
        <v/>
      </c>
      <c r="AQ286" s="134" t="str">
        <f>_xlfn.IFNA(MATCH(Q286,Achievements[[#All],[Column116]],0)+10,"")</f>
        <v/>
      </c>
      <c r="AR286" s="134" t="str">
        <f>_xlfn.IFNA(MATCH(R286,Achievements[[#All],[Column117]],0)+10,"")</f>
        <v/>
      </c>
      <c r="AS286" s="134" t="str">
        <f>_xlfn.IFNA(MATCH(S286,Achievements[[#All],[Column117]],0)+10,"")</f>
        <v/>
      </c>
      <c r="AT286" s="134" t="str">
        <f>_xlfn.IFNA(MATCH(T286,Achievements[[#All],[Column118]],0)+10,"")</f>
        <v/>
      </c>
      <c r="AU286" s="134" t="str">
        <f>_xlfn.IFNA(MATCH(U286,Achievements[[#All],[Column118]],0)+10,"")</f>
        <v/>
      </c>
      <c r="AV286" s="134" t="str">
        <f>_xlfn.IFNA(MATCH(V286,Achievements[[#All],[Column119]],0)+10,"")</f>
        <v/>
      </c>
      <c r="AW286" s="134" t="str">
        <f>_xlfn.IFNA(MATCH(W286,Achievements[[#All],[Column119]],0)+10,"")</f>
        <v/>
      </c>
      <c r="AX286" s="134" t="str">
        <f>_xlfn.IFNA(MATCH(X286,Achievements[[#All],[Column120]],0)+10,"")</f>
        <v/>
      </c>
      <c r="AY286" s="134" t="str">
        <f>_xlfn.IFNA(MATCH(Y286,Achievements[[#All],[Column120]],0)+10,"")</f>
        <v/>
      </c>
      <c r="AZ286" s="116" t="e">
        <f t="shared" ca="1" si="8"/>
        <v>#NAME?</v>
      </c>
      <c r="BA286" s="134" t="e" cm="1">
        <f t="array" aca="1" ref="BA286" ca="1">SplitValues("; ",Persons[[#This Row],[Column1]])</f>
        <v>#NAME?</v>
      </c>
      <c r="CA286" s="134" t="e">
        <f ca="1">_xlfn.IFNA(MATCH(BA286,Achievements[[#All],[Column1]],0)+10,"")</f>
        <v>#NAME?</v>
      </c>
      <c r="CB286" s="134" t="str">
        <f>_xlfn.IFNA(MATCH(BB286,Achievements[[#All],[Column1]],0)+10,"")</f>
        <v/>
      </c>
      <c r="CC286" s="134" t="str">
        <f>_xlfn.IFNA(MATCH(BC286,Achievements[[#All],[Column110]],0)+10,"")</f>
        <v/>
      </c>
      <c r="CD286" s="134" t="str">
        <f>_xlfn.IFNA(MATCH(BD286,Achievements[[#All],[Column110]],0)+10,"")</f>
        <v/>
      </c>
      <c r="CE286" s="134" t="str">
        <f>_xlfn.IFNA(MATCH(BE286,Achievements[[#All],[Column111]],0)+10,"")</f>
        <v/>
      </c>
      <c r="CF286" s="134" t="str">
        <f>_xlfn.IFNA(MATCH(BF286,Achievements[[#All],[Column111]],0)+10,"")</f>
        <v/>
      </c>
      <c r="CG286" s="134" t="str">
        <f>_xlfn.IFNA(MATCH(BG286,Achievements[[#All],[Column112]],0)+10,"")</f>
        <v/>
      </c>
      <c r="CH286" s="134" t="str">
        <f>_xlfn.IFNA(MATCH(BH286,Achievements[[#All],[Column112]],0)+10,"")</f>
        <v/>
      </c>
      <c r="CI286" s="134" t="str">
        <f>_xlfn.IFNA(MATCH(BI286,Achievements[[#All],[Column113]],0)+10,"")</f>
        <v/>
      </c>
      <c r="CJ286" s="134" t="str">
        <f>_xlfn.IFNA(MATCH(BJ286,Achievements[[#All],[Column113]],0)+10,"")</f>
        <v/>
      </c>
      <c r="CK286" s="134" t="str">
        <f>_xlfn.IFNA(MATCH(BK286,Achievements[[#All],[Column114]],0)+10,"")</f>
        <v/>
      </c>
      <c r="CL286" s="134" t="str">
        <f>_xlfn.IFNA(MATCH(BL286,Achievements[[#All],[Column114]],0)+10,"")</f>
        <v/>
      </c>
      <c r="CM286" s="134" t="str">
        <f>_xlfn.IFNA(MATCH(BM286,Achievements[[#All],[Column115]],0)+10,"")</f>
        <v/>
      </c>
      <c r="CN286" s="134" t="str">
        <f>_xlfn.IFNA(MATCH(BN286,Achievements[[#All],[Column115]],0)+10,"")</f>
        <v/>
      </c>
      <c r="CO286" s="134" t="str">
        <f>_xlfn.IFNA(MATCH(BO286,Achievements[[#All],[Column116]],0)+10,"")</f>
        <v/>
      </c>
      <c r="CP286" s="134" t="str">
        <f>_xlfn.IFNA(MATCH(BP286,Achievements[[#All],[Column116]],0)+10,"")</f>
        <v/>
      </c>
      <c r="CQ286" s="134" t="str">
        <f>_xlfn.IFNA(MATCH(BQ286,Achievements[[#All],[Column117]],0)+10,"")</f>
        <v/>
      </c>
      <c r="CR286" s="134" t="str">
        <f>_xlfn.IFNA(MATCH(BR286,Achievements[[#All],[Column117]],0)+10,"")</f>
        <v/>
      </c>
      <c r="CS286" s="134" t="str">
        <f>_xlfn.IFNA(MATCH(BS286,Achievements[[#All],[Column118]],0)+10,"")</f>
        <v/>
      </c>
      <c r="CT286" s="134" t="str">
        <f>_xlfn.IFNA(MATCH(BT286,Achievements[[#All],[Column118]],0)+10,"")</f>
        <v/>
      </c>
      <c r="CU286" s="134" t="str">
        <f>_xlfn.IFNA(MATCH(BU286,Achievements[[#All],[Column119]],0)+10,"")</f>
        <v/>
      </c>
      <c r="CV286" s="134" t="str">
        <f>_xlfn.IFNA(MATCH(BV286,Achievements[[#All],[Column119]],0)+10,"")</f>
        <v/>
      </c>
      <c r="CW286" s="134" t="str">
        <f>_xlfn.IFNA(MATCH(BW286,Achievements[[#All],[Column120]],0)+10,"")</f>
        <v/>
      </c>
      <c r="CX286" s="134" t="str">
        <f>_xlfn.IFNA(MATCH(BX286,Achievements[[#All],[Column120]],0)+10,"")</f>
        <v/>
      </c>
      <c r="CY286" s="134" t="str">
        <f>_xlfn.IFNA(MATCH(BY286,Achievements[[#All],[Column121]],0)+10,"")</f>
        <v/>
      </c>
      <c r="CZ286" s="118" t="e">
        <f t="shared" ca="1" si="9"/>
        <v>#NAME?</v>
      </c>
    </row>
    <row r="287" spans="1:104" x14ac:dyDescent="0.25">
      <c r="A287" t="e" cm="1">
        <f t="array" aca="1" ref="A287" ca="1">SplitValues("; ",#REF!)</f>
        <v>#NAME?</v>
      </c>
      <c r="AA287" t="e">
        <f ca="1">_xlfn.IFNA(MATCH(A287,Achievements[[#All],[Column1]],0)+11,"")</f>
        <v>#NAME?</v>
      </c>
      <c r="AB287" s="134" t="str">
        <f>_xlfn.IFNA(MATCH(B287,Achievements[[#All],[Column1]],0)+10,"")</f>
        <v/>
      </c>
      <c r="AC287" s="134" t="str">
        <f>_xlfn.IFNA(MATCH(C287,Achievements[[#All],[Column1]],0)+10,"")</f>
        <v/>
      </c>
      <c r="AD287" s="134" t="str">
        <f>_xlfn.IFNA(MATCH(D287,Achievements[[#All],[Column110]],0)+10,"")</f>
        <v/>
      </c>
      <c r="AE287" s="134" t="str">
        <f>_xlfn.IFNA(MATCH(E287,Achievements[[#All],[Column110]],0)+10,"")</f>
        <v/>
      </c>
      <c r="AF287" s="134" t="str">
        <f>_xlfn.IFNA(MATCH(F287,Achievements[[#All],[Column111]],0)+10,"")</f>
        <v/>
      </c>
      <c r="AG287" s="134" t="str">
        <f>_xlfn.IFNA(MATCH(G287,Achievements[[#All],[Column111]],0)+10,"")</f>
        <v/>
      </c>
      <c r="AH287" s="134" t="str">
        <f>_xlfn.IFNA(MATCH(H287,Achievements[[#All],[Column112]],0)+10,"")</f>
        <v/>
      </c>
      <c r="AI287" s="134" t="str">
        <f>_xlfn.IFNA(MATCH(I287,Achievements[[#All],[Column112]],0)+10,"")</f>
        <v/>
      </c>
      <c r="AJ287" s="134" t="str">
        <f>_xlfn.IFNA(MATCH(J287,Achievements[[#All],[Column113]],0)+10,"")</f>
        <v/>
      </c>
      <c r="AK287" s="134" t="str">
        <f>_xlfn.IFNA(MATCH(K287,Achievements[[#All],[Column113]],0)+10,"")</f>
        <v/>
      </c>
      <c r="AL287" s="134" t="str">
        <f>_xlfn.IFNA(MATCH(L287,Achievements[[#All],[Column114]],0)+10,"")</f>
        <v/>
      </c>
      <c r="AM287" s="134" t="str">
        <f>_xlfn.IFNA(MATCH(M287,Achievements[[#All],[Column114]],0)+10,"")</f>
        <v/>
      </c>
      <c r="AN287" s="134" t="str">
        <f>_xlfn.IFNA(MATCH(N287,Achievements[[#All],[Column115]],0)+10,"")</f>
        <v/>
      </c>
      <c r="AO287" s="134" t="str">
        <f>_xlfn.IFNA(MATCH(O287,Achievements[[#All],[Column115]],0)+10,"")</f>
        <v/>
      </c>
      <c r="AP287" s="134" t="str">
        <f>_xlfn.IFNA(MATCH(P287,Achievements[[#All],[Column116]],0)+10,"")</f>
        <v/>
      </c>
      <c r="AQ287" s="134" t="str">
        <f>_xlfn.IFNA(MATCH(Q287,Achievements[[#All],[Column116]],0)+10,"")</f>
        <v/>
      </c>
      <c r="AR287" s="134" t="str">
        <f>_xlfn.IFNA(MATCH(R287,Achievements[[#All],[Column117]],0)+10,"")</f>
        <v/>
      </c>
      <c r="AS287" s="134" t="str">
        <f>_xlfn.IFNA(MATCH(S287,Achievements[[#All],[Column117]],0)+10,"")</f>
        <v/>
      </c>
      <c r="AT287" s="134" t="str">
        <f>_xlfn.IFNA(MATCH(T287,Achievements[[#All],[Column118]],0)+10,"")</f>
        <v/>
      </c>
      <c r="AU287" s="134" t="str">
        <f>_xlfn.IFNA(MATCH(U287,Achievements[[#All],[Column118]],0)+10,"")</f>
        <v/>
      </c>
      <c r="AV287" s="134" t="str">
        <f>_xlfn.IFNA(MATCH(V287,Achievements[[#All],[Column119]],0)+10,"")</f>
        <v/>
      </c>
      <c r="AW287" s="134" t="str">
        <f>_xlfn.IFNA(MATCH(W287,Achievements[[#All],[Column119]],0)+10,"")</f>
        <v/>
      </c>
      <c r="AX287" s="134" t="str">
        <f>_xlfn.IFNA(MATCH(X287,Achievements[[#All],[Column120]],0)+10,"")</f>
        <v/>
      </c>
      <c r="AY287" s="134" t="str">
        <f>_xlfn.IFNA(MATCH(Y287,Achievements[[#All],[Column120]],0)+10,"")</f>
        <v/>
      </c>
      <c r="AZ287" s="116" t="e">
        <f t="shared" ca="1" si="8"/>
        <v>#NAME?</v>
      </c>
      <c r="BA287" s="134" t="e" cm="1">
        <f t="array" aca="1" ref="BA287" ca="1">SplitValues("; ",Persons[[#This Row],[Column1]])</f>
        <v>#NAME?</v>
      </c>
      <c r="CA287" s="134" t="e">
        <f ca="1">_xlfn.IFNA(MATCH(BA287,Achievements[[#All],[Column1]],0)+10,"")</f>
        <v>#NAME?</v>
      </c>
      <c r="CB287" s="134" t="str">
        <f>_xlfn.IFNA(MATCH(BB287,Achievements[[#All],[Column1]],0)+10,"")</f>
        <v/>
      </c>
      <c r="CC287" s="134" t="str">
        <f>_xlfn.IFNA(MATCH(BC287,Achievements[[#All],[Column110]],0)+10,"")</f>
        <v/>
      </c>
      <c r="CD287" s="134" t="str">
        <f>_xlfn.IFNA(MATCH(BD287,Achievements[[#All],[Column110]],0)+10,"")</f>
        <v/>
      </c>
      <c r="CE287" s="134" t="str">
        <f>_xlfn.IFNA(MATCH(BE287,Achievements[[#All],[Column111]],0)+10,"")</f>
        <v/>
      </c>
      <c r="CF287" s="134" t="str">
        <f>_xlfn.IFNA(MATCH(BF287,Achievements[[#All],[Column111]],0)+10,"")</f>
        <v/>
      </c>
      <c r="CG287" s="134" t="str">
        <f>_xlfn.IFNA(MATCH(BG287,Achievements[[#All],[Column112]],0)+10,"")</f>
        <v/>
      </c>
      <c r="CH287" s="134" t="str">
        <f>_xlfn.IFNA(MATCH(BH287,Achievements[[#All],[Column112]],0)+10,"")</f>
        <v/>
      </c>
      <c r="CI287" s="134" t="str">
        <f>_xlfn.IFNA(MATCH(BI287,Achievements[[#All],[Column113]],0)+10,"")</f>
        <v/>
      </c>
      <c r="CJ287" s="134" t="str">
        <f>_xlfn.IFNA(MATCH(BJ287,Achievements[[#All],[Column113]],0)+10,"")</f>
        <v/>
      </c>
      <c r="CK287" s="134" t="str">
        <f>_xlfn.IFNA(MATCH(BK287,Achievements[[#All],[Column114]],0)+10,"")</f>
        <v/>
      </c>
      <c r="CL287" s="134" t="str">
        <f>_xlfn.IFNA(MATCH(BL287,Achievements[[#All],[Column114]],0)+10,"")</f>
        <v/>
      </c>
      <c r="CM287" s="134" t="str">
        <f>_xlfn.IFNA(MATCH(BM287,Achievements[[#All],[Column115]],0)+10,"")</f>
        <v/>
      </c>
      <c r="CN287" s="134" t="str">
        <f>_xlfn.IFNA(MATCH(BN287,Achievements[[#All],[Column115]],0)+10,"")</f>
        <v/>
      </c>
      <c r="CO287" s="134" t="str">
        <f>_xlfn.IFNA(MATCH(BO287,Achievements[[#All],[Column116]],0)+10,"")</f>
        <v/>
      </c>
      <c r="CP287" s="134" t="str">
        <f>_xlfn.IFNA(MATCH(BP287,Achievements[[#All],[Column116]],0)+10,"")</f>
        <v/>
      </c>
      <c r="CQ287" s="134" t="str">
        <f>_xlfn.IFNA(MATCH(BQ287,Achievements[[#All],[Column117]],0)+10,"")</f>
        <v/>
      </c>
      <c r="CR287" s="134" t="str">
        <f>_xlfn.IFNA(MATCH(BR287,Achievements[[#All],[Column117]],0)+10,"")</f>
        <v/>
      </c>
      <c r="CS287" s="134" t="str">
        <f>_xlfn.IFNA(MATCH(BS287,Achievements[[#All],[Column118]],0)+10,"")</f>
        <v/>
      </c>
      <c r="CT287" s="134" t="str">
        <f>_xlfn.IFNA(MATCH(BT287,Achievements[[#All],[Column118]],0)+10,"")</f>
        <v/>
      </c>
      <c r="CU287" s="134" t="str">
        <f>_xlfn.IFNA(MATCH(BU287,Achievements[[#All],[Column119]],0)+10,"")</f>
        <v/>
      </c>
      <c r="CV287" s="134" t="str">
        <f>_xlfn.IFNA(MATCH(BV287,Achievements[[#All],[Column119]],0)+10,"")</f>
        <v/>
      </c>
      <c r="CW287" s="134" t="str">
        <f>_xlfn.IFNA(MATCH(BW287,Achievements[[#All],[Column120]],0)+10,"")</f>
        <v/>
      </c>
      <c r="CX287" s="134" t="str">
        <f>_xlfn.IFNA(MATCH(BX287,Achievements[[#All],[Column120]],0)+10,"")</f>
        <v/>
      </c>
      <c r="CY287" s="134" t="str">
        <f>_xlfn.IFNA(MATCH(BY287,Achievements[[#All],[Column121]],0)+10,"")</f>
        <v/>
      </c>
      <c r="CZ287" s="118" t="e">
        <f t="shared" ca="1" si="9"/>
        <v>#NAME?</v>
      </c>
    </row>
    <row r="288" spans="1:104" x14ac:dyDescent="0.25">
      <c r="A288" t="e" cm="1">
        <f t="array" aca="1" ref="A288" ca="1">SplitValues("; ",#REF!)</f>
        <v>#NAME?</v>
      </c>
      <c r="AA288" t="e">
        <f ca="1">_xlfn.IFNA(MATCH(A288,Achievements[[#All],[Column1]],0)+11,"")</f>
        <v>#NAME?</v>
      </c>
      <c r="AB288" s="134" t="str">
        <f>_xlfn.IFNA(MATCH(B288,Achievements[[#All],[Column1]],0)+10,"")</f>
        <v/>
      </c>
      <c r="AC288" s="134" t="str">
        <f>_xlfn.IFNA(MATCH(C288,Achievements[[#All],[Column1]],0)+10,"")</f>
        <v/>
      </c>
      <c r="AD288" s="134" t="str">
        <f>_xlfn.IFNA(MATCH(D288,Achievements[[#All],[Column110]],0)+10,"")</f>
        <v/>
      </c>
      <c r="AE288" s="134" t="str">
        <f>_xlfn.IFNA(MATCH(E288,Achievements[[#All],[Column110]],0)+10,"")</f>
        <v/>
      </c>
      <c r="AF288" s="134" t="str">
        <f>_xlfn.IFNA(MATCH(F288,Achievements[[#All],[Column111]],0)+10,"")</f>
        <v/>
      </c>
      <c r="AG288" s="134" t="str">
        <f>_xlfn.IFNA(MATCH(G288,Achievements[[#All],[Column111]],0)+10,"")</f>
        <v/>
      </c>
      <c r="AH288" s="134" t="str">
        <f>_xlfn.IFNA(MATCH(H288,Achievements[[#All],[Column112]],0)+10,"")</f>
        <v/>
      </c>
      <c r="AI288" s="134" t="str">
        <f>_xlfn.IFNA(MATCH(I288,Achievements[[#All],[Column112]],0)+10,"")</f>
        <v/>
      </c>
      <c r="AJ288" s="134" t="str">
        <f>_xlfn.IFNA(MATCH(J288,Achievements[[#All],[Column113]],0)+10,"")</f>
        <v/>
      </c>
      <c r="AK288" s="134" t="str">
        <f>_xlfn.IFNA(MATCH(K288,Achievements[[#All],[Column113]],0)+10,"")</f>
        <v/>
      </c>
      <c r="AL288" s="134" t="str">
        <f>_xlfn.IFNA(MATCH(L288,Achievements[[#All],[Column114]],0)+10,"")</f>
        <v/>
      </c>
      <c r="AM288" s="134" t="str">
        <f>_xlfn.IFNA(MATCH(M288,Achievements[[#All],[Column114]],0)+10,"")</f>
        <v/>
      </c>
      <c r="AN288" s="134" t="str">
        <f>_xlfn.IFNA(MATCH(N288,Achievements[[#All],[Column115]],0)+10,"")</f>
        <v/>
      </c>
      <c r="AO288" s="134" t="str">
        <f>_xlfn.IFNA(MATCH(O288,Achievements[[#All],[Column115]],0)+10,"")</f>
        <v/>
      </c>
      <c r="AP288" s="134" t="str">
        <f>_xlfn.IFNA(MATCH(P288,Achievements[[#All],[Column116]],0)+10,"")</f>
        <v/>
      </c>
      <c r="AQ288" s="134" t="str">
        <f>_xlfn.IFNA(MATCH(Q288,Achievements[[#All],[Column116]],0)+10,"")</f>
        <v/>
      </c>
      <c r="AR288" s="134" t="str">
        <f>_xlfn.IFNA(MATCH(R288,Achievements[[#All],[Column117]],0)+10,"")</f>
        <v/>
      </c>
      <c r="AS288" s="134" t="str">
        <f>_xlfn.IFNA(MATCH(S288,Achievements[[#All],[Column117]],0)+10,"")</f>
        <v/>
      </c>
      <c r="AT288" s="134" t="str">
        <f>_xlfn.IFNA(MATCH(T288,Achievements[[#All],[Column118]],0)+10,"")</f>
        <v/>
      </c>
      <c r="AU288" s="134" t="str">
        <f>_xlfn.IFNA(MATCH(U288,Achievements[[#All],[Column118]],0)+10,"")</f>
        <v/>
      </c>
      <c r="AV288" s="134" t="str">
        <f>_xlfn.IFNA(MATCH(V288,Achievements[[#All],[Column119]],0)+10,"")</f>
        <v/>
      </c>
      <c r="AW288" s="134" t="str">
        <f>_xlfn.IFNA(MATCH(W288,Achievements[[#All],[Column119]],0)+10,"")</f>
        <v/>
      </c>
      <c r="AX288" s="134" t="str">
        <f>_xlfn.IFNA(MATCH(X288,Achievements[[#All],[Column120]],0)+10,"")</f>
        <v/>
      </c>
      <c r="AY288" s="134" t="str">
        <f>_xlfn.IFNA(MATCH(Y288,Achievements[[#All],[Column120]],0)+10,"")</f>
        <v/>
      </c>
      <c r="AZ288" s="116" t="e">
        <f t="shared" ca="1" si="8"/>
        <v>#NAME?</v>
      </c>
      <c r="BA288" s="134" t="e" cm="1">
        <f t="array" aca="1" ref="BA288" ca="1">SplitValues("; ",Persons[[#This Row],[Column1]])</f>
        <v>#NAME?</v>
      </c>
      <c r="CA288" s="134" t="e">
        <f ca="1">_xlfn.IFNA(MATCH(BA288,Achievements[[#All],[Column1]],0)+10,"")</f>
        <v>#NAME?</v>
      </c>
      <c r="CB288" s="134" t="str">
        <f>_xlfn.IFNA(MATCH(BB288,Achievements[[#All],[Column1]],0)+10,"")</f>
        <v/>
      </c>
      <c r="CC288" s="134" t="str">
        <f>_xlfn.IFNA(MATCH(BC288,Achievements[[#All],[Column110]],0)+10,"")</f>
        <v/>
      </c>
      <c r="CD288" s="134" t="str">
        <f>_xlfn.IFNA(MATCH(BD288,Achievements[[#All],[Column110]],0)+10,"")</f>
        <v/>
      </c>
      <c r="CE288" s="134" t="str">
        <f>_xlfn.IFNA(MATCH(BE288,Achievements[[#All],[Column111]],0)+10,"")</f>
        <v/>
      </c>
      <c r="CF288" s="134" t="str">
        <f>_xlfn.IFNA(MATCH(BF288,Achievements[[#All],[Column111]],0)+10,"")</f>
        <v/>
      </c>
      <c r="CG288" s="134" t="str">
        <f>_xlfn.IFNA(MATCH(BG288,Achievements[[#All],[Column112]],0)+10,"")</f>
        <v/>
      </c>
      <c r="CH288" s="134" t="str">
        <f>_xlfn.IFNA(MATCH(BH288,Achievements[[#All],[Column112]],0)+10,"")</f>
        <v/>
      </c>
      <c r="CI288" s="134" t="str">
        <f>_xlfn.IFNA(MATCH(BI288,Achievements[[#All],[Column113]],0)+10,"")</f>
        <v/>
      </c>
      <c r="CJ288" s="134" t="str">
        <f>_xlfn.IFNA(MATCH(BJ288,Achievements[[#All],[Column113]],0)+10,"")</f>
        <v/>
      </c>
      <c r="CK288" s="134" t="str">
        <f>_xlfn.IFNA(MATCH(BK288,Achievements[[#All],[Column114]],0)+10,"")</f>
        <v/>
      </c>
      <c r="CL288" s="134" t="str">
        <f>_xlfn.IFNA(MATCH(BL288,Achievements[[#All],[Column114]],0)+10,"")</f>
        <v/>
      </c>
      <c r="CM288" s="134" t="str">
        <f>_xlfn.IFNA(MATCH(BM288,Achievements[[#All],[Column115]],0)+10,"")</f>
        <v/>
      </c>
      <c r="CN288" s="134" t="str">
        <f>_xlfn.IFNA(MATCH(BN288,Achievements[[#All],[Column115]],0)+10,"")</f>
        <v/>
      </c>
      <c r="CO288" s="134" t="str">
        <f>_xlfn.IFNA(MATCH(BO288,Achievements[[#All],[Column116]],0)+10,"")</f>
        <v/>
      </c>
      <c r="CP288" s="134" t="str">
        <f>_xlfn.IFNA(MATCH(BP288,Achievements[[#All],[Column116]],0)+10,"")</f>
        <v/>
      </c>
      <c r="CQ288" s="134" t="str">
        <f>_xlfn.IFNA(MATCH(BQ288,Achievements[[#All],[Column117]],0)+10,"")</f>
        <v/>
      </c>
      <c r="CR288" s="134" t="str">
        <f>_xlfn.IFNA(MATCH(BR288,Achievements[[#All],[Column117]],0)+10,"")</f>
        <v/>
      </c>
      <c r="CS288" s="134" t="str">
        <f>_xlfn.IFNA(MATCH(BS288,Achievements[[#All],[Column118]],0)+10,"")</f>
        <v/>
      </c>
      <c r="CT288" s="134" t="str">
        <f>_xlfn.IFNA(MATCH(BT288,Achievements[[#All],[Column118]],0)+10,"")</f>
        <v/>
      </c>
      <c r="CU288" s="134" t="str">
        <f>_xlfn.IFNA(MATCH(BU288,Achievements[[#All],[Column119]],0)+10,"")</f>
        <v/>
      </c>
      <c r="CV288" s="134" t="str">
        <f>_xlfn.IFNA(MATCH(BV288,Achievements[[#All],[Column119]],0)+10,"")</f>
        <v/>
      </c>
      <c r="CW288" s="134" t="str">
        <f>_xlfn.IFNA(MATCH(BW288,Achievements[[#All],[Column120]],0)+10,"")</f>
        <v/>
      </c>
      <c r="CX288" s="134" t="str">
        <f>_xlfn.IFNA(MATCH(BX288,Achievements[[#All],[Column120]],0)+10,"")</f>
        <v/>
      </c>
      <c r="CY288" s="134" t="str">
        <f>_xlfn.IFNA(MATCH(BY288,Achievements[[#All],[Column121]],0)+10,"")</f>
        <v/>
      </c>
      <c r="CZ288" s="118" t="e">
        <f t="shared" ca="1" si="9"/>
        <v>#NAME?</v>
      </c>
    </row>
    <row r="289" spans="1:104" x14ac:dyDescent="0.25">
      <c r="A289" t="e" cm="1">
        <f t="array" aca="1" ref="A289" ca="1">SplitValues("; ",#REF!)</f>
        <v>#NAME?</v>
      </c>
      <c r="AA289" t="e">
        <f ca="1">_xlfn.IFNA(MATCH(A289,Achievements[[#All],[Column1]],0)+11,"")</f>
        <v>#NAME?</v>
      </c>
      <c r="AB289" s="134" t="str">
        <f>_xlfn.IFNA(MATCH(B289,Achievements[[#All],[Column1]],0)+10,"")</f>
        <v/>
      </c>
      <c r="AC289" s="134" t="str">
        <f>_xlfn.IFNA(MATCH(C289,Achievements[[#All],[Column1]],0)+10,"")</f>
        <v/>
      </c>
      <c r="AD289" s="134" t="str">
        <f>_xlfn.IFNA(MATCH(D289,Achievements[[#All],[Column110]],0)+10,"")</f>
        <v/>
      </c>
      <c r="AE289" s="134" t="str">
        <f>_xlfn.IFNA(MATCH(E289,Achievements[[#All],[Column110]],0)+10,"")</f>
        <v/>
      </c>
      <c r="AF289" s="134" t="str">
        <f>_xlfn.IFNA(MATCH(F289,Achievements[[#All],[Column111]],0)+10,"")</f>
        <v/>
      </c>
      <c r="AG289" s="134" t="str">
        <f>_xlfn.IFNA(MATCH(G289,Achievements[[#All],[Column111]],0)+10,"")</f>
        <v/>
      </c>
      <c r="AH289" s="134" t="str">
        <f>_xlfn.IFNA(MATCH(H289,Achievements[[#All],[Column112]],0)+10,"")</f>
        <v/>
      </c>
      <c r="AI289" s="134" t="str">
        <f>_xlfn.IFNA(MATCH(I289,Achievements[[#All],[Column112]],0)+10,"")</f>
        <v/>
      </c>
      <c r="AJ289" s="134" t="str">
        <f>_xlfn.IFNA(MATCH(J289,Achievements[[#All],[Column113]],0)+10,"")</f>
        <v/>
      </c>
      <c r="AK289" s="134" t="str">
        <f>_xlfn.IFNA(MATCH(K289,Achievements[[#All],[Column113]],0)+10,"")</f>
        <v/>
      </c>
      <c r="AL289" s="134" t="str">
        <f>_xlfn.IFNA(MATCH(L289,Achievements[[#All],[Column114]],0)+10,"")</f>
        <v/>
      </c>
      <c r="AM289" s="134" t="str">
        <f>_xlfn.IFNA(MATCH(M289,Achievements[[#All],[Column114]],0)+10,"")</f>
        <v/>
      </c>
      <c r="AN289" s="134" t="str">
        <f>_xlfn.IFNA(MATCH(N289,Achievements[[#All],[Column115]],0)+10,"")</f>
        <v/>
      </c>
      <c r="AO289" s="134" t="str">
        <f>_xlfn.IFNA(MATCH(O289,Achievements[[#All],[Column115]],0)+10,"")</f>
        <v/>
      </c>
      <c r="AP289" s="134" t="str">
        <f>_xlfn.IFNA(MATCH(P289,Achievements[[#All],[Column116]],0)+10,"")</f>
        <v/>
      </c>
      <c r="AQ289" s="134" t="str">
        <f>_xlfn.IFNA(MATCH(Q289,Achievements[[#All],[Column116]],0)+10,"")</f>
        <v/>
      </c>
      <c r="AR289" s="134" t="str">
        <f>_xlfn.IFNA(MATCH(R289,Achievements[[#All],[Column117]],0)+10,"")</f>
        <v/>
      </c>
      <c r="AS289" s="134" t="str">
        <f>_xlfn.IFNA(MATCH(S289,Achievements[[#All],[Column117]],0)+10,"")</f>
        <v/>
      </c>
      <c r="AT289" s="134" t="str">
        <f>_xlfn.IFNA(MATCH(T289,Achievements[[#All],[Column118]],0)+10,"")</f>
        <v/>
      </c>
      <c r="AU289" s="134" t="str">
        <f>_xlfn.IFNA(MATCH(U289,Achievements[[#All],[Column118]],0)+10,"")</f>
        <v/>
      </c>
      <c r="AV289" s="134" t="str">
        <f>_xlfn.IFNA(MATCH(V289,Achievements[[#All],[Column119]],0)+10,"")</f>
        <v/>
      </c>
      <c r="AW289" s="134" t="str">
        <f>_xlfn.IFNA(MATCH(W289,Achievements[[#All],[Column119]],0)+10,"")</f>
        <v/>
      </c>
      <c r="AX289" s="134" t="str">
        <f>_xlfn.IFNA(MATCH(X289,Achievements[[#All],[Column120]],0)+10,"")</f>
        <v/>
      </c>
      <c r="AY289" s="134" t="str">
        <f>_xlfn.IFNA(MATCH(Y289,Achievements[[#All],[Column120]],0)+10,"")</f>
        <v/>
      </c>
      <c r="AZ289" s="116" t="e">
        <f t="shared" ca="1" si="8"/>
        <v>#NAME?</v>
      </c>
      <c r="BA289" s="134" t="e" cm="1">
        <f t="array" aca="1" ref="BA289" ca="1">SplitValues("; ",Persons[[#This Row],[Column1]])</f>
        <v>#NAME?</v>
      </c>
      <c r="CA289" s="134" t="e">
        <f ca="1">_xlfn.IFNA(MATCH(BA289,Achievements[[#All],[Column1]],0)+10,"")</f>
        <v>#NAME?</v>
      </c>
      <c r="CB289" s="134" t="str">
        <f>_xlfn.IFNA(MATCH(BB289,Achievements[[#All],[Column1]],0)+10,"")</f>
        <v/>
      </c>
      <c r="CC289" s="134" t="str">
        <f>_xlfn.IFNA(MATCH(BC289,Achievements[[#All],[Column110]],0)+10,"")</f>
        <v/>
      </c>
      <c r="CD289" s="134" t="str">
        <f>_xlfn.IFNA(MATCH(BD289,Achievements[[#All],[Column110]],0)+10,"")</f>
        <v/>
      </c>
      <c r="CE289" s="134" t="str">
        <f>_xlfn.IFNA(MATCH(BE289,Achievements[[#All],[Column111]],0)+10,"")</f>
        <v/>
      </c>
      <c r="CF289" s="134" t="str">
        <f>_xlfn.IFNA(MATCH(BF289,Achievements[[#All],[Column111]],0)+10,"")</f>
        <v/>
      </c>
      <c r="CG289" s="134" t="str">
        <f>_xlfn.IFNA(MATCH(BG289,Achievements[[#All],[Column112]],0)+10,"")</f>
        <v/>
      </c>
      <c r="CH289" s="134" t="str">
        <f>_xlfn.IFNA(MATCH(BH289,Achievements[[#All],[Column112]],0)+10,"")</f>
        <v/>
      </c>
      <c r="CI289" s="134" t="str">
        <f>_xlfn.IFNA(MATCH(BI289,Achievements[[#All],[Column113]],0)+10,"")</f>
        <v/>
      </c>
      <c r="CJ289" s="134" t="str">
        <f>_xlfn.IFNA(MATCH(BJ289,Achievements[[#All],[Column113]],0)+10,"")</f>
        <v/>
      </c>
      <c r="CK289" s="134" t="str">
        <f>_xlfn.IFNA(MATCH(BK289,Achievements[[#All],[Column114]],0)+10,"")</f>
        <v/>
      </c>
      <c r="CL289" s="134" t="str">
        <f>_xlfn.IFNA(MATCH(BL289,Achievements[[#All],[Column114]],0)+10,"")</f>
        <v/>
      </c>
      <c r="CM289" s="134" t="str">
        <f>_xlfn.IFNA(MATCH(BM289,Achievements[[#All],[Column115]],0)+10,"")</f>
        <v/>
      </c>
      <c r="CN289" s="134" t="str">
        <f>_xlfn.IFNA(MATCH(BN289,Achievements[[#All],[Column115]],0)+10,"")</f>
        <v/>
      </c>
      <c r="CO289" s="134" t="str">
        <f>_xlfn.IFNA(MATCH(BO289,Achievements[[#All],[Column116]],0)+10,"")</f>
        <v/>
      </c>
      <c r="CP289" s="134" t="str">
        <f>_xlfn.IFNA(MATCH(BP289,Achievements[[#All],[Column116]],0)+10,"")</f>
        <v/>
      </c>
      <c r="CQ289" s="134" t="str">
        <f>_xlfn.IFNA(MATCH(BQ289,Achievements[[#All],[Column117]],0)+10,"")</f>
        <v/>
      </c>
      <c r="CR289" s="134" t="str">
        <f>_xlfn.IFNA(MATCH(BR289,Achievements[[#All],[Column117]],0)+10,"")</f>
        <v/>
      </c>
      <c r="CS289" s="134" t="str">
        <f>_xlfn.IFNA(MATCH(BS289,Achievements[[#All],[Column118]],0)+10,"")</f>
        <v/>
      </c>
      <c r="CT289" s="134" t="str">
        <f>_xlfn.IFNA(MATCH(BT289,Achievements[[#All],[Column118]],0)+10,"")</f>
        <v/>
      </c>
      <c r="CU289" s="134" t="str">
        <f>_xlfn.IFNA(MATCH(BU289,Achievements[[#All],[Column119]],0)+10,"")</f>
        <v/>
      </c>
      <c r="CV289" s="134" t="str">
        <f>_xlfn.IFNA(MATCH(BV289,Achievements[[#All],[Column119]],0)+10,"")</f>
        <v/>
      </c>
      <c r="CW289" s="134" t="str">
        <f>_xlfn.IFNA(MATCH(BW289,Achievements[[#All],[Column120]],0)+10,"")</f>
        <v/>
      </c>
      <c r="CX289" s="134" t="str">
        <f>_xlfn.IFNA(MATCH(BX289,Achievements[[#All],[Column120]],0)+10,"")</f>
        <v/>
      </c>
      <c r="CY289" s="134" t="str">
        <f>_xlfn.IFNA(MATCH(BY289,Achievements[[#All],[Column121]],0)+10,"")</f>
        <v/>
      </c>
      <c r="CZ289" s="118" t="e">
        <f t="shared" ca="1" si="9"/>
        <v>#NAME?</v>
      </c>
    </row>
    <row r="290" spans="1:104" x14ac:dyDescent="0.25">
      <c r="A290" t="e" cm="1">
        <f t="array" aca="1" ref="A290" ca="1">SplitValues("; ",#REF!)</f>
        <v>#NAME?</v>
      </c>
      <c r="AA290" t="e">
        <f ca="1">_xlfn.IFNA(MATCH(A290,Achievements[[#All],[Column1]],0)+11,"")</f>
        <v>#NAME?</v>
      </c>
      <c r="AB290" s="134" t="str">
        <f>_xlfn.IFNA(MATCH(B290,Achievements[[#All],[Column1]],0)+10,"")</f>
        <v/>
      </c>
      <c r="AC290" s="134" t="str">
        <f>_xlfn.IFNA(MATCH(C290,Achievements[[#All],[Column1]],0)+10,"")</f>
        <v/>
      </c>
      <c r="AD290" s="134" t="str">
        <f>_xlfn.IFNA(MATCH(D290,Achievements[[#All],[Column110]],0)+10,"")</f>
        <v/>
      </c>
      <c r="AE290" s="134" t="str">
        <f>_xlfn.IFNA(MATCH(E290,Achievements[[#All],[Column110]],0)+10,"")</f>
        <v/>
      </c>
      <c r="AF290" s="134" t="str">
        <f>_xlfn.IFNA(MATCH(F290,Achievements[[#All],[Column111]],0)+10,"")</f>
        <v/>
      </c>
      <c r="AG290" s="134" t="str">
        <f>_xlfn.IFNA(MATCH(G290,Achievements[[#All],[Column111]],0)+10,"")</f>
        <v/>
      </c>
      <c r="AH290" s="134" t="str">
        <f>_xlfn.IFNA(MATCH(H290,Achievements[[#All],[Column112]],0)+10,"")</f>
        <v/>
      </c>
      <c r="AI290" s="134" t="str">
        <f>_xlfn.IFNA(MATCH(I290,Achievements[[#All],[Column112]],0)+10,"")</f>
        <v/>
      </c>
      <c r="AJ290" s="134" t="str">
        <f>_xlfn.IFNA(MATCH(J290,Achievements[[#All],[Column113]],0)+10,"")</f>
        <v/>
      </c>
      <c r="AK290" s="134" t="str">
        <f>_xlfn.IFNA(MATCH(K290,Achievements[[#All],[Column113]],0)+10,"")</f>
        <v/>
      </c>
      <c r="AL290" s="134" t="str">
        <f>_xlfn.IFNA(MATCH(L290,Achievements[[#All],[Column114]],0)+10,"")</f>
        <v/>
      </c>
      <c r="AM290" s="134" t="str">
        <f>_xlfn.IFNA(MATCH(M290,Achievements[[#All],[Column114]],0)+10,"")</f>
        <v/>
      </c>
      <c r="AN290" s="134" t="str">
        <f>_xlfn.IFNA(MATCH(N290,Achievements[[#All],[Column115]],0)+10,"")</f>
        <v/>
      </c>
      <c r="AO290" s="134" t="str">
        <f>_xlfn.IFNA(MATCH(O290,Achievements[[#All],[Column115]],0)+10,"")</f>
        <v/>
      </c>
      <c r="AP290" s="134" t="str">
        <f>_xlfn.IFNA(MATCH(P290,Achievements[[#All],[Column116]],0)+10,"")</f>
        <v/>
      </c>
      <c r="AQ290" s="134" t="str">
        <f>_xlfn.IFNA(MATCH(Q290,Achievements[[#All],[Column116]],0)+10,"")</f>
        <v/>
      </c>
      <c r="AR290" s="134" t="str">
        <f>_xlfn.IFNA(MATCH(R290,Achievements[[#All],[Column117]],0)+10,"")</f>
        <v/>
      </c>
      <c r="AS290" s="134" t="str">
        <f>_xlfn.IFNA(MATCH(S290,Achievements[[#All],[Column117]],0)+10,"")</f>
        <v/>
      </c>
      <c r="AT290" s="134" t="str">
        <f>_xlfn.IFNA(MATCH(T290,Achievements[[#All],[Column118]],0)+10,"")</f>
        <v/>
      </c>
      <c r="AU290" s="134" t="str">
        <f>_xlfn.IFNA(MATCH(U290,Achievements[[#All],[Column118]],0)+10,"")</f>
        <v/>
      </c>
      <c r="AV290" s="134" t="str">
        <f>_xlfn.IFNA(MATCH(V290,Achievements[[#All],[Column119]],0)+10,"")</f>
        <v/>
      </c>
      <c r="AW290" s="134" t="str">
        <f>_xlfn.IFNA(MATCH(W290,Achievements[[#All],[Column119]],0)+10,"")</f>
        <v/>
      </c>
      <c r="AX290" s="134" t="str">
        <f>_xlfn.IFNA(MATCH(X290,Achievements[[#All],[Column120]],0)+10,"")</f>
        <v/>
      </c>
      <c r="AY290" s="134" t="str">
        <f>_xlfn.IFNA(MATCH(Y290,Achievements[[#All],[Column120]],0)+10,"")</f>
        <v/>
      </c>
      <c r="AZ290" s="116" t="e">
        <f t="shared" ca="1" si="8"/>
        <v>#NAME?</v>
      </c>
      <c r="BA290" s="134" t="e" cm="1">
        <f t="array" aca="1" ref="BA290" ca="1">SplitValues("; ",Persons[[#This Row],[Column1]])</f>
        <v>#NAME?</v>
      </c>
      <c r="CA290" s="134" t="e">
        <f ca="1">_xlfn.IFNA(MATCH(BA290,Achievements[[#All],[Column1]],0)+10,"")</f>
        <v>#NAME?</v>
      </c>
      <c r="CB290" s="134" t="str">
        <f>_xlfn.IFNA(MATCH(BB290,Achievements[[#All],[Column1]],0)+10,"")</f>
        <v/>
      </c>
      <c r="CC290" s="134" t="str">
        <f>_xlfn.IFNA(MATCH(BC290,Achievements[[#All],[Column110]],0)+10,"")</f>
        <v/>
      </c>
      <c r="CD290" s="134" t="str">
        <f>_xlfn.IFNA(MATCH(BD290,Achievements[[#All],[Column110]],0)+10,"")</f>
        <v/>
      </c>
      <c r="CE290" s="134" t="str">
        <f>_xlfn.IFNA(MATCH(BE290,Achievements[[#All],[Column111]],0)+10,"")</f>
        <v/>
      </c>
      <c r="CF290" s="134" t="str">
        <f>_xlfn.IFNA(MATCH(BF290,Achievements[[#All],[Column111]],0)+10,"")</f>
        <v/>
      </c>
      <c r="CG290" s="134" t="str">
        <f>_xlfn.IFNA(MATCH(BG290,Achievements[[#All],[Column112]],0)+10,"")</f>
        <v/>
      </c>
      <c r="CH290" s="134" t="str">
        <f>_xlfn.IFNA(MATCH(BH290,Achievements[[#All],[Column112]],0)+10,"")</f>
        <v/>
      </c>
      <c r="CI290" s="134" t="str">
        <f>_xlfn.IFNA(MATCH(BI290,Achievements[[#All],[Column113]],0)+10,"")</f>
        <v/>
      </c>
      <c r="CJ290" s="134" t="str">
        <f>_xlfn.IFNA(MATCH(BJ290,Achievements[[#All],[Column113]],0)+10,"")</f>
        <v/>
      </c>
      <c r="CK290" s="134" t="str">
        <f>_xlfn.IFNA(MATCH(BK290,Achievements[[#All],[Column114]],0)+10,"")</f>
        <v/>
      </c>
      <c r="CL290" s="134" t="str">
        <f>_xlfn.IFNA(MATCH(BL290,Achievements[[#All],[Column114]],0)+10,"")</f>
        <v/>
      </c>
      <c r="CM290" s="134" t="str">
        <f>_xlfn.IFNA(MATCH(BM290,Achievements[[#All],[Column115]],0)+10,"")</f>
        <v/>
      </c>
      <c r="CN290" s="134" t="str">
        <f>_xlfn.IFNA(MATCH(BN290,Achievements[[#All],[Column115]],0)+10,"")</f>
        <v/>
      </c>
      <c r="CO290" s="134" t="str">
        <f>_xlfn.IFNA(MATCH(BO290,Achievements[[#All],[Column116]],0)+10,"")</f>
        <v/>
      </c>
      <c r="CP290" s="134" t="str">
        <f>_xlfn.IFNA(MATCH(BP290,Achievements[[#All],[Column116]],0)+10,"")</f>
        <v/>
      </c>
      <c r="CQ290" s="134" t="str">
        <f>_xlfn.IFNA(MATCH(BQ290,Achievements[[#All],[Column117]],0)+10,"")</f>
        <v/>
      </c>
      <c r="CR290" s="134" t="str">
        <f>_xlfn.IFNA(MATCH(BR290,Achievements[[#All],[Column117]],0)+10,"")</f>
        <v/>
      </c>
      <c r="CS290" s="134" t="str">
        <f>_xlfn.IFNA(MATCH(BS290,Achievements[[#All],[Column118]],0)+10,"")</f>
        <v/>
      </c>
      <c r="CT290" s="134" t="str">
        <f>_xlfn.IFNA(MATCH(BT290,Achievements[[#All],[Column118]],0)+10,"")</f>
        <v/>
      </c>
      <c r="CU290" s="134" t="str">
        <f>_xlfn.IFNA(MATCH(BU290,Achievements[[#All],[Column119]],0)+10,"")</f>
        <v/>
      </c>
      <c r="CV290" s="134" t="str">
        <f>_xlfn.IFNA(MATCH(BV290,Achievements[[#All],[Column119]],0)+10,"")</f>
        <v/>
      </c>
      <c r="CW290" s="134" t="str">
        <f>_xlfn.IFNA(MATCH(BW290,Achievements[[#All],[Column120]],0)+10,"")</f>
        <v/>
      </c>
      <c r="CX290" s="134" t="str">
        <f>_xlfn.IFNA(MATCH(BX290,Achievements[[#All],[Column120]],0)+10,"")</f>
        <v/>
      </c>
      <c r="CY290" s="134" t="str">
        <f>_xlfn.IFNA(MATCH(BY290,Achievements[[#All],[Column121]],0)+10,"")</f>
        <v/>
      </c>
      <c r="CZ290" s="118" t="e">
        <f t="shared" ca="1" si="9"/>
        <v>#NAME?</v>
      </c>
    </row>
    <row r="291" spans="1:104" x14ac:dyDescent="0.25">
      <c r="A291" t="e" cm="1">
        <f t="array" aca="1" ref="A291" ca="1">SplitValues("; ",#REF!)</f>
        <v>#NAME?</v>
      </c>
      <c r="AA291" t="e">
        <f ca="1">_xlfn.IFNA(MATCH(A291,Achievements[[#All],[Column1]],0)+11,"")</f>
        <v>#NAME?</v>
      </c>
      <c r="AB291" s="134" t="str">
        <f>_xlfn.IFNA(MATCH(B291,Achievements[[#All],[Column1]],0)+10,"")</f>
        <v/>
      </c>
      <c r="AC291" s="134" t="str">
        <f>_xlfn.IFNA(MATCH(C291,Achievements[[#All],[Column1]],0)+10,"")</f>
        <v/>
      </c>
      <c r="AD291" s="134" t="str">
        <f>_xlfn.IFNA(MATCH(D291,Achievements[[#All],[Column110]],0)+10,"")</f>
        <v/>
      </c>
      <c r="AE291" s="134" t="str">
        <f>_xlfn.IFNA(MATCH(E291,Achievements[[#All],[Column110]],0)+10,"")</f>
        <v/>
      </c>
      <c r="AF291" s="134" t="str">
        <f>_xlfn.IFNA(MATCH(F291,Achievements[[#All],[Column111]],0)+10,"")</f>
        <v/>
      </c>
      <c r="AG291" s="134" t="str">
        <f>_xlfn.IFNA(MATCH(G291,Achievements[[#All],[Column111]],0)+10,"")</f>
        <v/>
      </c>
      <c r="AH291" s="134" t="str">
        <f>_xlfn.IFNA(MATCH(H291,Achievements[[#All],[Column112]],0)+10,"")</f>
        <v/>
      </c>
      <c r="AI291" s="134" t="str">
        <f>_xlfn.IFNA(MATCH(I291,Achievements[[#All],[Column112]],0)+10,"")</f>
        <v/>
      </c>
      <c r="AJ291" s="134" t="str">
        <f>_xlfn.IFNA(MATCH(J291,Achievements[[#All],[Column113]],0)+10,"")</f>
        <v/>
      </c>
      <c r="AK291" s="134" t="str">
        <f>_xlfn.IFNA(MATCH(K291,Achievements[[#All],[Column113]],0)+10,"")</f>
        <v/>
      </c>
      <c r="AL291" s="134" t="str">
        <f>_xlfn.IFNA(MATCH(L291,Achievements[[#All],[Column114]],0)+10,"")</f>
        <v/>
      </c>
      <c r="AM291" s="134" t="str">
        <f>_xlfn.IFNA(MATCH(M291,Achievements[[#All],[Column114]],0)+10,"")</f>
        <v/>
      </c>
      <c r="AN291" s="134" t="str">
        <f>_xlfn.IFNA(MATCH(N291,Achievements[[#All],[Column115]],0)+10,"")</f>
        <v/>
      </c>
      <c r="AO291" s="134" t="str">
        <f>_xlfn.IFNA(MATCH(O291,Achievements[[#All],[Column115]],0)+10,"")</f>
        <v/>
      </c>
      <c r="AP291" s="134" t="str">
        <f>_xlfn.IFNA(MATCH(P291,Achievements[[#All],[Column116]],0)+10,"")</f>
        <v/>
      </c>
      <c r="AQ291" s="134" t="str">
        <f>_xlfn.IFNA(MATCH(Q291,Achievements[[#All],[Column116]],0)+10,"")</f>
        <v/>
      </c>
      <c r="AR291" s="134" t="str">
        <f>_xlfn.IFNA(MATCH(R291,Achievements[[#All],[Column117]],0)+10,"")</f>
        <v/>
      </c>
      <c r="AS291" s="134" t="str">
        <f>_xlfn.IFNA(MATCH(S291,Achievements[[#All],[Column117]],0)+10,"")</f>
        <v/>
      </c>
      <c r="AT291" s="134" t="str">
        <f>_xlfn.IFNA(MATCH(T291,Achievements[[#All],[Column118]],0)+10,"")</f>
        <v/>
      </c>
      <c r="AU291" s="134" t="str">
        <f>_xlfn.IFNA(MATCH(U291,Achievements[[#All],[Column118]],0)+10,"")</f>
        <v/>
      </c>
      <c r="AV291" s="134" t="str">
        <f>_xlfn.IFNA(MATCH(V291,Achievements[[#All],[Column119]],0)+10,"")</f>
        <v/>
      </c>
      <c r="AW291" s="134" t="str">
        <f>_xlfn.IFNA(MATCH(W291,Achievements[[#All],[Column119]],0)+10,"")</f>
        <v/>
      </c>
      <c r="AX291" s="134" t="str">
        <f>_xlfn.IFNA(MATCH(X291,Achievements[[#All],[Column120]],0)+10,"")</f>
        <v/>
      </c>
      <c r="AY291" s="134" t="str">
        <f>_xlfn.IFNA(MATCH(Y291,Achievements[[#All],[Column120]],0)+10,"")</f>
        <v/>
      </c>
      <c r="AZ291" s="116" t="e">
        <f t="shared" ca="1" si="8"/>
        <v>#NAME?</v>
      </c>
      <c r="BA291" s="134" t="e" cm="1">
        <f t="array" aca="1" ref="BA291" ca="1">SplitValues("; ",Persons[[#This Row],[Column1]])</f>
        <v>#NAME?</v>
      </c>
      <c r="CA291" s="134" t="e">
        <f ca="1">_xlfn.IFNA(MATCH(BA291,Achievements[[#All],[Column1]],0)+10,"")</f>
        <v>#NAME?</v>
      </c>
      <c r="CB291" s="134" t="str">
        <f>_xlfn.IFNA(MATCH(BB291,Achievements[[#All],[Column1]],0)+10,"")</f>
        <v/>
      </c>
      <c r="CC291" s="134" t="str">
        <f>_xlfn.IFNA(MATCH(BC291,Achievements[[#All],[Column110]],0)+10,"")</f>
        <v/>
      </c>
      <c r="CD291" s="134" t="str">
        <f>_xlfn.IFNA(MATCH(BD291,Achievements[[#All],[Column110]],0)+10,"")</f>
        <v/>
      </c>
      <c r="CE291" s="134" t="str">
        <f>_xlfn.IFNA(MATCH(BE291,Achievements[[#All],[Column111]],0)+10,"")</f>
        <v/>
      </c>
      <c r="CF291" s="134" t="str">
        <f>_xlfn.IFNA(MATCH(BF291,Achievements[[#All],[Column111]],0)+10,"")</f>
        <v/>
      </c>
      <c r="CG291" s="134" t="str">
        <f>_xlfn.IFNA(MATCH(BG291,Achievements[[#All],[Column112]],0)+10,"")</f>
        <v/>
      </c>
      <c r="CH291" s="134" t="str">
        <f>_xlfn.IFNA(MATCH(BH291,Achievements[[#All],[Column112]],0)+10,"")</f>
        <v/>
      </c>
      <c r="CI291" s="134" t="str">
        <f>_xlfn.IFNA(MATCH(BI291,Achievements[[#All],[Column113]],0)+10,"")</f>
        <v/>
      </c>
      <c r="CJ291" s="134" t="str">
        <f>_xlfn.IFNA(MATCH(BJ291,Achievements[[#All],[Column113]],0)+10,"")</f>
        <v/>
      </c>
      <c r="CK291" s="134" t="str">
        <f>_xlfn.IFNA(MATCH(BK291,Achievements[[#All],[Column114]],0)+10,"")</f>
        <v/>
      </c>
      <c r="CL291" s="134" t="str">
        <f>_xlfn.IFNA(MATCH(BL291,Achievements[[#All],[Column114]],0)+10,"")</f>
        <v/>
      </c>
      <c r="CM291" s="134" t="str">
        <f>_xlfn.IFNA(MATCH(BM291,Achievements[[#All],[Column115]],0)+10,"")</f>
        <v/>
      </c>
      <c r="CN291" s="134" t="str">
        <f>_xlfn.IFNA(MATCH(BN291,Achievements[[#All],[Column115]],0)+10,"")</f>
        <v/>
      </c>
      <c r="CO291" s="134" t="str">
        <f>_xlfn.IFNA(MATCH(BO291,Achievements[[#All],[Column116]],0)+10,"")</f>
        <v/>
      </c>
      <c r="CP291" s="134" t="str">
        <f>_xlfn.IFNA(MATCH(BP291,Achievements[[#All],[Column116]],0)+10,"")</f>
        <v/>
      </c>
      <c r="CQ291" s="134" t="str">
        <f>_xlfn.IFNA(MATCH(BQ291,Achievements[[#All],[Column117]],0)+10,"")</f>
        <v/>
      </c>
      <c r="CR291" s="134" t="str">
        <f>_xlfn.IFNA(MATCH(BR291,Achievements[[#All],[Column117]],0)+10,"")</f>
        <v/>
      </c>
      <c r="CS291" s="134" t="str">
        <f>_xlfn.IFNA(MATCH(BS291,Achievements[[#All],[Column118]],0)+10,"")</f>
        <v/>
      </c>
      <c r="CT291" s="134" t="str">
        <f>_xlfn.IFNA(MATCH(BT291,Achievements[[#All],[Column118]],0)+10,"")</f>
        <v/>
      </c>
      <c r="CU291" s="134" t="str">
        <f>_xlfn.IFNA(MATCH(BU291,Achievements[[#All],[Column119]],0)+10,"")</f>
        <v/>
      </c>
      <c r="CV291" s="134" t="str">
        <f>_xlfn.IFNA(MATCH(BV291,Achievements[[#All],[Column119]],0)+10,"")</f>
        <v/>
      </c>
      <c r="CW291" s="134" t="str">
        <f>_xlfn.IFNA(MATCH(BW291,Achievements[[#All],[Column120]],0)+10,"")</f>
        <v/>
      </c>
      <c r="CX291" s="134" t="str">
        <f>_xlfn.IFNA(MATCH(BX291,Achievements[[#All],[Column120]],0)+10,"")</f>
        <v/>
      </c>
      <c r="CY291" s="134" t="str">
        <f>_xlfn.IFNA(MATCH(BY291,Achievements[[#All],[Column121]],0)+10,"")</f>
        <v/>
      </c>
      <c r="CZ291" s="118" t="e">
        <f t="shared" ca="1" si="9"/>
        <v>#NAME?</v>
      </c>
    </row>
    <row r="292" spans="1:104" x14ac:dyDescent="0.25">
      <c r="A292" t="e" cm="1">
        <f t="array" aca="1" ref="A292" ca="1">SplitValues("; ",#REF!)</f>
        <v>#NAME?</v>
      </c>
      <c r="AA292" t="e">
        <f ca="1">_xlfn.IFNA(MATCH(A292,Achievements[[#All],[Column1]],0)+11,"")</f>
        <v>#NAME?</v>
      </c>
      <c r="AB292" s="134" t="str">
        <f>_xlfn.IFNA(MATCH(B292,Achievements[[#All],[Column1]],0)+10,"")</f>
        <v/>
      </c>
      <c r="AC292" s="134" t="str">
        <f>_xlfn.IFNA(MATCH(C292,Achievements[[#All],[Column1]],0)+10,"")</f>
        <v/>
      </c>
      <c r="AD292" s="134" t="str">
        <f>_xlfn.IFNA(MATCH(D292,Achievements[[#All],[Column110]],0)+10,"")</f>
        <v/>
      </c>
      <c r="AE292" s="134" t="str">
        <f>_xlfn.IFNA(MATCH(E292,Achievements[[#All],[Column110]],0)+10,"")</f>
        <v/>
      </c>
      <c r="AF292" s="134" t="str">
        <f>_xlfn.IFNA(MATCH(F292,Achievements[[#All],[Column111]],0)+10,"")</f>
        <v/>
      </c>
      <c r="AG292" s="134" t="str">
        <f>_xlfn.IFNA(MATCH(G292,Achievements[[#All],[Column111]],0)+10,"")</f>
        <v/>
      </c>
      <c r="AH292" s="134" t="str">
        <f>_xlfn.IFNA(MATCH(H292,Achievements[[#All],[Column112]],0)+10,"")</f>
        <v/>
      </c>
      <c r="AI292" s="134" t="str">
        <f>_xlfn.IFNA(MATCH(I292,Achievements[[#All],[Column112]],0)+10,"")</f>
        <v/>
      </c>
      <c r="AJ292" s="134" t="str">
        <f>_xlfn.IFNA(MATCH(J292,Achievements[[#All],[Column113]],0)+10,"")</f>
        <v/>
      </c>
      <c r="AK292" s="134" t="str">
        <f>_xlfn.IFNA(MATCH(K292,Achievements[[#All],[Column113]],0)+10,"")</f>
        <v/>
      </c>
      <c r="AL292" s="134" t="str">
        <f>_xlfn.IFNA(MATCH(L292,Achievements[[#All],[Column114]],0)+10,"")</f>
        <v/>
      </c>
      <c r="AM292" s="134" t="str">
        <f>_xlfn.IFNA(MATCH(M292,Achievements[[#All],[Column114]],0)+10,"")</f>
        <v/>
      </c>
      <c r="AN292" s="134" t="str">
        <f>_xlfn.IFNA(MATCH(N292,Achievements[[#All],[Column115]],0)+10,"")</f>
        <v/>
      </c>
      <c r="AO292" s="134" t="str">
        <f>_xlfn.IFNA(MATCH(O292,Achievements[[#All],[Column115]],0)+10,"")</f>
        <v/>
      </c>
      <c r="AP292" s="134" t="str">
        <f>_xlfn.IFNA(MATCH(P292,Achievements[[#All],[Column116]],0)+10,"")</f>
        <v/>
      </c>
      <c r="AQ292" s="134" t="str">
        <f>_xlfn.IFNA(MATCH(Q292,Achievements[[#All],[Column116]],0)+10,"")</f>
        <v/>
      </c>
      <c r="AR292" s="134" t="str">
        <f>_xlfn.IFNA(MATCH(R292,Achievements[[#All],[Column117]],0)+10,"")</f>
        <v/>
      </c>
      <c r="AS292" s="134" t="str">
        <f>_xlfn.IFNA(MATCH(S292,Achievements[[#All],[Column117]],0)+10,"")</f>
        <v/>
      </c>
      <c r="AT292" s="134" t="str">
        <f>_xlfn.IFNA(MATCH(T292,Achievements[[#All],[Column118]],0)+10,"")</f>
        <v/>
      </c>
      <c r="AU292" s="134" t="str">
        <f>_xlfn.IFNA(MATCH(U292,Achievements[[#All],[Column118]],0)+10,"")</f>
        <v/>
      </c>
      <c r="AV292" s="134" t="str">
        <f>_xlfn.IFNA(MATCH(V292,Achievements[[#All],[Column119]],0)+10,"")</f>
        <v/>
      </c>
      <c r="AW292" s="134" t="str">
        <f>_xlfn.IFNA(MATCH(W292,Achievements[[#All],[Column119]],0)+10,"")</f>
        <v/>
      </c>
      <c r="AX292" s="134" t="str">
        <f>_xlfn.IFNA(MATCH(X292,Achievements[[#All],[Column120]],0)+10,"")</f>
        <v/>
      </c>
      <c r="AY292" s="134" t="str">
        <f>_xlfn.IFNA(MATCH(Y292,Achievements[[#All],[Column120]],0)+10,"")</f>
        <v/>
      </c>
      <c r="AZ292" s="116" t="e">
        <f t="shared" ca="1" si="8"/>
        <v>#NAME?</v>
      </c>
      <c r="BA292" s="134" t="e" cm="1">
        <f t="array" aca="1" ref="BA292" ca="1">SplitValues("; ",Persons[[#This Row],[Column1]])</f>
        <v>#NAME?</v>
      </c>
      <c r="CA292" s="134" t="e">
        <f ca="1">_xlfn.IFNA(MATCH(BA292,Achievements[[#All],[Column1]],0)+10,"")</f>
        <v>#NAME?</v>
      </c>
      <c r="CB292" s="134" t="str">
        <f>_xlfn.IFNA(MATCH(BB292,Achievements[[#All],[Column1]],0)+10,"")</f>
        <v/>
      </c>
      <c r="CC292" s="134" t="str">
        <f>_xlfn.IFNA(MATCH(BC292,Achievements[[#All],[Column110]],0)+10,"")</f>
        <v/>
      </c>
      <c r="CD292" s="134" t="str">
        <f>_xlfn.IFNA(MATCH(BD292,Achievements[[#All],[Column110]],0)+10,"")</f>
        <v/>
      </c>
      <c r="CE292" s="134" t="str">
        <f>_xlfn.IFNA(MATCH(BE292,Achievements[[#All],[Column111]],0)+10,"")</f>
        <v/>
      </c>
      <c r="CF292" s="134" t="str">
        <f>_xlfn.IFNA(MATCH(BF292,Achievements[[#All],[Column111]],0)+10,"")</f>
        <v/>
      </c>
      <c r="CG292" s="134" t="str">
        <f>_xlfn.IFNA(MATCH(BG292,Achievements[[#All],[Column112]],0)+10,"")</f>
        <v/>
      </c>
      <c r="CH292" s="134" t="str">
        <f>_xlfn.IFNA(MATCH(BH292,Achievements[[#All],[Column112]],0)+10,"")</f>
        <v/>
      </c>
      <c r="CI292" s="134" t="str">
        <f>_xlfn.IFNA(MATCH(BI292,Achievements[[#All],[Column113]],0)+10,"")</f>
        <v/>
      </c>
      <c r="CJ292" s="134" t="str">
        <f>_xlfn.IFNA(MATCH(BJ292,Achievements[[#All],[Column113]],0)+10,"")</f>
        <v/>
      </c>
      <c r="CK292" s="134" t="str">
        <f>_xlfn.IFNA(MATCH(BK292,Achievements[[#All],[Column114]],0)+10,"")</f>
        <v/>
      </c>
      <c r="CL292" s="134" t="str">
        <f>_xlfn.IFNA(MATCH(BL292,Achievements[[#All],[Column114]],0)+10,"")</f>
        <v/>
      </c>
      <c r="CM292" s="134" t="str">
        <f>_xlfn.IFNA(MATCH(BM292,Achievements[[#All],[Column115]],0)+10,"")</f>
        <v/>
      </c>
      <c r="CN292" s="134" t="str">
        <f>_xlfn.IFNA(MATCH(BN292,Achievements[[#All],[Column115]],0)+10,"")</f>
        <v/>
      </c>
      <c r="CO292" s="134" t="str">
        <f>_xlfn.IFNA(MATCH(BO292,Achievements[[#All],[Column116]],0)+10,"")</f>
        <v/>
      </c>
      <c r="CP292" s="134" t="str">
        <f>_xlfn.IFNA(MATCH(BP292,Achievements[[#All],[Column116]],0)+10,"")</f>
        <v/>
      </c>
      <c r="CQ292" s="134" t="str">
        <f>_xlfn.IFNA(MATCH(BQ292,Achievements[[#All],[Column117]],0)+10,"")</f>
        <v/>
      </c>
      <c r="CR292" s="134" t="str">
        <f>_xlfn.IFNA(MATCH(BR292,Achievements[[#All],[Column117]],0)+10,"")</f>
        <v/>
      </c>
      <c r="CS292" s="134" t="str">
        <f>_xlfn.IFNA(MATCH(BS292,Achievements[[#All],[Column118]],0)+10,"")</f>
        <v/>
      </c>
      <c r="CT292" s="134" t="str">
        <f>_xlfn.IFNA(MATCH(BT292,Achievements[[#All],[Column118]],0)+10,"")</f>
        <v/>
      </c>
      <c r="CU292" s="134" t="str">
        <f>_xlfn.IFNA(MATCH(BU292,Achievements[[#All],[Column119]],0)+10,"")</f>
        <v/>
      </c>
      <c r="CV292" s="134" t="str">
        <f>_xlfn.IFNA(MATCH(BV292,Achievements[[#All],[Column119]],0)+10,"")</f>
        <v/>
      </c>
      <c r="CW292" s="134" t="str">
        <f>_xlfn.IFNA(MATCH(BW292,Achievements[[#All],[Column120]],0)+10,"")</f>
        <v/>
      </c>
      <c r="CX292" s="134" t="str">
        <f>_xlfn.IFNA(MATCH(BX292,Achievements[[#All],[Column120]],0)+10,"")</f>
        <v/>
      </c>
      <c r="CY292" s="134" t="str">
        <f>_xlfn.IFNA(MATCH(BY292,Achievements[[#All],[Column121]],0)+10,"")</f>
        <v/>
      </c>
      <c r="CZ292" s="118" t="e">
        <f t="shared" ca="1" si="9"/>
        <v>#NAME?</v>
      </c>
    </row>
    <row r="293" spans="1:104" x14ac:dyDescent="0.25">
      <c r="A293" t="e" cm="1">
        <f t="array" aca="1" ref="A293" ca="1">SplitValues("; ",#REF!)</f>
        <v>#NAME?</v>
      </c>
      <c r="AA293" t="e">
        <f ca="1">_xlfn.IFNA(MATCH(A293,Achievements[[#All],[Column1]],0)+11,"")</f>
        <v>#NAME?</v>
      </c>
      <c r="AB293" s="134" t="str">
        <f>_xlfn.IFNA(MATCH(B293,Achievements[[#All],[Column1]],0)+10,"")</f>
        <v/>
      </c>
      <c r="AC293" s="134" t="str">
        <f>_xlfn.IFNA(MATCH(C293,Achievements[[#All],[Column1]],0)+10,"")</f>
        <v/>
      </c>
      <c r="AD293" s="134" t="str">
        <f>_xlfn.IFNA(MATCH(D293,Achievements[[#All],[Column110]],0)+10,"")</f>
        <v/>
      </c>
      <c r="AE293" s="134" t="str">
        <f>_xlfn.IFNA(MATCH(E293,Achievements[[#All],[Column110]],0)+10,"")</f>
        <v/>
      </c>
      <c r="AF293" s="134" t="str">
        <f>_xlfn.IFNA(MATCH(F293,Achievements[[#All],[Column111]],0)+10,"")</f>
        <v/>
      </c>
      <c r="AG293" s="134" t="str">
        <f>_xlfn.IFNA(MATCH(G293,Achievements[[#All],[Column111]],0)+10,"")</f>
        <v/>
      </c>
      <c r="AH293" s="134" t="str">
        <f>_xlfn.IFNA(MATCH(H293,Achievements[[#All],[Column112]],0)+10,"")</f>
        <v/>
      </c>
      <c r="AI293" s="134" t="str">
        <f>_xlfn.IFNA(MATCH(I293,Achievements[[#All],[Column112]],0)+10,"")</f>
        <v/>
      </c>
      <c r="AJ293" s="134" t="str">
        <f>_xlfn.IFNA(MATCH(J293,Achievements[[#All],[Column113]],0)+10,"")</f>
        <v/>
      </c>
      <c r="AK293" s="134" t="str">
        <f>_xlfn.IFNA(MATCH(K293,Achievements[[#All],[Column113]],0)+10,"")</f>
        <v/>
      </c>
      <c r="AL293" s="134" t="str">
        <f>_xlfn.IFNA(MATCH(L293,Achievements[[#All],[Column114]],0)+10,"")</f>
        <v/>
      </c>
      <c r="AM293" s="134" t="str">
        <f>_xlfn.IFNA(MATCH(M293,Achievements[[#All],[Column114]],0)+10,"")</f>
        <v/>
      </c>
      <c r="AN293" s="134" t="str">
        <f>_xlfn.IFNA(MATCH(N293,Achievements[[#All],[Column115]],0)+10,"")</f>
        <v/>
      </c>
      <c r="AO293" s="134" t="str">
        <f>_xlfn.IFNA(MATCH(O293,Achievements[[#All],[Column115]],0)+10,"")</f>
        <v/>
      </c>
      <c r="AP293" s="134" t="str">
        <f>_xlfn.IFNA(MATCH(P293,Achievements[[#All],[Column116]],0)+10,"")</f>
        <v/>
      </c>
      <c r="AQ293" s="134" t="str">
        <f>_xlfn.IFNA(MATCH(Q293,Achievements[[#All],[Column116]],0)+10,"")</f>
        <v/>
      </c>
      <c r="AR293" s="134" t="str">
        <f>_xlfn.IFNA(MATCH(R293,Achievements[[#All],[Column117]],0)+10,"")</f>
        <v/>
      </c>
      <c r="AS293" s="134" t="str">
        <f>_xlfn.IFNA(MATCH(S293,Achievements[[#All],[Column117]],0)+10,"")</f>
        <v/>
      </c>
      <c r="AT293" s="134" t="str">
        <f>_xlfn.IFNA(MATCH(T293,Achievements[[#All],[Column118]],0)+10,"")</f>
        <v/>
      </c>
      <c r="AU293" s="134" t="str">
        <f>_xlfn.IFNA(MATCH(U293,Achievements[[#All],[Column118]],0)+10,"")</f>
        <v/>
      </c>
      <c r="AV293" s="134" t="str">
        <f>_xlfn.IFNA(MATCH(V293,Achievements[[#All],[Column119]],0)+10,"")</f>
        <v/>
      </c>
      <c r="AW293" s="134" t="str">
        <f>_xlfn.IFNA(MATCH(W293,Achievements[[#All],[Column119]],0)+10,"")</f>
        <v/>
      </c>
      <c r="AX293" s="134" t="str">
        <f>_xlfn.IFNA(MATCH(X293,Achievements[[#All],[Column120]],0)+10,"")</f>
        <v/>
      </c>
      <c r="AY293" s="134" t="str">
        <f>_xlfn.IFNA(MATCH(Y293,Achievements[[#All],[Column120]],0)+10,"")</f>
        <v/>
      </c>
      <c r="AZ293" s="116" t="e">
        <f t="shared" ca="1" si="8"/>
        <v>#NAME?</v>
      </c>
      <c r="BA293" s="134" t="e" cm="1">
        <f t="array" aca="1" ref="BA293" ca="1">SplitValues("; ",Persons[[#This Row],[Column1]])</f>
        <v>#NAME?</v>
      </c>
      <c r="CA293" s="134" t="e">
        <f ca="1">_xlfn.IFNA(MATCH(BA293,Achievements[[#All],[Column1]],0)+10,"")</f>
        <v>#NAME?</v>
      </c>
      <c r="CB293" s="134" t="str">
        <f>_xlfn.IFNA(MATCH(BB293,Achievements[[#All],[Column1]],0)+10,"")</f>
        <v/>
      </c>
      <c r="CC293" s="134" t="str">
        <f>_xlfn.IFNA(MATCH(BC293,Achievements[[#All],[Column110]],0)+10,"")</f>
        <v/>
      </c>
      <c r="CD293" s="134" t="str">
        <f>_xlfn.IFNA(MATCH(BD293,Achievements[[#All],[Column110]],0)+10,"")</f>
        <v/>
      </c>
      <c r="CE293" s="134" t="str">
        <f>_xlfn.IFNA(MATCH(BE293,Achievements[[#All],[Column111]],0)+10,"")</f>
        <v/>
      </c>
      <c r="CF293" s="134" t="str">
        <f>_xlfn.IFNA(MATCH(BF293,Achievements[[#All],[Column111]],0)+10,"")</f>
        <v/>
      </c>
      <c r="CG293" s="134" t="str">
        <f>_xlfn.IFNA(MATCH(BG293,Achievements[[#All],[Column112]],0)+10,"")</f>
        <v/>
      </c>
      <c r="CH293" s="134" t="str">
        <f>_xlfn.IFNA(MATCH(BH293,Achievements[[#All],[Column112]],0)+10,"")</f>
        <v/>
      </c>
      <c r="CI293" s="134" t="str">
        <f>_xlfn.IFNA(MATCH(BI293,Achievements[[#All],[Column113]],0)+10,"")</f>
        <v/>
      </c>
      <c r="CJ293" s="134" t="str">
        <f>_xlfn.IFNA(MATCH(BJ293,Achievements[[#All],[Column113]],0)+10,"")</f>
        <v/>
      </c>
      <c r="CK293" s="134" t="str">
        <f>_xlfn.IFNA(MATCH(BK293,Achievements[[#All],[Column114]],0)+10,"")</f>
        <v/>
      </c>
      <c r="CL293" s="134" t="str">
        <f>_xlfn.IFNA(MATCH(BL293,Achievements[[#All],[Column114]],0)+10,"")</f>
        <v/>
      </c>
      <c r="CM293" s="134" t="str">
        <f>_xlfn.IFNA(MATCH(BM293,Achievements[[#All],[Column115]],0)+10,"")</f>
        <v/>
      </c>
      <c r="CN293" s="134" t="str">
        <f>_xlfn.IFNA(MATCH(BN293,Achievements[[#All],[Column115]],0)+10,"")</f>
        <v/>
      </c>
      <c r="CO293" s="134" t="str">
        <f>_xlfn.IFNA(MATCH(BO293,Achievements[[#All],[Column116]],0)+10,"")</f>
        <v/>
      </c>
      <c r="CP293" s="134" t="str">
        <f>_xlfn.IFNA(MATCH(BP293,Achievements[[#All],[Column116]],0)+10,"")</f>
        <v/>
      </c>
      <c r="CQ293" s="134" t="str">
        <f>_xlfn.IFNA(MATCH(BQ293,Achievements[[#All],[Column117]],0)+10,"")</f>
        <v/>
      </c>
      <c r="CR293" s="134" t="str">
        <f>_xlfn.IFNA(MATCH(BR293,Achievements[[#All],[Column117]],0)+10,"")</f>
        <v/>
      </c>
      <c r="CS293" s="134" t="str">
        <f>_xlfn.IFNA(MATCH(BS293,Achievements[[#All],[Column118]],0)+10,"")</f>
        <v/>
      </c>
      <c r="CT293" s="134" t="str">
        <f>_xlfn.IFNA(MATCH(BT293,Achievements[[#All],[Column118]],0)+10,"")</f>
        <v/>
      </c>
      <c r="CU293" s="134" t="str">
        <f>_xlfn.IFNA(MATCH(BU293,Achievements[[#All],[Column119]],0)+10,"")</f>
        <v/>
      </c>
      <c r="CV293" s="134" t="str">
        <f>_xlfn.IFNA(MATCH(BV293,Achievements[[#All],[Column119]],0)+10,"")</f>
        <v/>
      </c>
      <c r="CW293" s="134" t="str">
        <f>_xlfn.IFNA(MATCH(BW293,Achievements[[#All],[Column120]],0)+10,"")</f>
        <v/>
      </c>
      <c r="CX293" s="134" t="str">
        <f>_xlfn.IFNA(MATCH(BX293,Achievements[[#All],[Column120]],0)+10,"")</f>
        <v/>
      </c>
      <c r="CY293" s="134" t="str">
        <f>_xlfn.IFNA(MATCH(BY293,Achievements[[#All],[Column121]],0)+10,"")</f>
        <v/>
      </c>
      <c r="CZ293" s="118" t="e">
        <f t="shared" ca="1" si="9"/>
        <v>#NAME?</v>
      </c>
    </row>
    <row r="294" spans="1:104" x14ac:dyDescent="0.25">
      <c r="A294" t="e" cm="1">
        <f t="array" aca="1" ref="A294" ca="1">SplitValues("; ",#REF!)</f>
        <v>#NAME?</v>
      </c>
      <c r="AA294" t="e">
        <f ca="1">_xlfn.IFNA(MATCH(A294,Achievements[[#All],[Column1]],0)+11,"")</f>
        <v>#NAME?</v>
      </c>
      <c r="AB294" s="134" t="str">
        <f>_xlfn.IFNA(MATCH(B294,Achievements[[#All],[Column1]],0)+10,"")</f>
        <v/>
      </c>
      <c r="AC294" s="134" t="str">
        <f>_xlfn.IFNA(MATCH(C294,Achievements[[#All],[Column1]],0)+10,"")</f>
        <v/>
      </c>
      <c r="AD294" s="134" t="str">
        <f>_xlfn.IFNA(MATCH(D294,Achievements[[#All],[Column110]],0)+10,"")</f>
        <v/>
      </c>
      <c r="AE294" s="134" t="str">
        <f>_xlfn.IFNA(MATCH(E294,Achievements[[#All],[Column110]],0)+10,"")</f>
        <v/>
      </c>
      <c r="AF294" s="134" t="str">
        <f>_xlfn.IFNA(MATCH(F294,Achievements[[#All],[Column111]],0)+10,"")</f>
        <v/>
      </c>
      <c r="AG294" s="134" t="str">
        <f>_xlfn.IFNA(MATCH(G294,Achievements[[#All],[Column111]],0)+10,"")</f>
        <v/>
      </c>
      <c r="AH294" s="134" t="str">
        <f>_xlfn.IFNA(MATCH(H294,Achievements[[#All],[Column112]],0)+10,"")</f>
        <v/>
      </c>
      <c r="AI294" s="134" t="str">
        <f>_xlfn.IFNA(MATCH(I294,Achievements[[#All],[Column112]],0)+10,"")</f>
        <v/>
      </c>
      <c r="AJ294" s="134" t="str">
        <f>_xlfn.IFNA(MATCH(J294,Achievements[[#All],[Column113]],0)+10,"")</f>
        <v/>
      </c>
      <c r="AK294" s="134" t="str">
        <f>_xlfn.IFNA(MATCH(K294,Achievements[[#All],[Column113]],0)+10,"")</f>
        <v/>
      </c>
      <c r="AL294" s="134" t="str">
        <f>_xlfn.IFNA(MATCH(L294,Achievements[[#All],[Column114]],0)+10,"")</f>
        <v/>
      </c>
      <c r="AM294" s="134" t="str">
        <f>_xlfn.IFNA(MATCH(M294,Achievements[[#All],[Column114]],0)+10,"")</f>
        <v/>
      </c>
      <c r="AN294" s="134" t="str">
        <f>_xlfn.IFNA(MATCH(N294,Achievements[[#All],[Column115]],0)+10,"")</f>
        <v/>
      </c>
      <c r="AO294" s="134" t="str">
        <f>_xlfn.IFNA(MATCH(O294,Achievements[[#All],[Column115]],0)+10,"")</f>
        <v/>
      </c>
      <c r="AP294" s="134" t="str">
        <f>_xlfn.IFNA(MATCH(P294,Achievements[[#All],[Column116]],0)+10,"")</f>
        <v/>
      </c>
      <c r="AQ294" s="134" t="str">
        <f>_xlfn.IFNA(MATCH(Q294,Achievements[[#All],[Column116]],0)+10,"")</f>
        <v/>
      </c>
      <c r="AR294" s="134" t="str">
        <f>_xlfn.IFNA(MATCH(R294,Achievements[[#All],[Column117]],0)+10,"")</f>
        <v/>
      </c>
      <c r="AS294" s="134" t="str">
        <f>_xlfn.IFNA(MATCH(S294,Achievements[[#All],[Column117]],0)+10,"")</f>
        <v/>
      </c>
      <c r="AT294" s="134" t="str">
        <f>_xlfn.IFNA(MATCH(T294,Achievements[[#All],[Column118]],0)+10,"")</f>
        <v/>
      </c>
      <c r="AU294" s="134" t="str">
        <f>_xlfn.IFNA(MATCH(U294,Achievements[[#All],[Column118]],0)+10,"")</f>
        <v/>
      </c>
      <c r="AV294" s="134" t="str">
        <f>_xlfn.IFNA(MATCH(V294,Achievements[[#All],[Column119]],0)+10,"")</f>
        <v/>
      </c>
      <c r="AW294" s="134" t="str">
        <f>_xlfn.IFNA(MATCH(W294,Achievements[[#All],[Column119]],0)+10,"")</f>
        <v/>
      </c>
      <c r="AX294" s="134" t="str">
        <f>_xlfn.IFNA(MATCH(X294,Achievements[[#All],[Column120]],0)+10,"")</f>
        <v/>
      </c>
      <c r="AY294" s="134" t="str">
        <f>_xlfn.IFNA(MATCH(Y294,Achievements[[#All],[Column120]],0)+10,"")</f>
        <v/>
      </c>
      <c r="AZ294" s="116" t="e">
        <f t="shared" ca="1" si="8"/>
        <v>#NAME?</v>
      </c>
      <c r="BA294" s="134" t="e" cm="1">
        <f t="array" aca="1" ref="BA294" ca="1">SplitValues("; ",Persons[[#This Row],[Column1]])</f>
        <v>#NAME?</v>
      </c>
      <c r="CA294" s="134" t="e">
        <f ca="1">_xlfn.IFNA(MATCH(BA294,Achievements[[#All],[Column1]],0)+10,"")</f>
        <v>#NAME?</v>
      </c>
      <c r="CB294" s="134" t="str">
        <f>_xlfn.IFNA(MATCH(BB294,Achievements[[#All],[Column1]],0)+10,"")</f>
        <v/>
      </c>
      <c r="CC294" s="134" t="str">
        <f>_xlfn.IFNA(MATCH(BC294,Achievements[[#All],[Column110]],0)+10,"")</f>
        <v/>
      </c>
      <c r="CD294" s="134" t="str">
        <f>_xlfn.IFNA(MATCH(BD294,Achievements[[#All],[Column110]],0)+10,"")</f>
        <v/>
      </c>
      <c r="CE294" s="134" t="str">
        <f>_xlfn.IFNA(MATCH(BE294,Achievements[[#All],[Column111]],0)+10,"")</f>
        <v/>
      </c>
      <c r="CF294" s="134" t="str">
        <f>_xlfn.IFNA(MATCH(BF294,Achievements[[#All],[Column111]],0)+10,"")</f>
        <v/>
      </c>
      <c r="CG294" s="134" t="str">
        <f>_xlfn.IFNA(MATCH(BG294,Achievements[[#All],[Column112]],0)+10,"")</f>
        <v/>
      </c>
      <c r="CH294" s="134" t="str">
        <f>_xlfn.IFNA(MATCH(BH294,Achievements[[#All],[Column112]],0)+10,"")</f>
        <v/>
      </c>
      <c r="CI294" s="134" t="str">
        <f>_xlfn.IFNA(MATCH(BI294,Achievements[[#All],[Column113]],0)+10,"")</f>
        <v/>
      </c>
      <c r="CJ294" s="134" t="str">
        <f>_xlfn.IFNA(MATCH(BJ294,Achievements[[#All],[Column113]],0)+10,"")</f>
        <v/>
      </c>
      <c r="CK294" s="134" t="str">
        <f>_xlfn.IFNA(MATCH(BK294,Achievements[[#All],[Column114]],0)+10,"")</f>
        <v/>
      </c>
      <c r="CL294" s="134" t="str">
        <f>_xlfn.IFNA(MATCH(BL294,Achievements[[#All],[Column114]],0)+10,"")</f>
        <v/>
      </c>
      <c r="CM294" s="134" t="str">
        <f>_xlfn.IFNA(MATCH(BM294,Achievements[[#All],[Column115]],0)+10,"")</f>
        <v/>
      </c>
      <c r="CN294" s="134" t="str">
        <f>_xlfn.IFNA(MATCH(BN294,Achievements[[#All],[Column115]],0)+10,"")</f>
        <v/>
      </c>
      <c r="CO294" s="134" t="str">
        <f>_xlfn.IFNA(MATCH(BO294,Achievements[[#All],[Column116]],0)+10,"")</f>
        <v/>
      </c>
      <c r="CP294" s="134" t="str">
        <f>_xlfn.IFNA(MATCH(BP294,Achievements[[#All],[Column116]],0)+10,"")</f>
        <v/>
      </c>
      <c r="CQ294" s="134" t="str">
        <f>_xlfn.IFNA(MATCH(BQ294,Achievements[[#All],[Column117]],0)+10,"")</f>
        <v/>
      </c>
      <c r="CR294" s="134" t="str">
        <f>_xlfn.IFNA(MATCH(BR294,Achievements[[#All],[Column117]],0)+10,"")</f>
        <v/>
      </c>
      <c r="CS294" s="134" t="str">
        <f>_xlfn.IFNA(MATCH(BS294,Achievements[[#All],[Column118]],0)+10,"")</f>
        <v/>
      </c>
      <c r="CT294" s="134" t="str">
        <f>_xlfn.IFNA(MATCH(BT294,Achievements[[#All],[Column118]],0)+10,"")</f>
        <v/>
      </c>
      <c r="CU294" s="134" t="str">
        <f>_xlfn.IFNA(MATCH(BU294,Achievements[[#All],[Column119]],0)+10,"")</f>
        <v/>
      </c>
      <c r="CV294" s="134" t="str">
        <f>_xlfn.IFNA(MATCH(BV294,Achievements[[#All],[Column119]],0)+10,"")</f>
        <v/>
      </c>
      <c r="CW294" s="134" t="str">
        <f>_xlfn.IFNA(MATCH(BW294,Achievements[[#All],[Column120]],0)+10,"")</f>
        <v/>
      </c>
      <c r="CX294" s="134" t="str">
        <f>_xlfn.IFNA(MATCH(BX294,Achievements[[#All],[Column120]],0)+10,"")</f>
        <v/>
      </c>
      <c r="CY294" s="134" t="str">
        <f>_xlfn.IFNA(MATCH(BY294,Achievements[[#All],[Column121]],0)+10,"")</f>
        <v/>
      </c>
      <c r="CZ294" s="118" t="e">
        <f t="shared" ca="1" si="9"/>
        <v>#NAME?</v>
      </c>
    </row>
    <row r="295" spans="1:104" x14ac:dyDescent="0.25">
      <c r="A295" t="e" cm="1">
        <f t="array" aca="1" ref="A295" ca="1">SplitValues("; ",#REF!)</f>
        <v>#NAME?</v>
      </c>
      <c r="AA295" t="e">
        <f ca="1">_xlfn.IFNA(MATCH(A295,Achievements[[#All],[Column1]],0)+11,"")</f>
        <v>#NAME?</v>
      </c>
      <c r="AB295" s="134" t="str">
        <f>_xlfn.IFNA(MATCH(B295,Achievements[[#All],[Column1]],0)+10,"")</f>
        <v/>
      </c>
      <c r="AC295" s="134" t="str">
        <f>_xlfn.IFNA(MATCH(C295,Achievements[[#All],[Column1]],0)+10,"")</f>
        <v/>
      </c>
      <c r="AD295" s="134" t="str">
        <f>_xlfn.IFNA(MATCH(D295,Achievements[[#All],[Column110]],0)+10,"")</f>
        <v/>
      </c>
      <c r="AE295" s="134" t="str">
        <f>_xlfn.IFNA(MATCH(E295,Achievements[[#All],[Column110]],0)+10,"")</f>
        <v/>
      </c>
      <c r="AF295" s="134" t="str">
        <f>_xlfn.IFNA(MATCH(F295,Achievements[[#All],[Column111]],0)+10,"")</f>
        <v/>
      </c>
      <c r="AG295" s="134" t="str">
        <f>_xlfn.IFNA(MATCH(G295,Achievements[[#All],[Column111]],0)+10,"")</f>
        <v/>
      </c>
      <c r="AH295" s="134" t="str">
        <f>_xlfn.IFNA(MATCH(H295,Achievements[[#All],[Column112]],0)+10,"")</f>
        <v/>
      </c>
      <c r="AI295" s="134" t="str">
        <f>_xlfn.IFNA(MATCH(I295,Achievements[[#All],[Column112]],0)+10,"")</f>
        <v/>
      </c>
      <c r="AJ295" s="134" t="str">
        <f>_xlfn.IFNA(MATCH(J295,Achievements[[#All],[Column113]],0)+10,"")</f>
        <v/>
      </c>
      <c r="AK295" s="134" t="str">
        <f>_xlfn.IFNA(MATCH(K295,Achievements[[#All],[Column113]],0)+10,"")</f>
        <v/>
      </c>
      <c r="AL295" s="134" t="str">
        <f>_xlfn.IFNA(MATCH(L295,Achievements[[#All],[Column114]],0)+10,"")</f>
        <v/>
      </c>
      <c r="AM295" s="134" t="str">
        <f>_xlfn.IFNA(MATCH(M295,Achievements[[#All],[Column114]],0)+10,"")</f>
        <v/>
      </c>
      <c r="AN295" s="134" t="str">
        <f>_xlfn.IFNA(MATCH(N295,Achievements[[#All],[Column115]],0)+10,"")</f>
        <v/>
      </c>
      <c r="AO295" s="134" t="str">
        <f>_xlfn.IFNA(MATCH(O295,Achievements[[#All],[Column115]],0)+10,"")</f>
        <v/>
      </c>
      <c r="AP295" s="134" t="str">
        <f>_xlfn.IFNA(MATCH(P295,Achievements[[#All],[Column116]],0)+10,"")</f>
        <v/>
      </c>
      <c r="AQ295" s="134" t="str">
        <f>_xlfn.IFNA(MATCH(Q295,Achievements[[#All],[Column116]],0)+10,"")</f>
        <v/>
      </c>
      <c r="AR295" s="134" t="str">
        <f>_xlfn.IFNA(MATCH(R295,Achievements[[#All],[Column117]],0)+10,"")</f>
        <v/>
      </c>
      <c r="AS295" s="134" t="str">
        <f>_xlfn.IFNA(MATCH(S295,Achievements[[#All],[Column117]],0)+10,"")</f>
        <v/>
      </c>
      <c r="AT295" s="134" t="str">
        <f>_xlfn.IFNA(MATCH(T295,Achievements[[#All],[Column118]],0)+10,"")</f>
        <v/>
      </c>
      <c r="AU295" s="134" t="str">
        <f>_xlfn.IFNA(MATCH(U295,Achievements[[#All],[Column118]],0)+10,"")</f>
        <v/>
      </c>
      <c r="AV295" s="134" t="str">
        <f>_xlfn.IFNA(MATCH(V295,Achievements[[#All],[Column119]],0)+10,"")</f>
        <v/>
      </c>
      <c r="AW295" s="134" t="str">
        <f>_xlfn.IFNA(MATCH(W295,Achievements[[#All],[Column119]],0)+10,"")</f>
        <v/>
      </c>
      <c r="AX295" s="134" t="str">
        <f>_xlfn.IFNA(MATCH(X295,Achievements[[#All],[Column120]],0)+10,"")</f>
        <v/>
      </c>
      <c r="AY295" s="134" t="str">
        <f>_xlfn.IFNA(MATCH(Y295,Achievements[[#All],[Column120]],0)+10,"")</f>
        <v/>
      </c>
      <c r="AZ295" s="116" t="e">
        <f t="shared" ca="1" si="8"/>
        <v>#NAME?</v>
      </c>
      <c r="BA295" s="134" t="e" cm="1">
        <f t="array" aca="1" ref="BA295" ca="1">SplitValues("; ",Persons[[#This Row],[Column1]])</f>
        <v>#NAME?</v>
      </c>
      <c r="CA295" s="134" t="e">
        <f ca="1">_xlfn.IFNA(MATCH(BA295,Achievements[[#All],[Column1]],0)+10,"")</f>
        <v>#NAME?</v>
      </c>
      <c r="CB295" s="134" t="str">
        <f>_xlfn.IFNA(MATCH(BB295,Achievements[[#All],[Column1]],0)+10,"")</f>
        <v/>
      </c>
      <c r="CC295" s="134" t="str">
        <f>_xlfn.IFNA(MATCH(BC295,Achievements[[#All],[Column110]],0)+10,"")</f>
        <v/>
      </c>
      <c r="CD295" s="134" t="str">
        <f>_xlfn.IFNA(MATCH(BD295,Achievements[[#All],[Column110]],0)+10,"")</f>
        <v/>
      </c>
      <c r="CE295" s="134" t="str">
        <f>_xlfn.IFNA(MATCH(BE295,Achievements[[#All],[Column111]],0)+10,"")</f>
        <v/>
      </c>
      <c r="CF295" s="134" t="str">
        <f>_xlfn.IFNA(MATCH(BF295,Achievements[[#All],[Column111]],0)+10,"")</f>
        <v/>
      </c>
      <c r="CG295" s="134" t="str">
        <f>_xlfn.IFNA(MATCH(BG295,Achievements[[#All],[Column112]],0)+10,"")</f>
        <v/>
      </c>
      <c r="CH295" s="134" t="str">
        <f>_xlfn.IFNA(MATCH(BH295,Achievements[[#All],[Column112]],0)+10,"")</f>
        <v/>
      </c>
      <c r="CI295" s="134" t="str">
        <f>_xlfn.IFNA(MATCH(BI295,Achievements[[#All],[Column113]],0)+10,"")</f>
        <v/>
      </c>
      <c r="CJ295" s="134" t="str">
        <f>_xlfn.IFNA(MATCH(BJ295,Achievements[[#All],[Column113]],0)+10,"")</f>
        <v/>
      </c>
      <c r="CK295" s="134" t="str">
        <f>_xlfn.IFNA(MATCH(BK295,Achievements[[#All],[Column114]],0)+10,"")</f>
        <v/>
      </c>
      <c r="CL295" s="134" t="str">
        <f>_xlfn.IFNA(MATCH(BL295,Achievements[[#All],[Column114]],0)+10,"")</f>
        <v/>
      </c>
      <c r="CM295" s="134" t="str">
        <f>_xlfn.IFNA(MATCH(BM295,Achievements[[#All],[Column115]],0)+10,"")</f>
        <v/>
      </c>
      <c r="CN295" s="134" t="str">
        <f>_xlfn.IFNA(MATCH(BN295,Achievements[[#All],[Column115]],0)+10,"")</f>
        <v/>
      </c>
      <c r="CO295" s="134" t="str">
        <f>_xlfn.IFNA(MATCH(BO295,Achievements[[#All],[Column116]],0)+10,"")</f>
        <v/>
      </c>
      <c r="CP295" s="134" t="str">
        <f>_xlfn.IFNA(MATCH(BP295,Achievements[[#All],[Column116]],0)+10,"")</f>
        <v/>
      </c>
      <c r="CQ295" s="134" t="str">
        <f>_xlfn.IFNA(MATCH(BQ295,Achievements[[#All],[Column117]],0)+10,"")</f>
        <v/>
      </c>
      <c r="CR295" s="134" t="str">
        <f>_xlfn.IFNA(MATCH(BR295,Achievements[[#All],[Column117]],0)+10,"")</f>
        <v/>
      </c>
      <c r="CS295" s="134" t="str">
        <f>_xlfn.IFNA(MATCH(BS295,Achievements[[#All],[Column118]],0)+10,"")</f>
        <v/>
      </c>
      <c r="CT295" s="134" t="str">
        <f>_xlfn.IFNA(MATCH(BT295,Achievements[[#All],[Column118]],0)+10,"")</f>
        <v/>
      </c>
      <c r="CU295" s="134" t="str">
        <f>_xlfn.IFNA(MATCH(BU295,Achievements[[#All],[Column119]],0)+10,"")</f>
        <v/>
      </c>
      <c r="CV295" s="134" t="str">
        <f>_xlfn.IFNA(MATCH(BV295,Achievements[[#All],[Column119]],0)+10,"")</f>
        <v/>
      </c>
      <c r="CW295" s="134" t="str">
        <f>_xlfn.IFNA(MATCH(BW295,Achievements[[#All],[Column120]],0)+10,"")</f>
        <v/>
      </c>
      <c r="CX295" s="134" t="str">
        <f>_xlfn.IFNA(MATCH(BX295,Achievements[[#All],[Column120]],0)+10,"")</f>
        <v/>
      </c>
      <c r="CY295" s="134" t="str">
        <f>_xlfn.IFNA(MATCH(BY295,Achievements[[#All],[Column121]],0)+10,"")</f>
        <v/>
      </c>
      <c r="CZ295" s="118" t="e">
        <f t="shared" ca="1" si="9"/>
        <v>#NAME?</v>
      </c>
    </row>
    <row r="296" spans="1:104" x14ac:dyDescent="0.25">
      <c r="A296" t="e" cm="1">
        <f t="array" aca="1" ref="A296" ca="1">SplitValues("; ",#REF!)</f>
        <v>#NAME?</v>
      </c>
      <c r="AA296" t="e">
        <f ca="1">_xlfn.IFNA(MATCH(A296,Achievements[[#All],[Column1]],0)+11,"")</f>
        <v>#NAME?</v>
      </c>
      <c r="AB296" s="134" t="str">
        <f>_xlfn.IFNA(MATCH(B296,Achievements[[#All],[Column1]],0)+10,"")</f>
        <v/>
      </c>
      <c r="AC296" s="134" t="str">
        <f>_xlfn.IFNA(MATCH(C296,Achievements[[#All],[Column1]],0)+10,"")</f>
        <v/>
      </c>
      <c r="AD296" s="134" t="str">
        <f>_xlfn.IFNA(MATCH(D296,Achievements[[#All],[Column110]],0)+10,"")</f>
        <v/>
      </c>
      <c r="AE296" s="134" t="str">
        <f>_xlfn.IFNA(MATCH(E296,Achievements[[#All],[Column110]],0)+10,"")</f>
        <v/>
      </c>
      <c r="AF296" s="134" t="str">
        <f>_xlfn.IFNA(MATCH(F296,Achievements[[#All],[Column111]],0)+10,"")</f>
        <v/>
      </c>
      <c r="AG296" s="134" t="str">
        <f>_xlfn.IFNA(MATCH(G296,Achievements[[#All],[Column111]],0)+10,"")</f>
        <v/>
      </c>
      <c r="AH296" s="134" t="str">
        <f>_xlfn.IFNA(MATCH(H296,Achievements[[#All],[Column112]],0)+10,"")</f>
        <v/>
      </c>
      <c r="AI296" s="134" t="str">
        <f>_xlfn.IFNA(MATCH(I296,Achievements[[#All],[Column112]],0)+10,"")</f>
        <v/>
      </c>
      <c r="AJ296" s="134" t="str">
        <f>_xlfn.IFNA(MATCH(J296,Achievements[[#All],[Column113]],0)+10,"")</f>
        <v/>
      </c>
      <c r="AK296" s="134" t="str">
        <f>_xlfn.IFNA(MATCH(K296,Achievements[[#All],[Column113]],0)+10,"")</f>
        <v/>
      </c>
      <c r="AL296" s="134" t="str">
        <f>_xlfn.IFNA(MATCH(L296,Achievements[[#All],[Column114]],0)+10,"")</f>
        <v/>
      </c>
      <c r="AM296" s="134" t="str">
        <f>_xlfn.IFNA(MATCH(M296,Achievements[[#All],[Column114]],0)+10,"")</f>
        <v/>
      </c>
      <c r="AN296" s="134" t="str">
        <f>_xlfn.IFNA(MATCH(N296,Achievements[[#All],[Column115]],0)+10,"")</f>
        <v/>
      </c>
      <c r="AO296" s="134" t="str">
        <f>_xlfn.IFNA(MATCH(O296,Achievements[[#All],[Column115]],0)+10,"")</f>
        <v/>
      </c>
      <c r="AP296" s="134" t="str">
        <f>_xlfn.IFNA(MATCH(P296,Achievements[[#All],[Column116]],0)+10,"")</f>
        <v/>
      </c>
      <c r="AQ296" s="134" t="str">
        <f>_xlfn.IFNA(MATCH(Q296,Achievements[[#All],[Column116]],0)+10,"")</f>
        <v/>
      </c>
      <c r="AR296" s="134" t="str">
        <f>_xlfn.IFNA(MATCH(R296,Achievements[[#All],[Column117]],0)+10,"")</f>
        <v/>
      </c>
      <c r="AS296" s="134" t="str">
        <f>_xlfn.IFNA(MATCH(S296,Achievements[[#All],[Column117]],0)+10,"")</f>
        <v/>
      </c>
      <c r="AT296" s="134" t="str">
        <f>_xlfn.IFNA(MATCH(T296,Achievements[[#All],[Column118]],0)+10,"")</f>
        <v/>
      </c>
      <c r="AU296" s="134" t="str">
        <f>_xlfn.IFNA(MATCH(U296,Achievements[[#All],[Column118]],0)+10,"")</f>
        <v/>
      </c>
      <c r="AV296" s="134" t="str">
        <f>_xlfn.IFNA(MATCH(V296,Achievements[[#All],[Column119]],0)+10,"")</f>
        <v/>
      </c>
      <c r="AW296" s="134" t="str">
        <f>_xlfn.IFNA(MATCH(W296,Achievements[[#All],[Column119]],0)+10,"")</f>
        <v/>
      </c>
      <c r="AX296" s="134" t="str">
        <f>_xlfn.IFNA(MATCH(X296,Achievements[[#All],[Column120]],0)+10,"")</f>
        <v/>
      </c>
      <c r="AY296" s="134" t="str">
        <f>_xlfn.IFNA(MATCH(Y296,Achievements[[#All],[Column120]],0)+10,"")</f>
        <v/>
      </c>
      <c r="AZ296" s="116" t="e">
        <f t="shared" ca="1" si="8"/>
        <v>#NAME?</v>
      </c>
      <c r="BA296" s="134" t="e" cm="1">
        <f t="array" aca="1" ref="BA296" ca="1">SplitValues("; ",Persons[[#This Row],[Column1]])</f>
        <v>#NAME?</v>
      </c>
      <c r="CA296" s="134" t="e">
        <f ca="1">_xlfn.IFNA(MATCH(BA296,Achievements[[#All],[Column1]],0)+10,"")</f>
        <v>#NAME?</v>
      </c>
      <c r="CB296" s="134" t="str">
        <f>_xlfn.IFNA(MATCH(BB296,Achievements[[#All],[Column1]],0)+10,"")</f>
        <v/>
      </c>
      <c r="CC296" s="134" t="str">
        <f>_xlfn.IFNA(MATCH(BC296,Achievements[[#All],[Column110]],0)+10,"")</f>
        <v/>
      </c>
      <c r="CD296" s="134" t="str">
        <f>_xlfn.IFNA(MATCH(BD296,Achievements[[#All],[Column110]],0)+10,"")</f>
        <v/>
      </c>
      <c r="CE296" s="134" t="str">
        <f>_xlfn.IFNA(MATCH(BE296,Achievements[[#All],[Column111]],0)+10,"")</f>
        <v/>
      </c>
      <c r="CF296" s="134" t="str">
        <f>_xlfn.IFNA(MATCH(BF296,Achievements[[#All],[Column111]],0)+10,"")</f>
        <v/>
      </c>
      <c r="CG296" s="134" t="str">
        <f>_xlfn.IFNA(MATCH(BG296,Achievements[[#All],[Column112]],0)+10,"")</f>
        <v/>
      </c>
      <c r="CH296" s="134" t="str">
        <f>_xlfn.IFNA(MATCH(BH296,Achievements[[#All],[Column112]],0)+10,"")</f>
        <v/>
      </c>
      <c r="CI296" s="134" t="str">
        <f>_xlfn.IFNA(MATCH(BI296,Achievements[[#All],[Column113]],0)+10,"")</f>
        <v/>
      </c>
      <c r="CJ296" s="134" t="str">
        <f>_xlfn.IFNA(MATCH(BJ296,Achievements[[#All],[Column113]],0)+10,"")</f>
        <v/>
      </c>
      <c r="CK296" s="134" t="str">
        <f>_xlfn.IFNA(MATCH(BK296,Achievements[[#All],[Column114]],0)+10,"")</f>
        <v/>
      </c>
      <c r="CL296" s="134" t="str">
        <f>_xlfn.IFNA(MATCH(BL296,Achievements[[#All],[Column114]],0)+10,"")</f>
        <v/>
      </c>
      <c r="CM296" s="134" t="str">
        <f>_xlfn.IFNA(MATCH(BM296,Achievements[[#All],[Column115]],0)+10,"")</f>
        <v/>
      </c>
      <c r="CN296" s="134" t="str">
        <f>_xlfn.IFNA(MATCH(BN296,Achievements[[#All],[Column115]],0)+10,"")</f>
        <v/>
      </c>
      <c r="CO296" s="134" t="str">
        <f>_xlfn.IFNA(MATCH(BO296,Achievements[[#All],[Column116]],0)+10,"")</f>
        <v/>
      </c>
      <c r="CP296" s="134" t="str">
        <f>_xlfn.IFNA(MATCH(BP296,Achievements[[#All],[Column116]],0)+10,"")</f>
        <v/>
      </c>
      <c r="CQ296" s="134" t="str">
        <f>_xlfn.IFNA(MATCH(BQ296,Achievements[[#All],[Column117]],0)+10,"")</f>
        <v/>
      </c>
      <c r="CR296" s="134" t="str">
        <f>_xlfn.IFNA(MATCH(BR296,Achievements[[#All],[Column117]],0)+10,"")</f>
        <v/>
      </c>
      <c r="CS296" s="134" t="str">
        <f>_xlfn.IFNA(MATCH(BS296,Achievements[[#All],[Column118]],0)+10,"")</f>
        <v/>
      </c>
      <c r="CT296" s="134" t="str">
        <f>_xlfn.IFNA(MATCH(BT296,Achievements[[#All],[Column118]],0)+10,"")</f>
        <v/>
      </c>
      <c r="CU296" s="134" t="str">
        <f>_xlfn.IFNA(MATCH(BU296,Achievements[[#All],[Column119]],0)+10,"")</f>
        <v/>
      </c>
      <c r="CV296" s="134" t="str">
        <f>_xlfn.IFNA(MATCH(BV296,Achievements[[#All],[Column119]],0)+10,"")</f>
        <v/>
      </c>
      <c r="CW296" s="134" t="str">
        <f>_xlfn.IFNA(MATCH(BW296,Achievements[[#All],[Column120]],0)+10,"")</f>
        <v/>
      </c>
      <c r="CX296" s="134" t="str">
        <f>_xlfn.IFNA(MATCH(BX296,Achievements[[#All],[Column120]],0)+10,"")</f>
        <v/>
      </c>
      <c r="CY296" s="134" t="str">
        <f>_xlfn.IFNA(MATCH(BY296,Achievements[[#All],[Column121]],0)+10,"")</f>
        <v/>
      </c>
      <c r="CZ296" s="118" t="e">
        <f t="shared" ca="1" si="9"/>
        <v>#NAME?</v>
      </c>
    </row>
    <row r="297" spans="1:104" x14ac:dyDescent="0.25">
      <c r="A297" t="e" cm="1">
        <f t="array" aca="1" ref="A297" ca="1">SplitValues("; ",#REF!)</f>
        <v>#NAME?</v>
      </c>
      <c r="AA297" t="e">
        <f ca="1">_xlfn.IFNA(MATCH(A297,Achievements[[#All],[Column1]],0)+11,"")</f>
        <v>#NAME?</v>
      </c>
      <c r="AB297" s="134" t="str">
        <f>_xlfn.IFNA(MATCH(B297,Achievements[[#All],[Column1]],0)+10,"")</f>
        <v/>
      </c>
      <c r="AC297" s="134" t="str">
        <f>_xlfn.IFNA(MATCH(C297,Achievements[[#All],[Column1]],0)+10,"")</f>
        <v/>
      </c>
      <c r="AD297" s="134" t="str">
        <f>_xlfn.IFNA(MATCH(D297,Achievements[[#All],[Column110]],0)+10,"")</f>
        <v/>
      </c>
      <c r="AE297" s="134" t="str">
        <f>_xlfn.IFNA(MATCH(E297,Achievements[[#All],[Column110]],0)+10,"")</f>
        <v/>
      </c>
      <c r="AF297" s="134" t="str">
        <f>_xlfn.IFNA(MATCH(F297,Achievements[[#All],[Column111]],0)+10,"")</f>
        <v/>
      </c>
      <c r="AG297" s="134" t="str">
        <f>_xlfn.IFNA(MATCH(G297,Achievements[[#All],[Column111]],0)+10,"")</f>
        <v/>
      </c>
      <c r="AH297" s="134" t="str">
        <f>_xlfn.IFNA(MATCH(H297,Achievements[[#All],[Column112]],0)+10,"")</f>
        <v/>
      </c>
      <c r="AI297" s="134" t="str">
        <f>_xlfn.IFNA(MATCH(I297,Achievements[[#All],[Column112]],0)+10,"")</f>
        <v/>
      </c>
      <c r="AJ297" s="134" t="str">
        <f>_xlfn.IFNA(MATCH(J297,Achievements[[#All],[Column113]],0)+10,"")</f>
        <v/>
      </c>
      <c r="AK297" s="134" t="str">
        <f>_xlfn.IFNA(MATCH(K297,Achievements[[#All],[Column113]],0)+10,"")</f>
        <v/>
      </c>
      <c r="AL297" s="134" t="str">
        <f>_xlfn.IFNA(MATCH(L297,Achievements[[#All],[Column114]],0)+10,"")</f>
        <v/>
      </c>
      <c r="AM297" s="134" t="str">
        <f>_xlfn.IFNA(MATCH(M297,Achievements[[#All],[Column114]],0)+10,"")</f>
        <v/>
      </c>
      <c r="AN297" s="134" t="str">
        <f>_xlfn.IFNA(MATCH(N297,Achievements[[#All],[Column115]],0)+10,"")</f>
        <v/>
      </c>
      <c r="AO297" s="134" t="str">
        <f>_xlfn.IFNA(MATCH(O297,Achievements[[#All],[Column115]],0)+10,"")</f>
        <v/>
      </c>
      <c r="AP297" s="134" t="str">
        <f>_xlfn.IFNA(MATCH(P297,Achievements[[#All],[Column116]],0)+10,"")</f>
        <v/>
      </c>
      <c r="AQ297" s="134" t="str">
        <f>_xlfn.IFNA(MATCH(Q297,Achievements[[#All],[Column116]],0)+10,"")</f>
        <v/>
      </c>
      <c r="AR297" s="134" t="str">
        <f>_xlfn.IFNA(MATCH(R297,Achievements[[#All],[Column117]],0)+10,"")</f>
        <v/>
      </c>
      <c r="AS297" s="134" t="str">
        <f>_xlfn.IFNA(MATCH(S297,Achievements[[#All],[Column117]],0)+10,"")</f>
        <v/>
      </c>
      <c r="AT297" s="134" t="str">
        <f>_xlfn.IFNA(MATCH(T297,Achievements[[#All],[Column118]],0)+10,"")</f>
        <v/>
      </c>
      <c r="AU297" s="134" t="str">
        <f>_xlfn.IFNA(MATCH(U297,Achievements[[#All],[Column118]],0)+10,"")</f>
        <v/>
      </c>
      <c r="AV297" s="134" t="str">
        <f>_xlfn.IFNA(MATCH(V297,Achievements[[#All],[Column119]],0)+10,"")</f>
        <v/>
      </c>
      <c r="AW297" s="134" t="str">
        <f>_xlfn.IFNA(MATCH(W297,Achievements[[#All],[Column119]],0)+10,"")</f>
        <v/>
      </c>
      <c r="AX297" s="134" t="str">
        <f>_xlfn.IFNA(MATCH(X297,Achievements[[#All],[Column120]],0)+10,"")</f>
        <v/>
      </c>
      <c r="AY297" s="134" t="str">
        <f>_xlfn.IFNA(MATCH(Y297,Achievements[[#All],[Column120]],0)+10,"")</f>
        <v/>
      </c>
      <c r="AZ297" s="116" t="e">
        <f t="shared" ca="1" si="8"/>
        <v>#NAME?</v>
      </c>
      <c r="BA297" s="134" t="e" cm="1">
        <f t="array" aca="1" ref="BA297" ca="1">SplitValues("; ",Persons[[#This Row],[Column1]])</f>
        <v>#NAME?</v>
      </c>
      <c r="CA297" s="134" t="e">
        <f ca="1">_xlfn.IFNA(MATCH(BA297,Achievements[[#All],[Column1]],0)+10,"")</f>
        <v>#NAME?</v>
      </c>
      <c r="CB297" s="134" t="str">
        <f>_xlfn.IFNA(MATCH(BB297,Achievements[[#All],[Column1]],0)+10,"")</f>
        <v/>
      </c>
      <c r="CC297" s="134" t="str">
        <f>_xlfn.IFNA(MATCH(BC297,Achievements[[#All],[Column110]],0)+10,"")</f>
        <v/>
      </c>
      <c r="CD297" s="134" t="str">
        <f>_xlfn.IFNA(MATCH(BD297,Achievements[[#All],[Column110]],0)+10,"")</f>
        <v/>
      </c>
      <c r="CE297" s="134" t="str">
        <f>_xlfn.IFNA(MATCH(BE297,Achievements[[#All],[Column111]],0)+10,"")</f>
        <v/>
      </c>
      <c r="CF297" s="134" t="str">
        <f>_xlfn.IFNA(MATCH(BF297,Achievements[[#All],[Column111]],0)+10,"")</f>
        <v/>
      </c>
      <c r="CG297" s="134" t="str">
        <f>_xlfn.IFNA(MATCH(BG297,Achievements[[#All],[Column112]],0)+10,"")</f>
        <v/>
      </c>
      <c r="CH297" s="134" t="str">
        <f>_xlfn.IFNA(MATCH(BH297,Achievements[[#All],[Column112]],0)+10,"")</f>
        <v/>
      </c>
      <c r="CI297" s="134" t="str">
        <f>_xlfn.IFNA(MATCH(BI297,Achievements[[#All],[Column113]],0)+10,"")</f>
        <v/>
      </c>
      <c r="CJ297" s="134" t="str">
        <f>_xlfn.IFNA(MATCH(BJ297,Achievements[[#All],[Column113]],0)+10,"")</f>
        <v/>
      </c>
      <c r="CK297" s="134" t="str">
        <f>_xlfn.IFNA(MATCH(BK297,Achievements[[#All],[Column114]],0)+10,"")</f>
        <v/>
      </c>
      <c r="CL297" s="134" t="str">
        <f>_xlfn.IFNA(MATCH(BL297,Achievements[[#All],[Column114]],0)+10,"")</f>
        <v/>
      </c>
      <c r="CM297" s="134" t="str">
        <f>_xlfn.IFNA(MATCH(BM297,Achievements[[#All],[Column115]],0)+10,"")</f>
        <v/>
      </c>
      <c r="CN297" s="134" t="str">
        <f>_xlfn.IFNA(MATCH(BN297,Achievements[[#All],[Column115]],0)+10,"")</f>
        <v/>
      </c>
      <c r="CO297" s="134" t="str">
        <f>_xlfn.IFNA(MATCH(BO297,Achievements[[#All],[Column116]],0)+10,"")</f>
        <v/>
      </c>
      <c r="CP297" s="134" t="str">
        <f>_xlfn.IFNA(MATCH(BP297,Achievements[[#All],[Column116]],0)+10,"")</f>
        <v/>
      </c>
      <c r="CQ297" s="134" t="str">
        <f>_xlfn.IFNA(MATCH(BQ297,Achievements[[#All],[Column117]],0)+10,"")</f>
        <v/>
      </c>
      <c r="CR297" s="134" t="str">
        <f>_xlfn.IFNA(MATCH(BR297,Achievements[[#All],[Column117]],0)+10,"")</f>
        <v/>
      </c>
      <c r="CS297" s="134" t="str">
        <f>_xlfn.IFNA(MATCH(BS297,Achievements[[#All],[Column118]],0)+10,"")</f>
        <v/>
      </c>
      <c r="CT297" s="134" t="str">
        <f>_xlfn.IFNA(MATCH(BT297,Achievements[[#All],[Column118]],0)+10,"")</f>
        <v/>
      </c>
      <c r="CU297" s="134" t="str">
        <f>_xlfn.IFNA(MATCH(BU297,Achievements[[#All],[Column119]],0)+10,"")</f>
        <v/>
      </c>
      <c r="CV297" s="134" t="str">
        <f>_xlfn.IFNA(MATCH(BV297,Achievements[[#All],[Column119]],0)+10,"")</f>
        <v/>
      </c>
      <c r="CW297" s="134" t="str">
        <f>_xlfn.IFNA(MATCH(BW297,Achievements[[#All],[Column120]],0)+10,"")</f>
        <v/>
      </c>
      <c r="CX297" s="134" t="str">
        <f>_xlfn.IFNA(MATCH(BX297,Achievements[[#All],[Column120]],0)+10,"")</f>
        <v/>
      </c>
      <c r="CY297" s="134" t="str">
        <f>_xlfn.IFNA(MATCH(BY297,Achievements[[#All],[Column121]],0)+10,"")</f>
        <v/>
      </c>
      <c r="CZ297" s="118" t="e">
        <f t="shared" ca="1" si="9"/>
        <v>#NAME?</v>
      </c>
    </row>
    <row r="298" spans="1:104" x14ac:dyDescent="0.25">
      <c r="A298" t="e" cm="1">
        <f t="array" aca="1" ref="A298" ca="1">SplitValues("; ",#REF!)</f>
        <v>#NAME?</v>
      </c>
      <c r="AA298" t="e">
        <f ca="1">_xlfn.IFNA(MATCH(A298,Achievements[[#All],[Column1]],0)+11,"")</f>
        <v>#NAME?</v>
      </c>
      <c r="AB298" s="134" t="str">
        <f>_xlfn.IFNA(MATCH(B298,Achievements[[#All],[Column1]],0)+10,"")</f>
        <v/>
      </c>
      <c r="AC298" s="134" t="str">
        <f>_xlfn.IFNA(MATCH(C298,Achievements[[#All],[Column1]],0)+10,"")</f>
        <v/>
      </c>
      <c r="AD298" s="134" t="str">
        <f>_xlfn.IFNA(MATCH(D298,Achievements[[#All],[Column110]],0)+10,"")</f>
        <v/>
      </c>
      <c r="AE298" s="134" t="str">
        <f>_xlfn.IFNA(MATCH(E298,Achievements[[#All],[Column110]],0)+10,"")</f>
        <v/>
      </c>
      <c r="AF298" s="134" t="str">
        <f>_xlfn.IFNA(MATCH(F298,Achievements[[#All],[Column111]],0)+10,"")</f>
        <v/>
      </c>
      <c r="AG298" s="134" t="str">
        <f>_xlfn.IFNA(MATCH(G298,Achievements[[#All],[Column111]],0)+10,"")</f>
        <v/>
      </c>
      <c r="AH298" s="134" t="str">
        <f>_xlfn.IFNA(MATCH(H298,Achievements[[#All],[Column112]],0)+10,"")</f>
        <v/>
      </c>
      <c r="AI298" s="134" t="str">
        <f>_xlfn.IFNA(MATCH(I298,Achievements[[#All],[Column112]],0)+10,"")</f>
        <v/>
      </c>
      <c r="AJ298" s="134" t="str">
        <f>_xlfn.IFNA(MATCH(J298,Achievements[[#All],[Column113]],0)+10,"")</f>
        <v/>
      </c>
      <c r="AK298" s="134" t="str">
        <f>_xlfn.IFNA(MATCH(K298,Achievements[[#All],[Column113]],0)+10,"")</f>
        <v/>
      </c>
      <c r="AL298" s="134" t="str">
        <f>_xlfn.IFNA(MATCH(L298,Achievements[[#All],[Column114]],0)+10,"")</f>
        <v/>
      </c>
      <c r="AM298" s="134" t="str">
        <f>_xlfn.IFNA(MATCH(M298,Achievements[[#All],[Column114]],0)+10,"")</f>
        <v/>
      </c>
      <c r="AN298" s="134" t="str">
        <f>_xlfn.IFNA(MATCH(N298,Achievements[[#All],[Column115]],0)+10,"")</f>
        <v/>
      </c>
      <c r="AO298" s="134" t="str">
        <f>_xlfn.IFNA(MATCH(O298,Achievements[[#All],[Column115]],0)+10,"")</f>
        <v/>
      </c>
      <c r="AP298" s="134" t="str">
        <f>_xlfn.IFNA(MATCH(P298,Achievements[[#All],[Column116]],0)+10,"")</f>
        <v/>
      </c>
      <c r="AQ298" s="134" t="str">
        <f>_xlfn.IFNA(MATCH(Q298,Achievements[[#All],[Column116]],0)+10,"")</f>
        <v/>
      </c>
      <c r="AR298" s="134" t="str">
        <f>_xlfn.IFNA(MATCH(R298,Achievements[[#All],[Column117]],0)+10,"")</f>
        <v/>
      </c>
      <c r="AS298" s="134" t="str">
        <f>_xlfn.IFNA(MATCH(S298,Achievements[[#All],[Column117]],0)+10,"")</f>
        <v/>
      </c>
      <c r="AT298" s="134" t="str">
        <f>_xlfn.IFNA(MATCH(T298,Achievements[[#All],[Column118]],0)+10,"")</f>
        <v/>
      </c>
      <c r="AU298" s="134" t="str">
        <f>_xlfn.IFNA(MATCH(U298,Achievements[[#All],[Column118]],0)+10,"")</f>
        <v/>
      </c>
      <c r="AV298" s="134" t="str">
        <f>_xlfn.IFNA(MATCH(V298,Achievements[[#All],[Column119]],0)+10,"")</f>
        <v/>
      </c>
      <c r="AW298" s="134" t="str">
        <f>_xlfn.IFNA(MATCH(W298,Achievements[[#All],[Column119]],0)+10,"")</f>
        <v/>
      </c>
      <c r="AX298" s="134" t="str">
        <f>_xlfn.IFNA(MATCH(X298,Achievements[[#All],[Column120]],0)+10,"")</f>
        <v/>
      </c>
      <c r="AY298" s="134" t="str">
        <f>_xlfn.IFNA(MATCH(Y298,Achievements[[#All],[Column120]],0)+10,"")</f>
        <v/>
      </c>
      <c r="AZ298" s="116" t="e">
        <f t="shared" ca="1" si="8"/>
        <v>#NAME?</v>
      </c>
      <c r="BA298" s="134" t="e" cm="1">
        <f t="array" aca="1" ref="BA298" ca="1">SplitValues("; ",Persons[[#This Row],[Column1]])</f>
        <v>#NAME?</v>
      </c>
      <c r="CA298" s="134" t="e">
        <f ca="1">_xlfn.IFNA(MATCH(BA298,Achievements[[#All],[Column1]],0)+10,"")</f>
        <v>#NAME?</v>
      </c>
      <c r="CB298" s="134" t="str">
        <f>_xlfn.IFNA(MATCH(BB298,Achievements[[#All],[Column1]],0)+10,"")</f>
        <v/>
      </c>
      <c r="CC298" s="134" t="str">
        <f>_xlfn.IFNA(MATCH(BC298,Achievements[[#All],[Column110]],0)+10,"")</f>
        <v/>
      </c>
      <c r="CD298" s="134" t="str">
        <f>_xlfn.IFNA(MATCH(BD298,Achievements[[#All],[Column110]],0)+10,"")</f>
        <v/>
      </c>
      <c r="CE298" s="134" t="str">
        <f>_xlfn.IFNA(MATCH(BE298,Achievements[[#All],[Column111]],0)+10,"")</f>
        <v/>
      </c>
      <c r="CF298" s="134" t="str">
        <f>_xlfn.IFNA(MATCH(BF298,Achievements[[#All],[Column111]],0)+10,"")</f>
        <v/>
      </c>
      <c r="CG298" s="134" t="str">
        <f>_xlfn.IFNA(MATCH(BG298,Achievements[[#All],[Column112]],0)+10,"")</f>
        <v/>
      </c>
      <c r="CH298" s="134" t="str">
        <f>_xlfn.IFNA(MATCH(BH298,Achievements[[#All],[Column112]],0)+10,"")</f>
        <v/>
      </c>
      <c r="CI298" s="134" t="str">
        <f>_xlfn.IFNA(MATCH(BI298,Achievements[[#All],[Column113]],0)+10,"")</f>
        <v/>
      </c>
      <c r="CJ298" s="134" t="str">
        <f>_xlfn.IFNA(MATCH(BJ298,Achievements[[#All],[Column113]],0)+10,"")</f>
        <v/>
      </c>
      <c r="CK298" s="134" t="str">
        <f>_xlfn.IFNA(MATCH(BK298,Achievements[[#All],[Column114]],0)+10,"")</f>
        <v/>
      </c>
      <c r="CL298" s="134" t="str">
        <f>_xlfn.IFNA(MATCH(BL298,Achievements[[#All],[Column114]],0)+10,"")</f>
        <v/>
      </c>
      <c r="CM298" s="134" t="str">
        <f>_xlfn.IFNA(MATCH(BM298,Achievements[[#All],[Column115]],0)+10,"")</f>
        <v/>
      </c>
      <c r="CN298" s="134" t="str">
        <f>_xlfn.IFNA(MATCH(BN298,Achievements[[#All],[Column115]],0)+10,"")</f>
        <v/>
      </c>
      <c r="CO298" s="134" t="str">
        <f>_xlfn.IFNA(MATCH(BO298,Achievements[[#All],[Column116]],0)+10,"")</f>
        <v/>
      </c>
      <c r="CP298" s="134" t="str">
        <f>_xlfn.IFNA(MATCH(BP298,Achievements[[#All],[Column116]],0)+10,"")</f>
        <v/>
      </c>
      <c r="CQ298" s="134" t="str">
        <f>_xlfn.IFNA(MATCH(BQ298,Achievements[[#All],[Column117]],0)+10,"")</f>
        <v/>
      </c>
      <c r="CR298" s="134" t="str">
        <f>_xlfn.IFNA(MATCH(BR298,Achievements[[#All],[Column117]],0)+10,"")</f>
        <v/>
      </c>
      <c r="CS298" s="134" t="str">
        <f>_xlfn.IFNA(MATCH(BS298,Achievements[[#All],[Column118]],0)+10,"")</f>
        <v/>
      </c>
      <c r="CT298" s="134" t="str">
        <f>_xlfn.IFNA(MATCH(BT298,Achievements[[#All],[Column118]],0)+10,"")</f>
        <v/>
      </c>
      <c r="CU298" s="134" t="str">
        <f>_xlfn.IFNA(MATCH(BU298,Achievements[[#All],[Column119]],0)+10,"")</f>
        <v/>
      </c>
      <c r="CV298" s="134" t="str">
        <f>_xlfn.IFNA(MATCH(BV298,Achievements[[#All],[Column119]],0)+10,"")</f>
        <v/>
      </c>
      <c r="CW298" s="134" t="str">
        <f>_xlfn.IFNA(MATCH(BW298,Achievements[[#All],[Column120]],0)+10,"")</f>
        <v/>
      </c>
      <c r="CX298" s="134" t="str">
        <f>_xlfn.IFNA(MATCH(BX298,Achievements[[#All],[Column120]],0)+10,"")</f>
        <v/>
      </c>
      <c r="CY298" s="134" t="str">
        <f>_xlfn.IFNA(MATCH(BY298,Achievements[[#All],[Column121]],0)+10,"")</f>
        <v/>
      </c>
      <c r="CZ298" s="118" t="e">
        <f t="shared" ca="1" si="9"/>
        <v>#NAME?</v>
      </c>
    </row>
    <row r="299" spans="1:104" x14ac:dyDescent="0.25">
      <c r="A299" t="e" cm="1">
        <f t="array" aca="1" ref="A299" ca="1">SplitValues("; ",#REF!)</f>
        <v>#NAME?</v>
      </c>
      <c r="AA299" t="e">
        <f ca="1">_xlfn.IFNA(MATCH(A299,Achievements[[#All],[Column1]],0)+11,"")</f>
        <v>#NAME?</v>
      </c>
      <c r="AB299" s="134" t="str">
        <f>_xlfn.IFNA(MATCH(B299,Achievements[[#All],[Column1]],0)+10,"")</f>
        <v/>
      </c>
      <c r="AC299" s="134" t="str">
        <f>_xlfn.IFNA(MATCH(C299,Achievements[[#All],[Column1]],0)+10,"")</f>
        <v/>
      </c>
      <c r="AD299" s="134" t="str">
        <f>_xlfn.IFNA(MATCH(D299,Achievements[[#All],[Column110]],0)+10,"")</f>
        <v/>
      </c>
      <c r="AE299" s="134" t="str">
        <f>_xlfn.IFNA(MATCH(E299,Achievements[[#All],[Column110]],0)+10,"")</f>
        <v/>
      </c>
      <c r="AF299" s="134" t="str">
        <f>_xlfn.IFNA(MATCH(F299,Achievements[[#All],[Column111]],0)+10,"")</f>
        <v/>
      </c>
      <c r="AG299" s="134" t="str">
        <f>_xlfn.IFNA(MATCH(G299,Achievements[[#All],[Column111]],0)+10,"")</f>
        <v/>
      </c>
      <c r="AH299" s="134" t="str">
        <f>_xlfn.IFNA(MATCH(H299,Achievements[[#All],[Column112]],0)+10,"")</f>
        <v/>
      </c>
      <c r="AI299" s="134" t="str">
        <f>_xlfn.IFNA(MATCH(I299,Achievements[[#All],[Column112]],0)+10,"")</f>
        <v/>
      </c>
      <c r="AJ299" s="134" t="str">
        <f>_xlfn.IFNA(MATCH(J299,Achievements[[#All],[Column113]],0)+10,"")</f>
        <v/>
      </c>
      <c r="AK299" s="134" t="str">
        <f>_xlfn.IFNA(MATCH(K299,Achievements[[#All],[Column113]],0)+10,"")</f>
        <v/>
      </c>
      <c r="AL299" s="134" t="str">
        <f>_xlfn.IFNA(MATCH(L299,Achievements[[#All],[Column114]],0)+10,"")</f>
        <v/>
      </c>
      <c r="AM299" s="134" t="str">
        <f>_xlfn.IFNA(MATCH(M299,Achievements[[#All],[Column114]],0)+10,"")</f>
        <v/>
      </c>
      <c r="AN299" s="134" t="str">
        <f>_xlfn.IFNA(MATCH(N299,Achievements[[#All],[Column115]],0)+10,"")</f>
        <v/>
      </c>
      <c r="AO299" s="134" t="str">
        <f>_xlfn.IFNA(MATCH(O299,Achievements[[#All],[Column115]],0)+10,"")</f>
        <v/>
      </c>
      <c r="AP299" s="134" t="str">
        <f>_xlfn.IFNA(MATCH(P299,Achievements[[#All],[Column116]],0)+10,"")</f>
        <v/>
      </c>
      <c r="AQ299" s="134" t="str">
        <f>_xlfn.IFNA(MATCH(Q299,Achievements[[#All],[Column116]],0)+10,"")</f>
        <v/>
      </c>
      <c r="AR299" s="134" t="str">
        <f>_xlfn.IFNA(MATCH(R299,Achievements[[#All],[Column117]],0)+10,"")</f>
        <v/>
      </c>
      <c r="AS299" s="134" t="str">
        <f>_xlfn.IFNA(MATCH(S299,Achievements[[#All],[Column117]],0)+10,"")</f>
        <v/>
      </c>
      <c r="AT299" s="134" t="str">
        <f>_xlfn.IFNA(MATCH(T299,Achievements[[#All],[Column118]],0)+10,"")</f>
        <v/>
      </c>
      <c r="AU299" s="134" t="str">
        <f>_xlfn.IFNA(MATCH(U299,Achievements[[#All],[Column118]],0)+10,"")</f>
        <v/>
      </c>
      <c r="AV299" s="134" t="str">
        <f>_xlfn.IFNA(MATCH(V299,Achievements[[#All],[Column119]],0)+10,"")</f>
        <v/>
      </c>
      <c r="AW299" s="134" t="str">
        <f>_xlfn.IFNA(MATCH(W299,Achievements[[#All],[Column119]],0)+10,"")</f>
        <v/>
      </c>
      <c r="AX299" s="134" t="str">
        <f>_xlfn.IFNA(MATCH(X299,Achievements[[#All],[Column120]],0)+10,"")</f>
        <v/>
      </c>
      <c r="AY299" s="134" t="str">
        <f>_xlfn.IFNA(MATCH(Y299,Achievements[[#All],[Column120]],0)+10,"")</f>
        <v/>
      </c>
      <c r="AZ299" s="116" t="e">
        <f t="shared" ca="1" si="8"/>
        <v>#NAME?</v>
      </c>
      <c r="BA299" s="134" t="e" cm="1">
        <f t="array" aca="1" ref="BA299" ca="1">SplitValues("; ",Persons[[#This Row],[Column1]])</f>
        <v>#NAME?</v>
      </c>
      <c r="CA299" s="134" t="e">
        <f ca="1">_xlfn.IFNA(MATCH(BA299,Achievements[[#All],[Column1]],0)+10,"")</f>
        <v>#NAME?</v>
      </c>
      <c r="CB299" s="134" t="str">
        <f>_xlfn.IFNA(MATCH(BB299,Achievements[[#All],[Column1]],0)+10,"")</f>
        <v/>
      </c>
      <c r="CC299" s="134" t="str">
        <f>_xlfn.IFNA(MATCH(BC299,Achievements[[#All],[Column110]],0)+10,"")</f>
        <v/>
      </c>
      <c r="CD299" s="134" t="str">
        <f>_xlfn.IFNA(MATCH(BD299,Achievements[[#All],[Column110]],0)+10,"")</f>
        <v/>
      </c>
      <c r="CE299" s="134" t="str">
        <f>_xlfn.IFNA(MATCH(BE299,Achievements[[#All],[Column111]],0)+10,"")</f>
        <v/>
      </c>
      <c r="CF299" s="134" t="str">
        <f>_xlfn.IFNA(MATCH(BF299,Achievements[[#All],[Column111]],0)+10,"")</f>
        <v/>
      </c>
      <c r="CG299" s="134" t="str">
        <f>_xlfn.IFNA(MATCH(BG299,Achievements[[#All],[Column112]],0)+10,"")</f>
        <v/>
      </c>
      <c r="CH299" s="134" t="str">
        <f>_xlfn.IFNA(MATCH(BH299,Achievements[[#All],[Column112]],0)+10,"")</f>
        <v/>
      </c>
      <c r="CI299" s="134" t="str">
        <f>_xlfn.IFNA(MATCH(BI299,Achievements[[#All],[Column113]],0)+10,"")</f>
        <v/>
      </c>
      <c r="CJ299" s="134" t="str">
        <f>_xlfn.IFNA(MATCH(BJ299,Achievements[[#All],[Column113]],0)+10,"")</f>
        <v/>
      </c>
      <c r="CK299" s="134" t="str">
        <f>_xlfn.IFNA(MATCH(BK299,Achievements[[#All],[Column114]],0)+10,"")</f>
        <v/>
      </c>
      <c r="CL299" s="134" t="str">
        <f>_xlfn.IFNA(MATCH(BL299,Achievements[[#All],[Column114]],0)+10,"")</f>
        <v/>
      </c>
      <c r="CM299" s="134" t="str">
        <f>_xlfn.IFNA(MATCH(BM299,Achievements[[#All],[Column115]],0)+10,"")</f>
        <v/>
      </c>
      <c r="CN299" s="134" t="str">
        <f>_xlfn.IFNA(MATCH(BN299,Achievements[[#All],[Column115]],0)+10,"")</f>
        <v/>
      </c>
      <c r="CO299" s="134" t="str">
        <f>_xlfn.IFNA(MATCH(BO299,Achievements[[#All],[Column116]],0)+10,"")</f>
        <v/>
      </c>
      <c r="CP299" s="134" t="str">
        <f>_xlfn.IFNA(MATCH(BP299,Achievements[[#All],[Column116]],0)+10,"")</f>
        <v/>
      </c>
      <c r="CQ299" s="134" t="str">
        <f>_xlfn.IFNA(MATCH(BQ299,Achievements[[#All],[Column117]],0)+10,"")</f>
        <v/>
      </c>
      <c r="CR299" s="134" t="str">
        <f>_xlfn.IFNA(MATCH(BR299,Achievements[[#All],[Column117]],0)+10,"")</f>
        <v/>
      </c>
      <c r="CS299" s="134" t="str">
        <f>_xlfn.IFNA(MATCH(BS299,Achievements[[#All],[Column118]],0)+10,"")</f>
        <v/>
      </c>
      <c r="CT299" s="134" t="str">
        <f>_xlfn.IFNA(MATCH(BT299,Achievements[[#All],[Column118]],0)+10,"")</f>
        <v/>
      </c>
      <c r="CU299" s="134" t="str">
        <f>_xlfn.IFNA(MATCH(BU299,Achievements[[#All],[Column119]],0)+10,"")</f>
        <v/>
      </c>
      <c r="CV299" s="134" t="str">
        <f>_xlfn.IFNA(MATCH(BV299,Achievements[[#All],[Column119]],0)+10,"")</f>
        <v/>
      </c>
      <c r="CW299" s="134" t="str">
        <f>_xlfn.IFNA(MATCH(BW299,Achievements[[#All],[Column120]],0)+10,"")</f>
        <v/>
      </c>
      <c r="CX299" s="134" t="str">
        <f>_xlfn.IFNA(MATCH(BX299,Achievements[[#All],[Column120]],0)+10,"")</f>
        <v/>
      </c>
      <c r="CY299" s="134" t="str">
        <f>_xlfn.IFNA(MATCH(BY299,Achievements[[#All],[Column121]],0)+10,"")</f>
        <v/>
      </c>
      <c r="CZ299" s="118" t="e">
        <f t="shared" ca="1" si="9"/>
        <v>#NAME?</v>
      </c>
    </row>
    <row r="300" spans="1:104" x14ac:dyDescent="0.25">
      <c r="A300" t="e" cm="1">
        <f t="array" aca="1" ref="A300" ca="1">SplitValues("; ",#REF!)</f>
        <v>#NAME?</v>
      </c>
      <c r="AA300" t="e">
        <f ca="1">_xlfn.IFNA(MATCH(A300,Achievements[[#All],[Column1]],0)+11,"")</f>
        <v>#NAME?</v>
      </c>
      <c r="AB300" s="134" t="str">
        <f>_xlfn.IFNA(MATCH(B300,Achievements[[#All],[Column1]],0)+10,"")</f>
        <v/>
      </c>
      <c r="AC300" s="134" t="str">
        <f>_xlfn.IFNA(MATCH(C300,Achievements[[#All],[Column1]],0)+10,"")</f>
        <v/>
      </c>
      <c r="AD300" s="134" t="str">
        <f>_xlfn.IFNA(MATCH(D300,Achievements[[#All],[Column110]],0)+10,"")</f>
        <v/>
      </c>
      <c r="AE300" s="134" t="str">
        <f>_xlfn.IFNA(MATCH(E300,Achievements[[#All],[Column110]],0)+10,"")</f>
        <v/>
      </c>
      <c r="AF300" s="134" t="str">
        <f>_xlfn.IFNA(MATCH(F300,Achievements[[#All],[Column111]],0)+10,"")</f>
        <v/>
      </c>
      <c r="AG300" s="134" t="str">
        <f>_xlfn.IFNA(MATCH(G300,Achievements[[#All],[Column111]],0)+10,"")</f>
        <v/>
      </c>
      <c r="AH300" s="134" t="str">
        <f>_xlfn.IFNA(MATCH(H300,Achievements[[#All],[Column112]],0)+10,"")</f>
        <v/>
      </c>
      <c r="AI300" s="134" t="str">
        <f>_xlfn.IFNA(MATCH(I300,Achievements[[#All],[Column112]],0)+10,"")</f>
        <v/>
      </c>
      <c r="AJ300" s="134" t="str">
        <f>_xlfn.IFNA(MATCH(J300,Achievements[[#All],[Column113]],0)+10,"")</f>
        <v/>
      </c>
      <c r="AK300" s="134" t="str">
        <f>_xlfn.IFNA(MATCH(K300,Achievements[[#All],[Column113]],0)+10,"")</f>
        <v/>
      </c>
      <c r="AL300" s="134" t="str">
        <f>_xlfn.IFNA(MATCH(L300,Achievements[[#All],[Column114]],0)+10,"")</f>
        <v/>
      </c>
      <c r="AM300" s="134" t="str">
        <f>_xlfn.IFNA(MATCH(M300,Achievements[[#All],[Column114]],0)+10,"")</f>
        <v/>
      </c>
      <c r="AN300" s="134" t="str">
        <f>_xlfn.IFNA(MATCH(N300,Achievements[[#All],[Column115]],0)+10,"")</f>
        <v/>
      </c>
      <c r="AO300" s="134" t="str">
        <f>_xlfn.IFNA(MATCH(O300,Achievements[[#All],[Column115]],0)+10,"")</f>
        <v/>
      </c>
      <c r="AP300" s="134" t="str">
        <f>_xlfn.IFNA(MATCH(P300,Achievements[[#All],[Column116]],0)+10,"")</f>
        <v/>
      </c>
      <c r="AQ300" s="134" t="str">
        <f>_xlfn.IFNA(MATCH(Q300,Achievements[[#All],[Column116]],0)+10,"")</f>
        <v/>
      </c>
      <c r="AR300" s="134" t="str">
        <f>_xlfn.IFNA(MATCH(R300,Achievements[[#All],[Column117]],0)+10,"")</f>
        <v/>
      </c>
      <c r="AS300" s="134" t="str">
        <f>_xlfn.IFNA(MATCH(S300,Achievements[[#All],[Column117]],0)+10,"")</f>
        <v/>
      </c>
      <c r="AT300" s="134" t="str">
        <f>_xlfn.IFNA(MATCH(T300,Achievements[[#All],[Column118]],0)+10,"")</f>
        <v/>
      </c>
      <c r="AU300" s="134" t="str">
        <f>_xlfn.IFNA(MATCH(U300,Achievements[[#All],[Column118]],0)+10,"")</f>
        <v/>
      </c>
      <c r="AV300" s="134" t="str">
        <f>_xlfn.IFNA(MATCH(V300,Achievements[[#All],[Column119]],0)+10,"")</f>
        <v/>
      </c>
      <c r="AW300" s="134" t="str">
        <f>_xlfn.IFNA(MATCH(W300,Achievements[[#All],[Column119]],0)+10,"")</f>
        <v/>
      </c>
      <c r="AX300" s="134" t="str">
        <f>_xlfn.IFNA(MATCH(X300,Achievements[[#All],[Column120]],0)+10,"")</f>
        <v/>
      </c>
      <c r="AY300" s="134" t="str">
        <f>_xlfn.IFNA(MATCH(Y300,Achievements[[#All],[Column120]],0)+10,"")</f>
        <v/>
      </c>
      <c r="AZ300" s="116" t="e">
        <f t="shared" ca="1" si="8"/>
        <v>#NAME?</v>
      </c>
      <c r="BA300" s="134" t="e" cm="1">
        <f t="array" aca="1" ref="BA300" ca="1">SplitValues("; ",Persons[[#This Row],[Column1]])</f>
        <v>#NAME?</v>
      </c>
      <c r="CA300" s="134" t="e">
        <f ca="1">_xlfn.IFNA(MATCH(BA300,Achievements[[#All],[Column1]],0)+10,"")</f>
        <v>#NAME?</v>
      </c>
      <c r="CB300" s="134" t="str">
        <f>_xlfn.IFNA(MATCH(BB300,Achievements[[#All],[Column1]],0)+10,"")</f>
        <v/>
      </c>
      <c r="CC300" s="134" t="str">
        <f>_xlfn.IFNA(MATCH(BC300,Achievements[[#All],[Column110]],0)+10,"")</f>
        <v/>
      </c>
      <c r="CD300" s="134" t="str">
        <f>_xlfn.IFNA(MATCH(BD300,Achievements[[#All],[Column110]],0)+10,"")</f>
        <v/>
      </c>
      <c r="CE300" s="134" t="str">
        <f>_xlfn.IFNA(MATCH(BE300,Achievements[[#All],[Column111]],0)+10,"")</f>
        <v/>
      </c>
      <c r="CF300" s="134" t="str">
        <f>_xlfn.IFNA(MATCH(BF300,Achievements[[#All],[Column111]],0)+10,"")</f>
        <v/>
      </c>
      <c r="CG300" s="134" t="str">
        <f>_xlfn.IFNA(MATCH(BG300,Achievements[[#All],[Column112]],0)+10,"")</f>
        <v/>
      </c>
      <c r="CH300" s="134" t="str">
        <f>_xlfn.IFNA(MATCH(BH300,Achievements[[#All],[Column112]],0)+10,"")</f>
        <v/>
      </c>
      <c r="CI300" s="134" t="str">
        <f>_xlfn.IFNA(MATCH(BI300,Achievements[[#All],[Column113]],0)+10,"")</f>
        <v/>
      </c>
      <c r="CJ300" s="134" t="str">
        <f>_xlfn.IFNA(MATCH(BJ300,Achievements[[#All],[Column113]],0)+10,"")</f>
        <v/>
      </c>
      <c r="CK300" s="134" t="str">
        <f>_xlfn.IFNA(MATCH(BK300,Achievements[[#All],[Column114]],0)+10,"")</f>
        <v/>
      </c>
      <c r="CL300" s="134" t="str">
        <f>_xlfn.IFNA(MATCH(BL300,Achievements[[#All],[Column114]],0)+10,"")</f>
        <v/>
      </c>
      <c r="CM300" s="134" t="str">
        <f>_xlfn.IFNA(MATCH(BM300,Achievements[[#All],[Column115]],0)+10,"")</f>
        <v/>
      </c>
      <c r="CN300" s="134" t="str">
        <f>_xlfn.IFNA(MATCH(BN300,Achievements[[#All],[Column115]],0)+10,"")</f>
        <v/>
      </c>
      <c r="CO300" s="134" t="str">
        <f>_xlfn.IFNA(MATCH(BO300,Achievements[[#All],[Column116]],0)+10,"")</f>
        <v/>
      </c>
      <c r="CP300" s="134" t="str">
        <f>_xlfn.IFNA(MATCH(BP300,Achievements[[#All],[Column116]],0)+10,"")</f>
        <v/>
      </c>
      <c r="CQ300" s="134" t="str">
        <f>_xlfn.IFNA(MATCH(BQ300,Achievements[[#All],[Column117]],0)+10,"")</f>
        <v/>
      </c>
      <c r="CR300" s="134" t="str">
        <f>_xlfn.IFNA(MATCH(BR300,Achievements[[#All],[Column117]],0)+10,"")</f>
        <v/>
      </c>
      <c r="CS300" s="134" t="str">
        <f>_xlfn.IFNA(MATCH(BS300,Achievements[[#All],[Column118]],0)+10,"")</f>
        <v/>
      </c>
      <c r="CT300" s="134" t="str">
        <f>_xlfn.IFNA(MATCH(BT300,Achievements[[#All],[Column118]],0)+10,"")</f>
        <v/>
      </c>
      <c r="CU300" s="134" t="str">
        <f>_xlfn.IFNA(MATCH(BU300,Achievements[[#All],[Column119]],0)+10,"")</f>
        <v/>
      </c>
      <c r="CV300" s="134" t="str">
        <f>_xlfn.IFNA(MATCH(BV300,Achievements[[#All],[Column119]],0)+10,"")</f>
        <v/>
      </c>
      <c r="CW300" s="134" t="str">
        <f>_xlfn.IFNA(MATCH(BW300,Achievements[[#All],[Column120]],0)+10,"")</f>
        <v/>
      </c>
      <c r="CX300" s="134" t="str">
        <f>_xlfn.IFNA(MATCH(BX300,Achievements[[#All],[Column120]],0)+10,"")</f>
        <v/>
      </c>
      <c r="CY300" s="134" t="str">
        <f>_xlfn.IFNA(MATCH(BY300,Achievements[[#All],[Column121]],0)+10,"")</f>
        <v/>
      </c>
      <c r="CZ300" s="118" t="e">
        <f t="shared" ca="1" si="9"/>
        <v>#NAME?</v>
      </c>
    </row>
    <row r="301" spans="1:104" x14ac:dyDescent="0.25">
      <c r="A301" t="e" cm="1">
        <f t="array" aca="1" ref="A301" ca="1">SplitValues("; ",#REF!)</f>
        <v>#NAME?</v>
      </c>
      <c r="AA301" t="e">
        <f ca="1">_xlfn.IFNA(MATCH(A301,Achievements[[#All],[Column1]],0)+11,"")</f>
        <v>#NAME?</v>
      </c>
      <c r="AB301" s="134" t="str">
        <f>_xlfn.IFNA(MATCH(B301,Achievements[[#All],[Column1]],0)+10,"")</f>
        <v/>
      </c>
      <c r="AC301" s="134" t="str">
        <f>_xlfn.IFNA(MATCH(C301,Achievements[[#All],[Column1]],0)+10,"")</f>
        <v/>
      </c>
      <c r="AD301" s="134" t="str">
        <f>_xlfn.IFNA(MATCH(D301,Achievements[[#All],[Column110]],0)+10,"")</f>
        <v/>
      </c>
      <c r="AE301" s="134" t="str">
        <f>_xlfn.IFNA(MATCH(E301,Achievements[[#All],[Column110]],0)+10,"")</f>
        <v/>
      </c>
      <c r="AF301" s="134" t="str">
        <f>_xlfn.IFNA(MATCH(F301,Achievements[[#All],[Column111]],0)+10,"")</f>
        <v/>
      </c>
      <c r="AG301" s="134" t="str">
        <f>_xlfn.IFNA(MATCH(G301,Achievements[[#All],[Column111]],0)+10,"")</f>
        <v/>
      </c>
      <c r="AH301" s="134" t="str">
        <f>_xlfn.IFNA(MATCH(H301,Achievements[[#All],[Column112]],0)+10,"")</f>
        <v/>
      </c>
      <c r="AI301" s="134" t="str">
        <f>_xlfn.IFNA(MATCH(I301,Achievements[[#All],[Column112]],0)+10,"")</f>
        <v/>
      </c>
      <c r="AJ301" s="134" t="str">
        <f>_xlfn.IFNA(MATCH(J301,Achievements[[#All],[Column113]],0)+10,"")</f>
        <v/>
      </c>
      <c r="AK301" s="134" t="str">
        <f>_xlfn.IFNA(MATCH(K301,Achievements[[#All],[Column113]],0)+10,"")</f>
        <v/>
      </c>
      <c r="AL301" s="134" t="str">
        <f>_xlfn.IFNA(MATCH(L301,Achievements[[#All],[Column114]],0)+10,"")</f>
        <v/>
      </c>
      <c r="AM301" s="134" t="str">
        <f>_xlfn.IFNA(MATCH(M301,Achievements[[#All],[Column114]],0)+10,"")</f>
        <v/>
      </c>
      <c r="AN301" s="134" t="str">
        <f>_xlfn.IFNA(MATCH(N301,Achievements[[#All],[Column115]],0)+10,"")</f>
        <v/>
      </c>
      <c r="AO301" s="134" t="str">
        <f>_xlfn.IFNA(MATCH(O301,Achievements[[#All],[Column115]],0)+10,"")</f>
        <v/>
      </c>
      <c r="AP301" s="134" t="str">
        <f>_xlfn.IFNA(MATCH(P301,Achievements[[#All],[Column116]],0)+10,"")</f>
        <v/>
      </c>
      <c r="AQ301" s="134" t="str">
        <f>_xlfn.IFNA(MATCH(Q301,Achievements[[#All],[Column116]],0)+10,"")</f>
        <v/>
      </c>
      <c r="AR301" s="134" t="str">
        <f>_xlfn.IFNA(MATCH(R301,Achievements[[#All],[Column117]],0)+10,"")</f>
        <v/>
      </c>
      <c r="AS301" s="134" t="str">
        <f>_xlfn.IFNA(MATCH(S301,Achievements[[#All],[Column117]],0)+10,"")</f>
        <v/>
      </c>
      <c r="AT301" s="134" t="str">
        <f>_xlfn.IFNA(MATCH(T301,Achievements[[#All],[Column118]],0)+10,"")</f>
        <v/>
      </c>
      <c r="AU301" s="134" t="str">
        <f>_xlfn.IFNA(MATCH(U301,Achievements[[#All],[Column118]],0)+10,"")</f>
        <v/>
      </c>
      <c r="AV301" s="134" t="str">
        <f>_xlfn.IFNA(MATCH(V301,Achievements[[#All],[Column119]],0)+10,"")</f>
        <v/>
      </c>
      <c r="AW301" s="134" t="str">
        <f>_xlfn.IFNA(MATCH(W301,Achievements[[#All],[Column119]],0)+10,"")</f>
        <v/>
      </c>
      <c r="AX301" s="134" t="str">
        <f>_xlfn.IFNA(MATCH(X301,Achievements[[#All],[Column120]],0)+10,"")</f>
        <v/>
      </c>
      <c r="AY301" s="134" t="str">
        <f>_xlfn.IFNA(MATCH(Y301,Achievements[[#All],[Column120]],0)+10,"")</f>
        <v/>
      </c>
      <c r="AZ301" s="116" t="e">
        <f t="shared" ca="1" si="8"/>
        <v>#NAME?</v>
      </c>
      <c r="BA301" s="134" t="e" cm="1">
        <f t="array" aca="1" ref="BA301" ca="1">SplitValues("; ",Persons[[#This Row],[Column1]])</f>
        <v>#NAME?</v>
      </c>
      <c r="CA301" s="134" t="e">
        <f ca="1">_xlfn.IFNA(MATCH(BA301,Achievements[[#All],[Column1]],0)+10,"")</f>
        <v>#NAME?</v>
      </c>
      <c r="CB301" s="134" t="str">
        <f>_xlfn.IFNA(MATCH(BB301,Achievements[[#All],[Column1]],0)+10,"")</f>
        <v/>
      </c>
      <c r="CC301" s="134" t="str">
        <f>_xlfn.IFNA(MATCH(BC301,Achievements[[#All],[Column110]],0)+10,"")</f>
        <v/>
      </c>
      <c r="CD301" s="134" t="str">
        <f>_xlfn.IFNA(MATCH(BD301,Achievements[[#All],[Column110]],0)+10,"")</f>
        <v/>
      </c>
      <c r="CE301" s="134" t="str">
        <f>_xlfn.IFNA(MATCH(BE301,Achievements[[#All],[Column111]],0)+10,"")</f>
        <v/>
      </c>
      <c r="CF301" s="134" t="str">
        <f>_xlfn.IFNA(MATCH(BF301,Achievements[[#All],[Column111]],0)+10,"")</f>
        <v/>
      </c>
      <c r="CG301" s="134" t="str">
        <f>_xlfn.IFNA(MATCH(BG301,Achievements[[#All],[Column112]],0)+10,"")</f>
        <v/>
      </c>
      <c r="CH301" s="134" t="str">
        <f>_xlfn.IFNA(MATCH(BH301,Achievements[[#All],[Column112]],0)+10,"")</f>
        <v/>
      </c>
      <c r="CI301" s="134" t="str">
        <f>_xlfn.IFNA(MATCH(BI301,Achievements[[#All],[Column113]],0)+10,"")</f>
        <v/>
      </c>
      <c r="CJ301" s="134" t="str">
        <f>_xlfn.IFNA(MATCH(BJ301,Achievements[[#All],[Column113]],0)+10,"")</f>
        <v/>
      </c>
      <c r="CK301" s="134" t="str">
        <f>_xlfn.IFNA(MATCH(BK301,Achievements[[#All],[Column114]],0)+10,"")</f>
        <v/>
      </c>
      <c r="CL301" s="134" t="str">
        <f>_xlfn.IFNA(MATCH(BL301,Achievements[[#All],[Column114]],0)+10,"")</f>
        <v/>
      </c>
      <c r="CM301" s="134" t="str">
        <f>_xlfn.IFNA(MATCH(BM301,Achievements[[#All],[Column115]],0)+10,"")</f>
        <v/>
      </c>
      <c r="CN301" s="134" t="str">
        <f>_xlfn.IFNA(MATCH(BN301,Achievements[[#All],[Column115]],0)+10,"")</f>
        <v/>
      </c>
      <c r="CO301" s="134" t="str">
        <f>_xlfn.IFNA(MATCH(BO301,Achievements[[#All],[Column116]],0)+10,"")</f>
        <v/>
      </c>
      <c r="CP301" s="134" t="str">
        <f>_xlfn.IFNA(MATCH(BP301,Achievements[[#All],[Column116]],0)+10,"")</f>
        <v/>
      </c>
      <c r="CQ301" s="134" t="str">
        <f>_xlfn.IFNA(MATCH(BQ301,Achievements[[#All],[Column117]],0)+10,"")</f>
        <v/>
      </c>
      <c r="CR301" s="134" t="str">
        <f>_xlfn.IFNA(MATCH(BR301,Achievements[[#All],[Column117]],0)+10,"")</f>
        <v/>
      </c>
      <c r="CS301" s="134" t="str">
        <f>_xlfn.IFNA(MATCH(BS301,Achievements[[#All],[Column118]],0)+10,"")</f>
        <v/>
      </c>
      <c r="CT301" s="134" t="str">
        <f>_xlfn.IFNA(MATCH(BT301,Achievements[[#All],[Column118]],0)+10,"")</f>
        <v/>
      </c>
      <c r="CU301" s="134" t="str">
        <f>_xlfn.IFNA(MATCH(BU301,Achievements[[#All],[Column119]],0)+10,"")</f>
        <v/>
      </c>
      <c r="CV301" s="134" t="str">
        <f>_xlfn.IFNA(MATCH(BV301,Achievements[[#All],[Column119]],0)+10,"")</f>
        <v/>
      </c>
      <c r="CW301" s="134" t="str">
        <f>_xlfn.IFNA(MATCH(BW301,Achievements[[#All],[Column120]],0)+10,"")</f>
        <v/>
      </c>
      <c r="CX301" s="134" t="str">
        <f>_xlfn.IFNA(MATCH(BX301,Achievements[[#All],[Column120]],0)+10,"")</f>
        <v/>
      </c>
      <c r="CY301" s="134" t="str">
        <f>_xlfn.IFNA(MATCH(BY301,Achievements[[#All],[Column121]],0)+10,"")</f>
        <v/>
      </c>
      <c r="CZ301" s="118" t="e">
        <f t="shared" ca="1" si="9"/>
        <v>#NAME?</v>
      </c>
    </row>
    <row r="302" spans="1:104" x14ac:dyDescent="0.25">
      <c r="A302" t="e" cm="1">
        <f t="array" aca="1" ref="A302" ca="1">SplitValues("; ",#REF!)</f>
        <v>#NAME?</v>
      </c>
      <c r="AA302" t="e">
        <f ca="1">_xlfn.IFNA(MATCH(A302,Achievements[[#All],[Column1]],0)+11,"")</f>
        <v>#NAME?</v>
      </c>
      <c r="AB302" s="134" t="str">
        <f>_xlfn.IFNA(MATCH(B302,Achievements[[#All],[Column1]],0)+10,"")</f>
        <v/>
      </c>
      <c r="AC302" s="134" t="str">
        <f>_xlfn.IFNA(MATCH(C302,Achievements[[#All],[Column1]],0)+10,"")</f>
        <v/>
      </c>
      <c r="AD302" s="134" t="str">
        <f>_xlfn.IFNA(MATCH(D302,Achievements[[#All],[Column110]],0)+10,"")</f>
        <v/>
      </c>
      <c r="AE302" s="134" t="str">
        <f>_xlfn.IFNA(MATCH(E302,Achievements[[#All],[Column110]],0)+10,"")</f>
        <v/>
      </c>
      <c r="AF302" s="134" t="str">
        <f>_xlfn.IFNA(MATCH(F302,Achievements[[#All],[Column111]],0)+10,"")</f>
        <v/>
      </c>
      <c r="AG302" s="134" t="str">
        <f>_xlfn.IFNA(MATCH(G302,Achievements[[#All],[Column111]],0)+10,"")</f>
        <v/>
      </c>
      <c r="AH302" s="134" t="str">
        <f>_xlfn.IFNA(MATCH(H302,Achievements[[#All],[Column112]],0)+10,"")</f>
        <v/>
      </c>
      <c r="AI302" s="134" t="str">
        <f>_xlfn.IFNA(MATCH(I302,Achievements[[#All],[Column112]],0)+10,"")</f>
        <v/>
      </c>
      <c r="AJ302" s="134" t="str">
        <f>_xlfn.IFNA(MATCH(J302,Achievements[[#All],[Column113]],0)+10,"")</f>
        <v/>
      </c>
      <c r="AK302" s="134" t="str">
        <f>_xlfn.IFNA(MATCH(K302,Achievements[[#All],[Column113]],0)+10,"")</f>
        <v/>
      </c>
      <c r="AL302" s="134" t="str">
        <f>_xlfn.IFNA(MATCH(L302,Achievements[[#All],[Column114]],0)+10,"")</f>
        <v/>
      </c>
      <c r="AM302" s="134" t="str">
        <f>_xlfn.IFNA(MATCH(M302,Achievements[[#All],[Column114]],0)+10,"")</f>
        <v/>
      </c>
      <c r="AN302" s="134" t="str">
        <f>_xlfn.IFNA(MATCH(N302,Achievements[[#All],[Column115]],0)+10,"")</f>
        <v/>
      </c>
      <c r="AO302" s="134" t="str">
        <f>_xlfn.IFNA(MATCH(O302,Achievements[[#All],[Column115]],0)+10,"")</f>
        <v/>
      </c>
      <c r="AP302" s="134" t="str">
        <f>_xlfn.IFNA(MATCH(P302,Achievements[[#All],[Column116]],0)+10,"")</f>
        <v/>
      </c>
      <c r="AQ302" s="134" t="str">
        <f>_xlfn.IFNA(MATCH(Q302,Achievements[[#All],[Column116]],0)+10,"")</f>
        <v/>
      </c>
      <c r="AR302" s="134" t="str">
        <f>_xlfn.IFNA(MATCH(R302,Achievements[[#All],[Column117]],0)+10,"")</f>
        <v/>
      </c>
      <c r="AS302" s="134" t="str">
        <f>_xlfn.IFNA(MATCH(S302,Achievements[[#All],[Column117]],0)+10,"")</f>
        <v/>
      </c>
      <c r="AT302" s="134" t="str">
        <f>_xlfn.IFNA(MATCH(T302,Achievements[[#All],[Column118]],0)+10,"")</f>
        <v/>
      </c>
      <c r="AU302" s="134" t="str">
        <f>_xlfn.IFNA(MATCH(U302,Achievements[[#All],[Column118]],0)+10,"")</f>
        <v/>
      </c>
      <c r="AV302" s="134" t="str">
        <f>_xlfn.IFNA(MATCH(V302,Achievements[[#All],[Column119]],0)+10,"")</f>
        <v/>
      </c>
      <c r="AW302" s="134" t="str">
        <f>_xlfn.IFNA(MATCH(W302,Achievements[[#All],[Column119]],0)+10,"")</f>
        <v/>
      </c>
      <c r="AX302" s="134" t="str">
        <f>_xlfn.IFNA(MATCH(X302,Achievements[[#All],[Column120]],0)+10,"")</f>
        <v/>
      </c>
      <c r="AY302" s="134" t="str">
        <f>_xlfn.IFNA(MATCH(Y302,Achievements[[#All],[Column120]],0)+10,"")</f>
        <v/>
      </c>
      <c r="AZ302" s="116" t="e">
        <f t="shared" ca="1" si="8"/>
        <v>#NAME?</v>
      </c>
      <c r="BA302" s="134" t="e" cm="1">
        <f t="array" aca="1" ref="BA302" ca="1">SplitValues("; ",Persons[[#This Row],[Column1]])</f>
        <v>#NAME?</v>
      </c>
      <c r="CA302" s="134" t="e">
        <f ca="1">_xlfn.IFNA(MATCH(BA302,Achievements[[#All],[Column1]],0)+10,"")</f>
        <v>#NAME?</v>
      </c>
      <c r="CB302" s="134" t="str">
        <f>_xlfn.IFNA(MATCH(BB302,Achievements[[#All],[Column1]],0)+10,"")</f>
        <v/>
      </c>
      <c r="CC302" s="134" t="str">
        <f>_xlfn.IFNA(MATCH(BC302,Achievements[[#All],[Column110]],0)+10,"")</f>
        <v/>
      </c>
      <c r="CD302" s="134" t="str">
        <f>_xlfn.IFNA(MATCH(BD302,Achievements[[#All],[Column110]],0)+10,"")</f>
        <v/>
      </c>
      <c r="CE302" s="134" t="str">
        <f>_xlfn.IFNA(MATCH(BE302,Achievements[[#All],[Column111]],0)+10,"")</f>
        <v/>
      </c>
      <c r="CF302" s="134" t="str">
        <f>_xlfn.IFNA(MATCH(BF302,Achievements[[#All],[Column111]],0)+10,"")</f>
        <v/>
      </c>
      <c r="CG302" s="134" t="str">
        <f>_xlfn.IFNA(MATCH(BG302,Achievements[[#All],[Column112]],0)+10,"")</f>
        <v/>
      </c>
      <c r="CH302" s="134" t="str">
        <f>_xlfn.IFNA(MATCH(BH302,Achievements[[#All],[Column112]],0)+10,"")</f>
        <v/>
      </c>
      <c r="CI302" s="134" t="str">
        <f>_xlfn.IFNA(MATCH(BI302,Achievements[[#All],[Column113]],0)+10,"")</f>
        <v/>
      </c>
      <c r="CJ302" s="134" t="str">
        <f>_xlfn.IFNA(MATCH(BJ302,Achievements[[#All],[Column113]],0)+10,"")</f>
        <v/>
      </c>
      <c r="CK302" s="134" t="str">
        <f>_xlfn.IFNA(MATCH(BK302,Achievements[[#All],[Column114]],0)+10,"")</f>
        <v/>
      </c>
      <c r="CL302" s="134" t="str">
        <f>_xlfn.IFNA(MATCH(BL302,Achievements[[#All],[Column114]],0)+10,"")</f>
        <v/>
      </c>
      <c r="CM302" s="134" t="str">
        <f>_xlfn.IFNA(MATCH(BM302,Achievements[[#All],[Column115]],0)+10,"")</f>
        <v/>
      </c>
      <c r="CN302" s="134" t="str">
        <f>_xlfn.IFNA(MATCH(BN302,Achievements[[#All],[Column115]],0)+10,"")</f>
        <v/>
      </c>
      <c r="CO302" s="134" t="str">
        <f>_xlfn.IFNA(MATCH(BO302,Achievements[[#All],[Column116]],0)+10,"")</f>
        <v/>
      </c>
      <c r="CP302" s="134" t="str">
        <f>_xlfn.IFNA(MATCH(BP302,Achievements[[#All],[Column116]],0)+10,"")</f>
        <v/>
      </c>
      <c r="CQ302" s="134" t="str">
        <f>_xlfn.IFNA(MATCH(BQ302,Achievements[[#All],[Column117]],0)+10,"")</f>
        <v/>
      </c>
      <c r="CR302" s="134" t="str">
        <f>_xlfn.IFNA(MATCH(BR302,Achievements[[#All],[Column117]],0)+10,"")</f>
        <v/>
      </c>
      <c r="CS302" s="134" t="str">
        <f>_xlfn.IFNA(MATCH(BS302,Achievements[[#All],[Column118]],0)+10,"")</f>
        <v/>
      </c>
      <c r="CT302" s="134" t="str">
        <f>_xlfn.IFNA(MATCH(BT302,Achievements[[#All],[Column118]],0)+10,"")</f>
        <v/>
      </c>
      <c r="CU302" s="134" t="str">
        <f>_xlfn.IFNA(MATCH(BU302,Achievements[[#All],[Column119]],0)+10,"")</f>
        <v/>
      </c>
      <c r="CV302" s="134" t="str">
        <f>_xlfn.IFNA(MATCH(BV302,Achievements[[#All],[Column119]],0)+10,"")</f>
        <v/>
      </c>
      <c r="CW302" s="134" t="str">
        <f>_xlfn.IFNA(MATCH(BW302,Achievements[[#All],[Column120]],0)+10,"")</f>
        <v/>
      </c>
      <c r="CX302" s="134" t="str">
        <f>_xlfn.IFNA(MATCH(BX302,Achievements[[#All],[Column120]],0)+10,"")</f>
        <v/>
      </c>
      <c r="CY302" s="134" t="str">
        <f>_xlfn.IFNA(MATCH(BY302,Achievements[[#All],[Column121]],0)+10,"")</f>
        <v/>
      </c>
      <c r="CZ302" s="118" t="e">
        <f t="shared" ca="1" si="9"/>
        <v>#NAME?</v>
      </c>
    </row>
    <row r="303" spans="1:104" x14ac:dyDescent="0.25">
      <c r="A303" t="e" cm="1">
        <f t="array" aca="1" ref="A303" ca="1">SplitValues("; ",#REF!)</f>
        <v>#NAME?</v>
      </c>
      <c r="AA303" t="e">
        <f ca="1">_xlfn.IFNA(MATCH(A303,Achievements[[#All],[Column1]],0)+11,"")</f>
        <v>#NAME?</v>
      </c>
      <c r="AB303" s="134" t="str">
        <f>_xlfn.IFNA(MATCH(B303,Achievements[[#All],[Column1]],0)+10,"")</f>
        <v/>
      </c>
      <c r="AC303" s="134" t="str">
        <f>_xlfn.IFNA(MATCH(C303,Achievements[[#All],[Column1]],0)+10,"")</f>
        <v/>
      </c>
      <c r="AD303" s="134" t="str">
        <f>_xlfn.IFNA(MATCH(D303,Achievements[[#All],[Column110]],0)+10,"")</f>
        <v/>
      </c>
      <c r="AE303" s="134" t="str">
        <f>_xlfn.IFNA(MATCH(E303,Achievements[[#All],[Column110]],0)+10,"")</f>
        <v/>
      </c>
      <c r="AF303" s="134" t="str">
        <f>_xlfn.IFNA(MATCH(F303,Achievements[[#All],[Column111]],0)+10,"")</f>
        <v/>
      </c>
      <c r="AG303" s="134" t="str">
        <f>_xlfn.IFNA(MATCH(G303,Achievements[[#All],[Column111]],0)+10,"")</f>
        <v/>
      </c>
      <c r="AH303" s="134" t="str">
        <f>_xlfn.IFNA(MATCH(H303,Achievements[[#All],[Column112]],0)+10,"")</f>
        <v/>
      </c>
      <c r="AI303" s="134" t="str">
        <f>_xlfn.IFNA(MATCH(I303,Achievements[[#All],[Column112]],0)+10,"")</f>
        <v/>
      </c>
      <c r="AJ303" s="134" t="str">
        <f>_xlfn.IFNA(MATCH(J303,Achievements[[#All],[Column113]],0)+10,"")</f>
        <v/>
      </c>
      <c r="AK303" s="134" t="str">
        <f>_xlfn.IFNA(MATCH(K303,Achievements[[#All],[Column113]],0)+10,"")</f>
        <v/>
      </c>
      <c r="AL303" s="134" t="str">
        <f>_xlfn.IFNA(MATCH(L303,Achievements[[#All],[Column114]],0)+10,"")</f>
        <v/>
      </c>
      <c r="AM303" s="134" t="str">
        <f>_xlfn.IFNA(MATCH(M303,Achievements[[#All],[Column114]],0)+10,"")</f>
        <v/>
      </c>
      <c r="AN303" s="134" t="str">
        <f>_xlfn.IFNA(MATCH(N303,Achievements[[#All],[Column115]],0)+10,"")</f>
        <v/>
      </c>
      <c r="AO303" s="134" t="str">
        <f>_xlfn.IFNA(MATCH(O303,Achievements[[#All],[Column115]],0)+10,"")</f>
        <v/>
      </c>
      <c r="AP303" s="134" t="str">
        <f>_xlfn.IFNA(MATCH(P303,Achievements[[#All],[Column116]],0)+10,"")</f>
        <v/>
      </c>
      <c r="AQ303" s="134" t="str">
        <f>_xlfn.IFNA(MATCH(Q303,Achievements[[#All],[Column116]],0)+10,"")</f>
        <v/>
      </c>
      <c r="AR303" s="134" t="str">
        <f>_xlfn.IFNA(MATCH(R303,Achievements[[#All],[Column117]],0)+10,"")</f>
        <v/>
      </c>
      <c r="AS303" s="134" t="str">
        <f>_xlfn.IFNA(MATCH(S303,Achievements[[#All],[Column117]],0)+10,"")</f>
        <v/>
      </c>
      <c r="AT303" s="134" t="str">
        <f>_xlfn.IFNA(MATCH(T303,Achievements[[#All],[Column118]],0)+10,"")</f>
        <v/>
      </c>
      <c r="AU303" s="134" t="str">
        <f>_xlfn.IFNA(MATCH(U303,Achievements[[#All],[Column118]],0)+10,"")</f>
        <v/>
      </c>
      <c r="AV303" s="134" t="str">
        <f>_xlfn.IFNA(MATCH(V303,Achievements[[#All],[Column119]],0)+10,"")</f>
        <v/>
      </c>
      <c r="AW303" s="134" t="str">
        <f>_xlfn.IFNA(MATCH(W303,Achievements[[#All],[Column119]],0)+10,"")</f>
        <v/>
      </c>
      <c r="AX303" s="134" t="str">
        <f>_xlfn.IFNA(MATCH(X303,Achievements[[#All],[Column120]],0)+10,"")</f>
        <v/>
      </c>
      <c r="AY303" s="134" t="str">
        <f>_xlfn.IFNA(MATCH(Y303,Achievements[[#All],[Column120]],0)+10,"")</f>
        <v/>
      </c>
      <c r="AZ303" s="116" t="e">
        <f t="shared" ca="1" si="8"/>
        <v>#NAME?</v>
      </c>
      <c r="BA303" s="134" t="e" cm="1">
        <f t="array" aca="1" ref="BA303" ca="1">SplitValues("; ",Persons[[#This Row],[Column1]])</f>
        <v>#NAME?</v>
      </c>
      <c r="CA303" s="134" t="e">
        <f ca="1">_xlfn.IFNA(MATCH(BA303,Achievements[[#All],[Column1]],0)+10,"")</f>
        <v>#NAME?</v>
      </c>
      <c r="CB303" s="134" t="str">
        <f>_xlfn.IFNA(MATCH(BB303,Achievements[[#All],[Column1]],0)+10,"")</f>
        <v/>
      </c>
      <c r="CC303" s="134" t="str">
        <f>_xlfn.IFNA(MATCH(BC303,Achievements[[#All],[Column110]],0)+10,"")</f>
        <v/>
      </c>
      <c r="CD303" s="134" t="str">
        <f>_xlfn.IFNA(MATCH(BD303,Achievements[[#All],[Column110]],0)+10,"")</f>
        <v/>
      </c>
      <c r="CE303" s="134" t="str">
        <f>_xlfn.IFNA(MATCH(BE303,Achievements[[#All],[Column111]],0)+10,"")</f>
        <v/>
      </c>
      <c r="CF303" s="134" t="str">
        <f>_xlfn.IFNA(MATCH(BF303,Achievements[[#All],[Column111]],0)+10,"")</f>
        <v/>
      </c>
      <c r="CG303" s="134" t="str">
        <f>_xlfn.IFNA(MATCH(BG303,Achievements[[#All],[Column112]],0)+10,"")</f>
        <v/>
      </c>
      <c r="CH303" s="134" t="str">
        <f>_xlfn.IFNA(MATCH(BH303,Achievements[[#All],[Column112]],0)+10,"")</f>
        <v/>
      </c>
      <c r="CI303" s="134" t="str">
        <f>_xlfn.IFNA(MATCH(BI303,Achievements[[#All],[Column113]],0)+10,"")</f>
        <v/>
      </c>
      <c r="CJ303" s="134" t="str">
        <f>_xlfn.IFNA(MATCH(BJ303,Achievements[[#All],[Column113]],0)+10,"")</f>
        <v/>
      </c>
      <c r="CK303" s="134" t="str">
        <f>_xlfn.IFNA(MATCH(BK303,Achievements[[#All],[Column114]],0)+10,"")</f>
        <v/>
      </c>
      <c r="CL303" s="134" t="str">
        <f>_xlfn.IFNA(MATCH(BL303,Achievements[[#All],[Column114]],0)+10,"")</f>
        <v/>
      </c>
      <c r="CM303" s="134" t="str">
        <f>_xlfn.IFNA(MATCH(BM303,Achievements[[#All],[Column115]],0)+10,"")</f>
        <v/>
      </c>
      <c r="CN303" s="134" t="str">
        <f>_xlfn.IFNA(MATCH(BN303,Achievements[[#All],[Column115]],0)+10,"")</f>
        <v/>
      </c>
      <c r="CO303" s="134" t="str">
        <f>_xlfn.IFNA(MATCH(BO303,Achievements[[#All],[Column116]],0)+10,"")</f>
        <v/>
      </c>
      <c r="CP303" s="134" t="str">
        <f>_xlfn.IFNA(MATCH(BP303,Achievements[[#All],[Column116]],0)+10,"")</f>
        <v/>
      </c>
      <c r="CQ303" s="134" t="str">
        <f>_xlfn.IFNA(MATCH(BQ303,Achievements[[#All],[Column117]],0)+10,"")</f>
        <v/>
      </c>
      <c r="CR303" s="134" t="str">
        <f>_xlfn.IFNA(MATCH(BR303,Achievements[[#All],[Column117]],0)+10,"")</f>
        <v/>
      </c>
      <c r="CS303" s="134" t="str">
        <f>_xlfn.IFNA(MATCH(BS303,Achievements[[#All],[Column118]],0)+10,"")</f>
        <v/>
      </c>
      <c r="CT303" s="134" t="str">
        <f>_xlfn.IFNA(MATCH(BT303,Achievements[[#All],[Column118]],0)+10,"")</f>
        <v/>
      </c>
      <c r="CU303" s="134" t="str">
        <f>_xlfn.IFNA(MATCH(BU303,Achievements[[#All],[Column119]],0)+10,"")</f>
        <v/>
      </c>
      <c r="CV303" s="134" t="str">
        <f>_xlfn.IFNA(MATCH(BV303,Achievements[[#All],[Column119]],0)+10,"")</f>
        <v/>
      </c>
      <c r="CW303" s="134" t="str">
        <f>_xlfn.IFNA(MATCH(BW303,Achievements[[#All],[Column120]],0)+10,"")</f>
        <v/>
      </c>
      <c r="CX303" s="134" t="str">
        <f>_xlfn.IFNA(MATCH(BX303,Achievements[[#All],[Column120]],0)+10,"")</f>
        <v/>
      </c>
      <c r="CY303" s="134" t="str">
        <f>_xlfn.IFNA(MATCH(BY303,Achievements[[#All],[Column121]],0)+10,"")</f>
        <v/>
      </c>
      <c r="CZ303" s="118" t="e">
        <f t="shared" ca="1" si="9"/>
        <v>#NAME?</v>
      </c>
    </row>
    <row r="304" spans="1:104" x14ac:dyDescent="0.25">
      <c r="A304" t="e" cm="1">
        <f t="array" aca="1" ref="A304" ca="1">SplitValues("; ",#REF!)</f>
        <v>#NAME?</v>
      </c>
      <c r="AA304" t="e">
        <f ca="1">_xlfn.IFNA(MATCH(A304,Achievements[[#All],[Column1]],0)+11,"")</f>
        <v>#NAME?</v>
      </c>
      <c r="AB304" s="134" t="str">
        <f>_xlfn.IFNA(MATCH(B304,Achievements[[#All],[Column1]],0)+10,"")</f>
        <v/>
      </c>
      <c r="AC304" s="134" t="str">
        <f>_xlfn.IFNA(MATCH(C304,Achievements[[#All],[Column1]],0)+10,"")</f>
        <v/>
      </c>
      <c r="AD304" s="134" t="str">
        <f>_xlfn.IFNA(MATCH(D304,Achievements[[#All],[Column110]],0)+10,"")</f>
        <v/>
      </c>
      <c r="AE304" s="134" t="str">
        <f>_xlfn.IFNA(MATCH(E304,Achievements[[#All],[Column110]],0)+10,"")</f>
        <v/>
      </c>
      <c r="AF304" s="134" t="str">
        <f>_xlfn.IFNA(MATCH(F304,Achievements[[#All],[Column111]],0)+10,"")</f>
        <v/>
      </c>
      <c r="AG304" s="134" t="str">
        <f>_xlfn.IFNA(MATCH(G304,Achievements[[#All],[Column111]],0)+10,"")</f>
        <v/>
      </c>
      <c r="AH304" s="134" t="str">
        <f>_xlfn.IFNA(MATCH(H304,Achievements[[#All],[Column112]],0)+10,"")</f>
        <v/>
      </c>
      <c r="AI304" s="134" t="str">
        <f>_xlfn.IFNA(MATCH(I304,Achievements[[#All],[Column112]],0)+10,"")</f>
        <v/>
      </c>
      <c r="AJ304" s="134" t="str">
        <f>_xlfn.IFNA(MATCH(J304,Achievements[[#All],[Column113]],0)+10,"")</f>
        <v/>
      </c>
      <c r="AK304" s="134" t="str">
        <f>_xlfn.IFNA(MATCH(K304,Achievements[[#All],[Column113]],0)+10,"")</f>
        <v/>
      </c>
      <c r="AL304" s="134" t="str">
        <f>_xlfn.IFNA(MATCH(L304,Achievements[[#All],[Column114]],0)+10,"")</f>
        <v/>
      </c>
      <c r="AM304" s="134" t="str">
        <f>_xlfn.IFNA(MATCH(M304,Achievements[[#All],[Column114]],0)+10,"")</f>
        <v/>
      </c>
      <c r="AN304" s="134" t="str">
        <f>_xlfn.IFNA(MATCH(N304,Achievements[[#All],[Column115]],0)+10,"")</f>
        <v/>
      </c>
      <c r="AO304" s="134" t="str">
        <f>_xlfn.IFNA(MATCH(O304,Achievements[[#All],[Column115]],0)+10,"")</f>
        <v/>
      </c>
      <c r="AP304" s="134" t="str">
        <f>_xlfn.IFNA(MATCH(P304,Achievements[[#All],[Column116]],0)+10,"")</f>
        <v/>
      </c>
      <c r="AQ304" s="134" t="str">
        <f>_xlfn.IFNA(MATCH(Q304,Achievements[[#All],[Column116]],0)+10,"")</f>
        <v/>
      </c>
      <c r="AR304" s="134" t="str">
        <f>_xlfn.IFNA(MATCH(R304,Achievements[[#All],[Column117]],0)+10,"")</f>
        <v/>
      </c>
      <c r="AS304" s="134" t="str">
        <f>_xlfn.IFNA(MATCH(S304,Achievements[[#All],[Column117]],0)+10,"")</f>
        <v/>
      </c>
      <c r="AT304" s="134" t="str">
        <f>_xlfn.IFNA(MATCH(T304,Achievements[[#All],[Column118]],0)+10,"")</f>
        <v/>
      </c>
      <c r="AU304" s="134" t="str">
        <f>_xlfn.IFNA(MATCH(U304,Achievements[[#All],[Column118]],0)+10,"")</f>
        <v/>
      </c>
      <c r="AV304" s="134" t="str">
        <f>_xlfn.IFNA(MATCH(V304,Achievements[[#All],[Column119]],0)+10,"")</f>
        <v/>
      </c>
      <c r="AW304" s="134" t="str">
        <f>_xlfn.IFNA(MATCH(W304,Achievements[[#All],[Column119]],0)+10,"")</f>
        <v/>
      </c>
      <c r="AX304" s="134" t="str">
        <f>_xlfn.IFNA(MATCH(X304,Achievements[[#All],[Column120]],0)+10,"")</f>
        <v/>
      </c>
      <c r="AY304" s="134" t="str">
        <f>_xlfn.IFNA(MATCH(Y304,Achievements[[#All],[Column120]],0)+10,"")</f>
        <v/>
      </c>
      <c r="AZ304" s="116" t="e">
        <f t="shared" ca="1" si="8"/>
        <v>#NAME?</v>
      </c>
      <c r="BA304" s="134" t="e" cm="1">
        <f t="array" aca="1" ref="BA304" ca="1">SplitValues("; ",Persons[[#This Row],[Column1]])</f>
        <v>#NAME?</v>
      </c>
      <c r="CA304" s="134" t="e">
        <f ca="1">_xlfn.IFNA(MATCH(BA304,Achievements[[#All],[Column1]],0)+10,"")</f>
        <v>#NAME?</v>
      </c>
      <c r="CB304" s="134" t="str">
        <f>_xlfn.IFNA(MATCH(BB304,Achievements[[#All],[Column1]],0)+10,"")</f>
        <v/>
      </c>
      <c r="CC304" s="134" t="str">
        <f>_xlfn.IFNA(MATCH(BC304,Achievements[[#All],[Column110]],0)+10,"")</f>
        <v/>
      </c>
      <c r="CD304" s="134" t="str">
        <f>_xlfn.IFNA(MATCH(BD304,Achievements[[#All],[Column110]],0)+10,"")</f>
        <v/>
      </c>
      <c r="CE304" s="134" t="str">
        <f>_xlfn.IFNA(MATCH(BE304,Achievements[[#All],[Column111]],0)+10,"")</f>
        <v/>
      </c>
      <c r="CF304" s="134" t="str">
        <f>_xlfn.IFNA(MATCH(BF304,Achievements[[#All],[Column111]],0)+10,"")</f>
        <v/>
      </c>
      <c r="CG304" s="134" t="str">
        <f>_xlfn.IFNA(MATCH(BG304,Achievements[[#All],[Column112]],0)+10,"")</f>
        <v/>
      </c>
      <c r="CH304" s="134" t="str">
        <f>_xlfn.IFNA(MATCH(BH304,Achievements[[#All],[Column112]],0)+10,"")</f>
        <v/>
      </c>
      <c r="CI304" s="134" t="str">
        <f>_xlfn.IFNA(MATCH(BI304,Achievements[[#All],[Column113]],0)+10,"")</f>
        <v/>
      </c>
      <c r="CJ304" s="134" t="str">
        <f>_xlfn.IFNA(MATCH(BJ304,Achievements[[#All],[Column113]],0)+10,"")</f>
        <v/>
      </c>
      <c r="CK304" s="134" t="str">
        <f>_xlfn.IFNA(MATCH(BK304,Achievements[[#All],[Column114]],0)+10,"")</f>
        <v/>
      </c>
      <c r="CL304" s="134" t="str">
        <f>_xlfn.IFNA(MATCH(BL304,Achievements[[#All],[Column114]],0)+10,"")</f>
        <v/>
      </c>
      <c r="CM304" s="134" t="str">
        <f>_xlfn.IFNA(MATCH(BM304,Achievements[[#All],[Column115]],0)+10,"")</f>
        <v/>
      </c>
      <c r="CN304" s="134" t="str">
        <f>_xlfn.IFNA(MATCH(BN304,Achievements[[#All],[Column115]],0)+10,"")</f>
        <v/>
      </c>
      <c r="CO304" s="134" t="str">
        <f>_xlfn.IFNA(MATCH(BO304,Achievements[[#All],[Column116]],0)+10,"")</f>
        <v/>
      </c>
      <c r="CP304" s="134" t="str">
        <f>_xlfn.IFNA(MATCH(BP304,Achievements[[#All],[Column116]],0)+10,"")</f>
        <v/>
      </c>
      <c r="CQ304" s="134" t="str">
        <f>_xlfn.IFNA(MATCH(BQ304,Achievements[[#All],[Column117]],0)+10,"")</f>
        <v/>
      </c>
      <c r="CR304" s="134" t="str">
        <f>_xlfn.IFNA(MATCH(BR304,Achievements[[#All],[Column117]],0)+10,"")</f>
        <v/>
      </c>
      <c r="CS304" s="134" t="str">
        <f>_xlfn.IFNA(MATCH(BS304,Achievements[[#All],[Column118]],0)+10,"")</f>
        <v/>
      </c>
      <c r="CT304" s="134" t="str">
        <f>_xlfn.IFNA(MATCH(BT304,Achievements[[#All],[Column118]],0)+10,"")</f>
        <v/>
      </c>
      <c r="CU304" s="134" t="str">
        <f>_xlfn.IFNA(MATCH(BU304,Achievements[[#All],[Column119]],0)+10,"")</f>
        <v/>
      </c>
      <c r="CV304" s="134" t="str">
        <f>_xlfn.IFNA(MATCH(BV304,Achievements[[#All],[Column119]],0)+10,"")</f>
        <v/>
      </c>
      <c r="CW304" s="134" t="str">
        <f>_xlfn.IFNA(MATCH(BW304,Achievements[[#All],[Column120]],0)+10,"")</f>
        <v/>
      </c>
      <c r="CX304" s="134" t="str">
        <f>_xlfn.IFNA(MATCH(BX304,Achievements[[#All],[Column120]],0)+10,"")</f>
        <v/>
      </c>
      <c r="CY304" s="134" t="str">
        <f>_xlfn.IFNA(MATCH(BY304,Achievements[[#All],[Column121]],0)+10,"")</f>
        <v/>
      </c>
      <c r="CZ304" s="118" t="e">
        <f t="shared" ca="1" si="9"/>
        <v>#NAME?</v>
      </c>
    </row>
    <row r="305" spans="1:104" x14ac:dyDescent="0.25">
      <c r="A305" t="e" cm="1">
        <f t="array" aca="1" ref="A305" ca="1">SplitValues("; ",#REF!)</f>
        <v>#NAME?</v>
      </c>
      <c r="AA305" t="e">
        <f ca="1">_xlfn.IFNA(MATCH(A305,Achievements[[#All],[Column1]],0)+11,"")</f>
        <v>#NAME?</v>
      </c>
      <c r="AB305" s="134" t="str">
        <f>_xlfn.IFNA(MATCH(B305,Achievements[[#All],[Column1]],0)+10,"")</f>
        <v/>
      </c>
      <c r="AC305" s="134" t="str">
        <f>_xlfn.IFNA(MATCH(C305,Achievements[[#All],[Column1]],0)+10,"")</f>
        <v/>
      </c>
      <c r="AD305" s="134" t="str">
        <f>_xlfn.IFNA(MATCH(D305,Achievements[[#All],[Column110]],0)+10,"")</f>
        <v/>
      </c>
      <c r="AE305" s="134" t="str">
        <f>_xlfn.IFNA(MATCH(E305,Achievements[[#All],[Column110]],0)+10,"")</f>
        <v/>
      </c>
      <c r="AF305" s="134" t="str">
        <f>_xlfn.IFNA(MATCH(F305,Achievements[[#All],[Column111]],0)+10,"")</f>
        <v/>
      </c>
      <c r="AG305" s="134" t="str">
        <f>_xlfn.IFNA(MATCH(G305,Achievements[[#All],[Column111]],0)+10,"")</f>
        <v/>
      </c>
      <c r="AH305" s="134" t="str">
        <f>_xlfn.IFNA(MATCH(H305,Achievements[[#All],[Column112]],0)+10,"")</f>
        <v/>
      </c>
      <c r="AI305" s="134" t="str">
        <f>_xlfn.IFNA(MATCH(I305,Achievements[[#All],[Column112]],0)+10,"")</f>
        <v/>
      </c>
      <c r="AJ305" s="134" t="str">
        <f>_xlfn.IFNA(MATCH(J305,Achievements[[#All],[Column113]],0)+10,"")</f>
        <v/>
      </c>
      <c r="AK305" s="134" t="str">
        <f>_xlfn.IFNA(MATCH(K305,Achievements[[#All],[Column113]],0)+10,"")</f>
        <v/>
      </c>
      <c r="AL305" s="134" t="str">
        <f>_xlfn.IFNA(MATCH(L305,Achievements[[#All],[Column114]],0)+10,"")</f>
        <v/>
      </c>
      <c r="AM305" s="134" t="str">
        <f>_xlfn.IFNA(MATCH(M305,Achievements[[#All],[Column114]],0)+10,"")</f>
        <v/>
      </c>
      <c r="AN305" s="134" t="str">
        <f>_xlfn.IFNA(MATCH(N305,Achievements[[#All],[Column115]],0)+10,"")</f>
        <v/>
      </c>
      <c r="AO305" s="134" t="str">
        <f>_xlfn.IFNA(MATCH(O305,Achievements[[#All],[Column115]],0)+10,"")</f>
        <v/>
      </c>
      <c r="AP305" s="134" t="str">
        <f>_xlfn.IFNA(MATCH(P305,Achievements[[#All],[Column116]],0)+10,"")</f>
        <v/>
      </c>
      <c r="AQ305" s="134" t="str">
        <f>_xlfn.IFNA(MATCH(Q305,Achievements[[#All],[Column116]],0)+10,"")</f>
        <v/>
      </c>
      <c r="AR305" s="134" t="str">
        <f>_xlfn.IFNA(MATCH(R305,Achievements[[#All],[Column117]],0)+10,"")</f>
        <v/>
      </c>
      <c r="AS305" s="134" t="str">
        <f>_xlfn.IFNA(MATCH(S305,Achievements[[#All],[Column117]],0)+10,"")</f>
        <v/>
      </c>
      <c r="AT305" s="134" t="str">
        <f>_xlfn.IFNA(MATCH(T305,Achievements[[#All],[Column118]],0)+10,"")</f>
        <v/>
      </c>
      <c r="AU305" s="134" t="str">
        <f>_xlfn.IFNA(MATCH(U305,Achievements[[#All],[Column118]],0)+10,"")</f>
        <v/>
      </c>
      <c r="AV305" s="134" t="str">
        <f>_xlfn.IFNA(MATCH(V305,Achievements[[#All],[Column119]],0)+10,"")</f>
        <v/>
      </c>
      <c r="AW305" s="134" t="str">
        <f>_xlfn.IFNA(MATCH(W305,Achievements[[#All],[Column119]],0)+10,"")</f>
        <v/>
      </c>
      <c r="AX305" s="134" t="str">
        <f>_xlfn.IFNA(MATCH(X305,Achievements[[#All],[Column120]],0)+10,"")</f>
        <v/>
      </c>
      <c r="AY305" s="134" t="str">
        <f>_xlfn.IFNA(MATCH(Y305,Achievements[[#All],[Column120]],0)+10,"")</f>
        <v/>
      </c>
      <c r="AZ305" s="116" t="e">
        <f t="shared" ca="1" si="8"/>
        <v>#NAME?</v>
      </c>
      <c r="BA305" s="134" t="e" cm="1">
        <f t="array" aca="1" ref="BA305" ca="1">SplitValues("; ",Persons[[#This Row],[Column1]])</f>
        <v>#NAME?</v>
      </c>
      <c r="CA305" s="134" t="e">
        <f ca="1">_xlfn.IFNA(MATCH(BA305,Achievements[[#All],[Column1]],0)+10,"")</f>
        <v>#NAME?</v>
      </c>
      <c r="CB305" s="134" t="str">
        <f>_xlfn.IFNA(MATCH(BB305,Achievements[[#All],[Column1]],0)+10,"")</f>
        <v/>
      </c>
      <c r="CC305" s="134" t="str">
        <f>_xlfn.IFNA(MATCH(BC305,Achievements[[#All],[Column110]],0)+10,"")</f>
        <v/>
      </c>
      <c r="CD305" s="134" t="str">
        <f>_xlfn.IFNA(MATCH(BD305,Achievements[[#All],[Column110]],0)+10,"")</f>
        <v/>
      </c>
      <c r="CE305" s="134" t="str">
        <f>_xlfn.IFNA(MATCH(BE305,Achievements[[#All],[Column111]],0)+10,"")</f>
        <v/>
      </c>
      <c r="CF305" s="134" t="str">
        <f>_xlfn.IFNA(MATCH(BF305,Achievements[[#All],[Column111]],0)+10,"")</f>
        <v/>
      </c>
      <c r="CG305" s="134" t="str">
        <f>_xlfn.IFNA(MATCH(BG305,Achievements[[#All],[Column112]],0)+10,"")</f>
        <v/>
      </c>
      <c r="CH305" s="134" t="str">
        <f>_xlfn.IFNA(MATCH(BH305,Achievements[[#All],[Column112]],0)+10,"")</f>
        <v/>
      </c>
      <c r="CI305" s="134" t="str">
        <f>_xlfn.IFNA(MATCH(BI305,Achievements[[#All],[Column113]],0)+10,"")</f>
        <v/>
      </c>
      <c r="CJ305" s="134" t="str">
        <f>_xlfn.IFNA(MATCH(BJ305,Achievements[[#All],[Column113]],0)+10,"")</f>
        <v/>
      </c>
      <c r="CK305" s="134" t="str">
        <f>_xlfn.IFNA(MATCH(BK305,Achievements[[#All],[Column114]],0)+10,"")</f>
        <v/>
      </c>
      <c r="CL305" s="134" t="str">
        <f>_xlfn.IFNA(MATCH(BL305,Achievements[[#All],[Column114]],0)+10,"")</f>
        <v/>
      </c>
      <c r="CM305" s="134" t="str">
        <f>_xlfn.IFNA(MATCH(BM305,Achievements[[#All],[Column115]],0)+10,"")</f>
        <v/>
      </c>
      <c r="CN305" s="134" t="str">
        <f>_xlfn.IFNA(MATCH(BN305,Achievements[[#All],[Column115]],0)+10,"")</f>
        <v/>
      </c>
      <c r="CO305" s="134" t="str">
        <f>_xlfn.IFNA(MATCH(BO305,Achievements[[#All],[Column116]],0)+10,"")</f>
        <v/>
      </c>
      <c r="CP305" s="134" t="str">
        <f>_xlfn.IFNA(MATCH(BP305,Achievements[[#All],[Column116]],0)+10,"")</f>
        <v/>
      </c>
      <c r="CQ305" s="134" t="str">
        <f>_xlfn.IFNA(MATCH(BQ305,Achievements[[#All],[Column117]],0)+10,"")</f>
        <v/>
      </c>
      <c r="CR305" s="134" t="str">
        <f>_xlfn.IFNA(MATCH(BR305,Achievements[[#All],[Column117]],0)+10,"")</f>
        <v/>
      </c>
      <c r="CS305" s="134" t="str">
        <f>_xlfn.IFNA(MATCH(BS305,Achievements[[#All],[Column118]],0)+10,"")</f>
        <v/>
      </c>
      <c r="CT305" s="134" t="str">
        <f>_xlfn.IFNA(MATCH(BT305,Achievements[[#All],[Column118]],0)+10,"")</f>
        <v/>
      </c>
      <c r="CU305" s="134" t="str">
        <f>_xlfn.IFNA(MATCH(BU305,Achievements[[#All],[Column119]],0)+10,"")</f>
        <v/>
      </c>
      <c r="CV305" s="134" t="str">
        <f>_xlfn.IFNA(MATCH(BV305,Achievements[[#All],[Column119]],0)+10,"")</f>
        <v/>
      </c>
      <c r="CW305" s="134" t="str">
        <f>_xlfn.IFNA(MATCH(BW305,Achievements[[#All],[Column120]],0)+10,"")</f>
        <v/>
      </c>
      <c r="CX305" s="134" t="str">
        <f>_xlfn.IFNA(MATCH(BX305,Achievements[[#All],[Column120]],0)+10,"")</f>
        <v/>
      </c>
      <c r="CY305" s="134" t="str">
        <f>_xlfn.IFNA(MATCH(BY305,Achievements[[#All],[Column121]],0)+10,"")</f>
        <v/>
      </c>
      <c r="CZ305" s="118" t="e">
        <f t="shared" ca="1" si="9"/>
        <v>#NAME?</v>
      </c>
    </row>
    <row r="306" spans="1:104" x14ac:dyDescent="0.25">
      <c r="A306" t="e" cm="1">
        <f t="array" aca="1" ref="A306" ca="1">SplitValues("; ",#REF!)</f>
        <v>#NAME?</v>
      </c>
      <c r="AA306" t="e">
        <f ca="1">_xlfn.IFNA(MATCH(A306,Achievements[[#All],[Column1]],0)+11,"")</f>
        <v>#NAME?</v>
      </c>
      <c r="AB306" s="134" t="str">
        <f>_xlfn.IFNA(MATCH(B306,Achievements[[#All],[Column1]],0)+10,"")</f>
        <v/>
      </c>
      <c r="AC306" s="134" t="str">
        <f>_xlfn.IFNA(MATCH(C306,Achievements[[#All],[Column1]],0)+10,"")</f>
        <v/>
      </c>
      <c r="AD306" s="134" t="str">
        <f>_xlfn.IFNA(MATCH(D306,Achievements[[#All],[Column110]],0)+10,"")</f>
        <v/>
      </c>
      <c r="AE306" s="134" t="str">
        <f>_xlfn.IFNA(MATCH(E306,Achievements[[#All],[Column110]],0)+10,"")</f>
        <v/>
      </c>
      <c r="AF306" s="134" t="str">
        <f>_xlfn.IFNA(MATCH(F306,Achievements[[#All],[Column111]],0)+10,"")</f>
        <v/>
      </c>
      <c r="AG306" s="134" t="str">
        <f>_xlfn.IFNA(MATCH(G306,Achievements[[#All],[Column111]],0)+10,"")</f>
        <v/>
      </c>
      <c r="AH306" s="134" t="str">
        <f>_xlfn.IFNA(MATCH(H306,Achievements[[#All],[Column112]],0)+10,"")</f>
        <v/>
      </c>
      <c r="AI306" s="134" t="str">
        <f>_xlfn.IFNA(MATCH(I306,Achievements[[#All],[Column112]],0)+10,"")</f>
        <v/>
      </c>
      <c r="AJ306" s="134" t="str">
        <f>_xlfn.IFNA(MATCH(J306,Achievements[[#All],[Column113]],0)+10,"")</f>
        <v/>
      </c>
      <c r="AK306" s="134" t="str">
        <f>_xlfn.IFNA(MATCH(K306,Achievements[[#All],[Column113]],0)+10,"")</f>
        <v/>
      </c>
      <c r="AL306" s="134" t="str">
        <f>_xlfn.IFNA(MATCH(L306,Achievements[[#All],[Column114]],0)+10,"")</f>
        <v/>
      </c>
      <c r="AM306" s="134" t="str">
        <f>_xlfn.IFNA(MATCH(M306,Achievements[[#All],[Column114]],0)+10,"")</f>
        <v/>
      </c>
      <c r="AN306" s="134" t="str">
        <f>_xlfn.IFNA(MATCH(N306,Achievements[[#All],[Column115]],0)+10,"")</f>
        <v/>
      </c>
      <c r="AO306" s="134" t="str">
        <f>_xlfn.IFNA(MATCH(O306,Achievements[[#All],[Column115]],0)+10,"")</f>
        <v/>
      </c>
      <c r="AP306" s="134" t="str">
        <f>_xlfn.IFNA(MATCH(P306,Achievements[[#All],[Column116]],0)+10,"")</f>
        <v/>
      </c>
      <c r="AQ306" s="134" t="str">
        <f>_xlfn.IFNA(MATCH(Q306,Achievements[[#All],[Column116]],0)+10,"")</f>
        <v/>
      </c>
      <c r="AR306" s="134" t="str">
        <f>_xlfn.IFNA(MATCH(R306,Achievements[[#All],[Column117]],0)+10,"")</f>
        <v/>
      </c>
      <c r="AS306" s="134" t="str">
        <f>_xlfn.IFNA(MATCH(S306,Achievements[[#All],[Column117]],0)+10,"")</f>
        <v/>
      </c>
      <c r="AT306" s="134" t="str">
        <f>_xlfn.IFNA(MATCH(T306,Achievements[[#All],[Column118]],0)+10,"")</f>
        <v/>
      </c>
      <c r="AU306" s="134" t="str">
        <f>_xlfn.IFNA(MATCH(U306,Achievements[[#All],[Column118]],0)+10,"")</f>
        <v/>
      </c>
      <c r="AV306" s="134" t="str">
        <f>_xlfn.IFNA(MATCH(V306,Achievements[[#All],[Column119]],0)+10,"")</f>
        <v/>
      </c>
      <c r="AW306" s="134" t="str">
        <f>_xlfn.IFNA(MATCH(W306,Achievements[[#All],[Column119]],0)+10,"")</f>
        <v/>
      </c>
      <c r="AX306" s="134" t="str">
        <f>_xlfn.IFNA(MATCH(X306,Achievements[[#All],[Column120]],0)+10,"")</f>
        <v/>
      </c>
      <c r="AY306" s="134" t="str">
        <f>_xlfn.IFNA(MATCH(Y306,Achievements[[#All],[Column120]],0)+10,"")</f>
        <v/>
      </c>
      <c r="AZ306" s="116" t="e">
        <f t="shared" ca="1" si="8"/>
        <v>#NAME?</v>
      </c>
      <c r="BA306" s="134" t="e" cm="1">
        <f t="array" aca="1" ref="BA306" ca="1">SplitValues("; ",Persons[[#This Row],[Column1]])</f>
        <v>#NAME?</v>
      </c>
      <c r="CA306" s="134" t="e">
        <f ca="1">_xlfn.IFNA(MATCH(BA306,Achievements[[#All],[Column1]],0)+10,"")</f>
        <v>#NAME?</v>
      </c>
      <c r="CB306" s="134" t="str">
        <f>_xlfn.IFNA(MATCH(BB306,Achievements[[#All],[Column1]],0)+10,"")</f>
        <v/>
      </c>
      <c r="CC306" s="134" t="str">
        <f>_xlfn.IFNA(MATCH(BC306,Achievements[[#All],[Column110]],0)+10,"")</f>
        <v/>
      </c>
      <c r="CD306" s="134" t="str">
        <f>_xlfn.IFNA(MATCH(BD306,Achievements[[#All],[Column110]],0)+10,"")</f>
        <v/>
      </c>
      <c r="CE306" s="134" t="str">
        <f>_xlfn.IFNA(MATCH(BE306,Achievements[[#All],[Column111]],0)+10,"")</f>
        <v/>
      </c>
      <c r="CF306" s="134" t="str">
        <f>_xlfn.IFNA(MATCH(BF306,Achievements[[#All],[Column111]],0)+10,"")</f>
        <v/>
      </c>
      <c r="CG306" s="134" t="str">
        <f>_xlfn.IFNA(MATCH(BG306,Achievements[[#All],[Column112]],0)+10,"")</f>
        <v/>
      </c>
      <c r="CH306" s="134" t="str">
        <f>_xlfn.IFNA(MATCH(BH306,Achievements[[#All],[Column112]],0)+10,"")</f>
        <v/>
      </c>
      <c r="CI306" s="134" t="str">
        <f>_xlfn.IFNA(MATCH(BI306,Achievements[[#All],[Column113]],0)+10,"")</f>
        <v/>
      </c>
      <c r="CJ306" s="134" t="str">
        <f>_xlfn.IFNA(MATCH(BJ306,Achievements[[#All],[Column113]],0)+10,"")</f>
        <v/>
      </c>
      <c r="CK306" s="134" t="str">
        <f>_xlfn.IFNA(MATCH(BK306,Achievements[[#All],[Column114]],0)+10,"")</f>
        <v/>
      </c>
      <c r="CL306" s="134" t="str">
        <f>_xlfn.IFNA(MATCH(BL306,Achievements[[#All],[Column114]],0)+10,"")</f>
        <v/>
      </c>
      <c r="CM306" s="134" t="str">
        <f>_xlfn.IFNA(MATCH(BM306,Achievements[[#All],[Column115]],0)+10,"")</f>
        <v/>
      </c>
      <c r="CN306" s="134" t="str">
        <f>_xlfn.IFNA(MATCH(BN306,Achievements[[#All],[Column115]],0)+10,"")</f>
        <v/>
      </c>
      <c r="CO306" s="134" t="str">
        <f>_xlfn.IFNA(MATCH(BO306,Achievements[[#All],[Column116]],0)+10,"")</f>
        <v/>
      </c>
      <c r="CP306" s="134" t="str">
        <f>_xlfn.IFNA(MATCH(BP306,Achievements[[#All],[Column116]],0)+10,"")</f>
        <v/>
      </c>
      <c r="CQ306" s="134" t="str">
        <f>_xlfn.IFNA(MATCH(BQ306,Achievements[[#All],[Column117]],0)+10,"")</f>
        <v/>
      </c>
      <c r="CR306" s="134" t="str">
        <f>_xlfn.IFNA(MATCH(BR306,Achievements[[#All],[Column117]],0)+10,"")</f>
        <v/>
      </c>
      <c r="CS306" s="134" t="str">
        <f>_xlfn.IFNA(MATCH(BS306,Achievements[[#All],[Column118]],0)+10,"")</f>
        <v/>
      </c>
      <c r="CT306" s="134" t="str">
        <f>_xlfn.IFNA(MATCH(BT306,Achievements[[#All],[Column118]],0)+10,"")</f>
        <v/>
      </c>
      <c r="CU306" s="134" t="str">
        <f>_xlfn.IFNA(MATCH(BU306,Achievements[[#All],[Column119]],0)+10,"")</f>
        <v/>
      </c>
      <c r="CV306" s="134" t="str">
        <f>_xlfn.IFNA(MATCH(BV306,Achievements[[#All],[Column119]],0)+10,"")</f>
        <v/>
      </c>
      <c r="CW306" s="134" t="str">
        <f>_xlfn.IFNA(MATCH(BW306,Achievements[[#All],[Column120]],0)+10,"")</f>
        <v/>
      </c>
      <c r="CX306" s="134" t="str">
        <f>_xlfn.IFNA(MATCH(BX306,Achievements[[#All],[Column120]],0)+10,"")</f>
        <v/>
      </c>
      <c r="CY306" s="134" t="str">
        <f>_xlfn.IFNA(MATCH(BY306,Achievements[[#All],[Column121]],0)+10,"")</f>
        <v/>
      </c>
      <c r="CZ306" s="118" t="e">
        <f t="shared" ca="1" si="9"/>
        <v>#NAME?</v>
      </c>
    </row>
    <row r="307" spans="1:104" x14ac:dyDescent="0.25">
      <c r="A307" t="e" cm="1">
        <f t="array" aca="1" ref="A307" ca="1">SplitValues("; ",#REF!)</f>
        <v>#NAME?</v>
      </c>
      <c r="AA307" t="e">
        <f ca="1">_xlfn.IFNA(MATCH(A307,Achievements[[#All],[Column1]],0)+11,"")</f>
        <v>#NAME?</v>
      </c>
      <c r="AB307" s="134" t="str">
        <f>_xlfn.IFNA(MATCH(B307,Achievements[[#All],[Column1]],0)+10,"")</f>
        <v/>
      </c>
      <c r="AC307" s="134" t="str">
        <f>_xlfn.IFNA(MATCH(C307,Achievements[[#All],[Column1]],0)+10,"")</f>
        <v/>
      </c>
      <c r="AD307" s="134" t="str">
        <f>_xlfn.IFNA(MATCH(D307,Achievements[[#All],[Column110]],0)+10,"")</f>
        <v/>
      </c>
      <c r="AE307" s="134" t="str">
        <f>_xlfn.IFNA(MATCH(E307,Achievements[[#All],[Column110]],0)+10,"")</f>
        <v/>
      </c>
      <c r="AF307" s="134" t="str">
        <f>_xlfn.IFNA(MATCH(F307,Achievements[[#All],[Column111]],0)+10,"")</f>
        <v/>
      </c>
      <c r="AG307" s="134" t="str">
        <f>_xlfn.IFNA(MATCH(G307,Achievements[[#All],[Column111]],0)+10,"")</f>
        <v/>
      </c>
      <c r="AH307" s="134" t="str">
        <f>_xlfn.IFNA(MATCH(H307,Achievements[[#All],[Column112]],0)+10,"")</f>
        <v/>
      </c>
      <c r="AI307" s="134" t="str">
        <f>_xlfn.IFNA(MATCH(I307,Achievements[[#All],[Column112]],0)+10,"")</f>
        <v/>
      </c>
      <c r="AJ307" s="134" t="str">
        <f>_xlfn.IFNA(MATCH(J307,Achievements[[#All],[Column113]],0)+10,"")</f>
        <v/>
      </c>
      <c r="AK307" s="134" t="str">
        <f>_xlfn.IFNA(MATCH(K307,Achievements[[#All],[Column113]],0)+10,"")</f>
        <v/>
      </c>
      <c r="AL307" s="134" t="str">
        <f>_xlfn.IFNA(MATCH(L307,Achievements[[#All],[Column114]],0)+10,"")</f>
        <v/>
      </c>
      <c r="AM307" s="134" t="str">
        <f>_xlfn.IFNA(MATCH(M307,Achievements[[#All],[Column114]],0)+10,"")</f>
        <v/>
      </c>
      <c r="AN307" s="134" t="str">
        <f>_xlfn.IFNA(MATCH(N307,Achievements[[#All],[Column115]],0)+10,"")</f>
        <v/>
      </c>
      <c r="AO307" s="134" t="str">
        <f>_xlfn.IFNA(MATCH(O307,Achievements[[#All],[Column115]],0)+10,"")</f>
        <v/>
      </c>
      <c r="AP307" s="134" t="str">
        <f>_xlfn.IFNA(MATCH(P307,Achievements[[#All],[Column116]],0)+10,"")</f>
        <v/>
      </c>
      <c r="AQ307" s="134" t="str">
        <f>_xlfn.IFNA(MATCH(Q307,Achievements[[#All],[Column116]],0)+10,"")</f>
        <v/>
      </c>
      <c r="AR307" s="134" t="str">
        <f>_xlfn.IFNA(MATCH(R307,Achievements[[#All],[Column117]],0)+10,"")</f>
        <v/>
      </c>
      <c r="AS307" s="134" t="str">
        <f>_xlfn.IFNA(MATCH(S307,Achievements[[#All],[Column117]],0)+10,"")</f>
        <v/>
      </c>
      <c r="AT307" s="134" t="str">
        <f>_xlfn.IFNA(MATCH(T307,Achievements[[#All],[Column118]],0)+10,"")</f>
        <v/>
      </c>
      <c r="AU307" s="134" t="str">
        <f>_xlfn.IFNA(MATCH(U307,Achievements[[#All],[Column118]],0)+10,"")</f>
        <v/>
      </c>
      <c r="AV307" s="134" t="str">
        <f>_xlfn.IFNA(MATCH(V307,Achievements[[#All],[Column119]],0)+10,"")</f>
        <v/>
      </c>
      <c r="AW307" s="134" t="str">
        <f>_xlfn.IFNA(MATCH(W307,Achievements[[#All],[Column119]],0)+10,"")</f>
        <v/>
      </c>
      <c r="AX307" s="134" t="str">
        <f>_xlfn.IFNA(MATCH(X307,Achievements[[#All],[Column120]],0)+10,"")</f>
        <v/>
      </c>
      <c r="AY307" s="134" t="str">
        <f>_xlfn.IFNA(MATCH(Y307,Achievements[[#All],[Column120]],0)+10,"")</f>
        <v/>
      </c>
      <c r="AZ307" s="116" t="e">
        <f t="shared" ca="1" si="8"/>
        <v>#NAME?</v>
      </c>
      <c r="BA307" s="134" t="e" cm="1">
        <f t="array" aca="1" ref="BA307" ca="1">SplitValues("; ",Persons[[#This Row],[Column1]])</f>
        <v>#NAME?</v>
      </c>
      <c r="CA307" s="134" t="e">
        <f ca="1">_xlfn.IFNA(MATCH(BA307,Achievements[[#All],[Column1]],0)+10,"")</f>
        <v>#NAME?</v>
      </c>
      <c r="CB307" s="134" t="str">
        <f>_xlfn.IFNA(MATCH(BB307,Achievements[[#All],[Column1]],0)+10,"")</f>
        <v/>
      </c>
      <c r="CC307" s="134" t="str">
        <f>_xlfn.IFNA(MATCH(BC307,Achievements[[#All],[Column110]],0)+10,"")</f>
        <v/>
      </c>
      <c r="CD307" s="134" t="str">
        <f>_xlfn.IFNA(MATCH(BD307,Achievements[[#All],[Column110]],0)+10,"")</f>
        <v/>
      </c>
      <c r="CE307" s="134" t="str">
        <f>_xlfn.IFNA(MATCH(BE307,Achievements[[#All],[Column111]],0)+10,"")</f>
        <v/>
      </c>
      <c r="CF307" s="134" t="str">
        <f>_xlfn.IFNA(MATCH(BF307,Achievements[[#All],[Column111]],0)+10,"")</f>
        <v/>
      </c>
      <c r="CG307" s="134" t="str">
        <f>_xlfn.IFNA(MATCH(BG307,Achievements[[#All],[Column112]],0)+10,"")</f>
        <v/>
      </c>
      <c r="CH307" s="134" t="str">
        <f>_xlfn.IFNA(MATCH(BH307,Achievements[[#All],[Column112]],0)+10,"")</f>
        <v/>
      </c>
      <c r="CI307" s="134" t="str">
        <f>_xlfn.IFNA(MATCH(BI307,Achievements[[#All],[Column113]],0)+10,"")</f>
        <v/>
      </c>
      <c r="CJ307" s="134" t="str">
        <f>_xlfn.IFNA(MATCH(BJ307,Achievements[[#All],[Column113]],0)+10,"")</f>
        <v/>
      </c>
      <c r="CK307" s="134" t="str">
        <f>_xlfn.IFNA(MATCH(BK307,Achievements[[#All],[Column114]],0)+10,"")</f>
        <v/>
      </c>
      <c r="CL307" s="134" t="str">
        <f>_xlfn.IFNA(MATCH(BL307,Achievements[[#All],[Column114]],0)+10,"")</f>
        <v/>
      </c>
      <c r="CM307" s="134" t="str">
        <f>_xlfn.IFNA(MATCH(BM307,Achievements[[#All],[Column115]],0)+10,"")</f>
        <v/>
      </c>
      <c r="CN307" s="134" t="str">
        <f>_xlfn.IFNA(MATCH(BN307,Achievements[[#All],[Column115]],0)+10,"")</f>
        <v/>
      </c>
      <c r="CO307" s="134" t="str">
        <f>_xlfn.IFNA(MATCH(BO307,Achievements[[#All],[Column116]],0)+10,"")</f>
        <v/>
      </c>
      <c r="CP307" s="134" t="str">
        <f>_xlfn.IFNA(MATCH(BP307,Achievements[[#All],[Column116]],0)+10,"")</f>
        <v/>
      </c>
      <c r="CQ307" s="134" t="str">
        <f>_xlfn.IFNA(MATCH(BQ307,Achievements[[#All],[Column117]],0)+10,"")</f>
        <v/>
      </c>
      <c r="CR307" s="134" t="str">
        <f>_xlfn.IFNA(MATCH(BR307,Achievements[[#All],[Column117]],0)+10,"")</f>
        <v/>
      </c>
      <c r="CS307" s="134" t="str">
        <f>_xlfn.IFNA(MATCH(BS307,Achievements[[#All],[Column118]],0)+10,"")</f>
        <v/>
      </c>
      <c r="CT307" s="134" t="str">
        <f>_xlfn.IFNA(MATCH(BT307,Achievements[[#All],[Column118]],0)+10,"")</f>
        <v/>
      </c>
      <c r="CU307" s="134" t="str">
        <f>_xlfn.IFNA(MATCH(BU307,Achievements[[#All],[Column119]],0)+10,"")</f>
        <v/>
      </c>
      <c r="CV307" s="134" t="str">
        <f>_xlfn.IFNA(MATCH(BV307,Achievements[[#All],[Column119]],0)+10,"")</f>
        <v/>
      </c>
      <c r="CW307" s="134" t="str">
        <f>_xlfn.IFNA(MATCH(BW307,Achievements[[#All],[Column120]],0)+10,"")</f>
        <v/>
      </c>
      <c r="CX307" s="134" t="str">
        <f>_xlfn.IFNA(MATCH(BX307,Achievements[[#All],[Column120]],0)+10,"")</f>
        <v/>
      </c>
      <c r="CY307" s="134" t="str">
        <f>_xlfn.IFNA(MATCH(BY307,Achievements[[#All],[Column121]],0)+10,"")</f>
        <v/>
      </c>
      <c r="CZ307" s="118" t="e">
        <f t="shared" ca="1" si="9"/>
        <v>#NAME?</v>
      </c>
    </row>
    <row r="308" spans="1:104" x14ac:dyDescent="0.25">
      <c r="A308" t="e" cm="1">
        <f t="array" aca="1" ref="A308" ca="1">SplitValues("; ",#REF!)</f>
        <v>#NAME?</v>
      </c>
      <c r="AA308" t="e">
        <f ca="1">_xlfn.IFNA(MATCH(A308,Achievements[[#All],[Column1]],0)+11,"")</f>
        <v>#NAME?</v>
      </c>
      <c r="AB308" s="134" t="str">
        <f>_xlfn.IFNA(MATCH(B308,Achievements[[#All],[Column1]],0)+10,"")</f>
        <v/>
      </c>
      <c r="AC308" s="134" t="str">
        <f>_xlfn.IFNA(MATCH(C308,Achievements[[#All],[Column1]],0)+10,"")</f>
        <v/>
      </c>
      <c r="AD308" s="134" t="str">
        <f>_xlfn.IFNA(MATCH(D308,Achievements[[#All],[Column110]],0)+10,"")</f>
        <v/>
      </c>
      <c r="AE308" s="134" t="str">
        <f>_xlfn.IFNA(MATCH(E308,Achievements[[#All],[Column110]],0)+10,"")</f>
        <v/>
      </c>
      <c r="AF308" s="134" t="str">
        <f>_xlfn.IFNA(MATCH(F308,Achievements[[#All],[Column111]],0)+10,"")</f>
        <v/>
      </c>
      <c r="AG308" s="134" t="str">
        <f>_xlfn.IFNA(MATCH(G308,Achievements[[#All],[Column111]],0)+10,"")</f>
        <v/>
      </c>
      <c r="AH308" s="134" t="str">
        <f>_xlfn.IFNA(MATCH(H308,Achievements[[#All],[Column112]],0)+10,"")</f>
        <v/>
      </c>
      <c r="AI308" s="134" t="str">
        <f>_xlfn.IFNA(MATCH(I308,Achievements[[#All],[Column112]],0)+10,"")</f>
        <v/>
      </c>
      <c r="AJ308" s="134" t="str">
        <f>_xlfn.IFNA(MATCH(J308,Achievements[[#All],[Column113]],0)+10,"")</f>
        <v/>
      </c>
      <c r="AK308" s="134" t="str">
        <f>_xlfn.IFNA(MATCH(K308,Achievements[[#All],[Column113]],0)+10,"")</f>
        <v/>
      </c>
      <c r="AL308" s="134" t="str">
        <f>_xlfn.IFNA(MATCH(L308,Achievements[[#All],[Column114]],0)+10,"")</f>
        <v/>
      </c>
      <c r="AM308" s="134" t="str">
        <f>_xlfn.IFNA(MATCH(M308,Achievements[[#All],[Column114]],0)+10,"")</f>
        <v/>
      </c>
      <c r="AN308" s="134" t="str">
        <f>_xlfn.IFNA(MATCH(N308,Achievements[[#All],[Column115]],0)+10,"")</f>
        <v/>
      </c>
      <c r="AO308" s="134" t="str">
        <f>_xlfn.IFNA(MATCH(O308,Achievements[[#All],[Column115]],0)+10,"")</f>
        <v/>
      </c>
      <c r="AP308" s="134" t="str">
        <f>_xlfn.IFNA(MATCH(P308,Achievements[[#All],[Column116]],0)+10,"")</f>
        <v/>
      </c>
      <c r="AQ308" s="134" t="str">
        <f>_xlfn.IFNA(MATCH(Q308,Achievements[[#All],[Column116]],0)+10,"")</f>
        <v/>
      </c>
      <c r="AR308" s="134" t="str">
        <f>_xlfn.IFNA(MATCH(R308,Achievements[[#All],[Column117]],0)+10,"")</f>
        <v/>
      </c>
      <c r="AS308" s="134" t="str">
        <f>_xlfn.IFNA(MATCH(S308,Achievements[[#All],[Column117]],0)+10,"")</f>
        <v/>
      </c>
      <c r="AT308" s="134" t="str">
        <f>_xlfn.IFNA(MATCH(T308,Achievements[[#All],[Column118]],0)+10,"")</f>
        <v/>
      </c>
      <c r="AU308" s="134" t="str">
        <f>_xlfn.IFNA(MATCH(U308,Achievements[[#All],[Column118]],0)+10,"")</f>
        <v/>
      </c>
      <c r="AV308" s="134" t="str">
        <f>_xlfn.IFNA(MATCH(V308,Achievements[[#All],[Column119]],0)+10,"")</f>
        <v/>
      </c>
      <c r="AW308" s="134" t="str">
        <f>_xlfn.IFNA(MATCH(W308,Achievements[[#All],[Column119]],0)+10,"")</f>
        <v/>
      </c>
      <c r="AX308" s="134" t="str">
        <f>_xlfn.IFNA(MATCH(X308,Achievements[[#All],[Column120]],0)+10,"")</f>
        <v/>
      </c>
      <c r="AY308" s="134" t="str">
        <f>_xlfn.IFNA(MATCH(Y308,Achievements[[#All],[Column120]],0)+10,"")</f>
        <v/>
      </c>
      <c r="AZ308" s="116" t="e">
        <f t="shared" ca="1" si="8"/>
        <v>#NAME?</v>
      </c>
      <c r="BA308" s="134" t="e" cm="1">
        <f t="array" aca="1" ref="BA308" ca="1">SplitValues("; ",Persons[[#This Row],[Column1]])</f>
        <v>#NAME?</v>
      </c>
      <c r="CA308" s="134" t="e">
        <f ca="1">_xlfn.IFNA(MATCH(BA308,Achievements[[#All],[Column1]],0)+10,"")</f>
        <v>#NAME?</v>
      </c>
      <c r="CB308" s="134" t="str">
        <f>_xlfn.IFNA(MATCH(BB308,Achievements[[#All],[Column1]],0)+10,"")</f>
        <v/>
      </c>
      <c r="CC308" s="134" t="str">
        <f>_xlfn.IFNA(MATCH(BC308,Achievements[[#All],[Column110]],0)+10,"")</f>
        <v/>
      </c>
      <c r="CD308" s="134" t="str">
        <f>_xlfn.IFNA(MATCH(BD308,Achievements[[#All],[Column110]],0)+10,"")</f>
        <v/>
      </c>
      <c r="CE308" s="134" t="str">
        <f>_xlfn.IFNA(MATCH(BE308,Achievements[[#All],[Column111]],0)+10,"")</f>
        <v/>
      </c>
      <c r="CF308" s="134" t="str">
        <f>_xlfn.IFNA(MATCH(BF308,Achievements[[#All],[Column111]],0)+10,"")</f>
        <v/>
      </c>
      <c r="CG308" s="134" t="str">
        <f>_xlfn.IFNA(MATCH(BG308,Achievements[[#All],[Column112]],0)+10,"")</f>
        <v/>
      </c>
      <c r="CH308" s="134" t="str">
        <f>_xlfn.IFNA(MATCH(BH308,Achievements[[#All],[Column112]],0)+10,"")</f>
        <v/>
      </c>
      <c r="CI308" s="134" t="str">
        <f>_xlfn.IFNA(MATCH(BI308,Achievements[[#All],[Column113]],0)+10,"")</f>
        <v/>
      </c>
      <c r="CJ308" s="134" t="str">
        <f>_xlfn.IFNA(MATCH(BJ308,Achievements[[#All],[Column113]],0)+10,"")</f>
        <v/>
      </c>
      <c r="CK308" s="134" t="str">
        <f>_xlfn.IFNA(MATCH(BK308,Achievements[[#All],[Column114]],0)+10,"")</f>
        <v/>
      </c>
      <c r="CL308" s="134" t="str">
        <f>_xlfn.IFNA(MATCH(BL308,Achievements[[#All],[Column114]],0)+10,"")</f>
        <v/>
      </c>
      <c r="CM308" s="134" t="str">
        <f>_xlfn.IFNA(MATCH(BM308,Achievements[[#All],[Column115]],0)+10,"")</f>
        <v/>
      </c>
      <c r="CN308" s="134" t="str">
        <f>_xlfn.IFNA(MATCH(BN308,Achievements[[#All],[Column115]],0)+10,"")</f>
        <v/>
      </c>
      <c r="CO308" s="134" t="str">
        <f>_xlfn.IFNA(MATCH(BO308,Achievements[[#All],[Column116]],0)+10,"")</f>
        <v/>
      </c>
      <c r="CP308" s="134" t="str">
        <f>_xlfn.IFNA(MATCH(BP308,Achievements[[#All],[Column116]],0)+10,"")</f>
        <v/>
      </c>
      <c r="CQ308" s="134" t="str">
        <f>_xlfn.IFNA(MATCH(BQ308,Achievements[[#All],[Column117]],0)+10,"")</f>
        <v/>
      </c>
      <c r="CR308" s="134" t="str">
        <f>_xlfn.IFNA(MATCH(BR308,Achievements[[#All],[Column117]],0)+10,"")</f>
        <v/>
      </c>
      <c r="CS308" s="134" t="str">
        <f>_xlfn.IFNA(MATCH(BS308,Achievements[[#All],[Column118]],0)+10,"")</f>
        <v/>
      </c>
      <c r="CT308" s="134" t="str">
        <f>_xlfn.IFNA(MATCH(BT308,Achievements[[#All],[Column118]],0)+10,"")</f>
        <v/>
      </c>
      <c r="CU308" s="134" t="str">
        <f>_xlfn.IFNA(MATCH(BU308,Achievements[[#All],[Column119]],0)+10,"")</f>
        <v/>
      </c>
      <c r="CV308" s="134" t="str">
        <f>_xlfn.IFNA(MATCH(BV308,Achievements[[#All],[Column119]],0)+10,"")</f>
        <v/>
      </c>
      <c r="CW308" s="134" t="str">
        <f>_xlfn.IFNA(MATCH(BW308,Achievements[[#All],[Column120]],0)+10,"")</f>
        <v/>
      </c>
      <c r="CX308" s="134" t="str">
        <f>_xlfn.IFNA(MATCH(BX308,Achievements[[#All],[Column120]],0)+10,"")</f>
        <v/>
      </c>
      <c r="CY308" s="134" t="str">
        <f>_xlfn.IFNA(MATCH(BY308,Achievements[[#All],[Column121]],0)+10,"")</f>
        <v/>
      </c>
      <c r="CZ308" s="118" t="e">
        <f t="shared" ca="1" si="9"/>
        <v>#NAME?</v>
      </c>
    </row>
    <row r="309" spans="1:104" x14ac:dyDescent="0.25">
      <c r="A309" t="e" cm="1">
        <f t="array" aca="1" ref="A309" ca="1">SplitValues("; ",#REF!)</f>
        <v>#NAME?</v>
      </c>
      <c r="AA309" t="e">
        <f ca="1">_xlfn.IFNA(MATCH(A309,Achievements[[#All],[Column1]],0)+11,"")</f>
        <v>#NAME?</v>
      </c>
      <c r="AB309" s="134" t="str">
        <f>_xlfn.IFNA(MATCH(B309,Achievements[[#All],[Column1]],0)+10,"")</f>
        <v/>
      </c>
      <c r="AC309" s="134" t="str">
        <f>_xlfn.IFNA(MATCH(C309,Achievements[[#All],[Column1]],0)+10,"")</f>
        <v/>
      </c>
      <c r="AD309" s="134" t="str">
        <f>_xlfn.IFNA(MATCH(D309,Achievements[[#All],[Column110]],0)+10,"")</f>
        <v/>
      </c>
      <c r="AE309" s="134" t="str">
        <f>_xlfn.IFNA(MATCH(E309,Achievements[[#All],[Column110]],0)+10,"")</f>
        <v/>
      </c>
      <c r="AF309" s="134" t="str">
        <f>_xlfn.IFNA(MATCH(F309,Achievements[[#All],[Column111]],0)+10,"")</f>
        <v/>
      </c>
      <c r="AG309" s="134" t="str">
        <f>_xlfn.IFNA(MATCH(G309,Achievements[[#All],[Column111]],0)+10,"")</f>
        <v/>
      </c>
      <c r="AH309" s="134" t="str">
        <f>_xlfn.IFNA(MATCH(H309,Achievements[[#All],[Column112]],0)+10,"")</f>
        <v/>
      </c>
      <c r="AI309" s="134" t="str">
        <f>_xlfn.IFNA(MATCH(I309,Achievements[[#All],[Column112]],0)+10,"")</f>
        <v/>
      </c>
      <c r="AJ309" s="134" t="str">
        <f>_xlfn.IFNA(MATCH(J309,Achievements[[#All],[Column113]],0)+10,"")</f>
        <v/>
      </c>
      <c r="AK309" s="134" t="str">
        <f>_xlfn.IFNA(MATCH(K309,Achievements[[#All],[Column113]],0)+10,"")</f>
        <v/>
      </c>
      <c r="AL309" s="134" t="str">
        <f>_xlfn.IFNA(MATCH(L309,Achievements[[#All],[Column114]],0)+10,"")</f>
        <v/>
      </c>
      <c r="AM309" s="134" t="str">
        <f>_xlfn.IFNA(MATCH(M309,Achievements[[#All],[Column114]],0)+10,"")</f>
        <v/>
      </c>
      <c r="AN309" s="134" t="str">
        <f>_xlfn.IFNA(MATCH(N309,Achievements[[#All],[Column115]],0)+10,"")</f>
        <v/>
      </c>
      <c r="AO309" s="134" t="str">
        <f>_xlfn.IFNA(MATCH(O309,Achievements[[#All],[Column115]],0)+10,"")</f>
        <v/>
      </c>
      <c r="AP309" s="134" t="str">
        <f>_xlfn.IFNA(MATCH(P309,Achievements[[#All],[Column116]],0)+10,"")</f>
        <v/>
      </c>
      <c r="AQ309" s="134" t="str">
        <f>_xlfn.IFNA(MATCH(Q309,Achievements[[#All],[Column116]],0)+10,"")</f>
        <v/>
      </c>
      <c r="AR309" s="134" t="str">
        <f>_xlfn.IFNA(MATCH(R309,Achievements[[#All],[Column117]],0)+10,"")</f>
        <v/>
      </c>
      <c r="AS309" s="134" t="str">
        <f>_xlfn.IFNA(MATCH(S309,Achievements[[#All],[Column117]],0)+10,"")</f>
        <v/>
      </c>
      <c r="AT309" s="134" t="str">
        <f>_xlfn.IFNA(MATCH(T309,Achievements[[#All],[Column118]],0)+10,"")</f>
        <v/>
      </c>
      <c r="AU309" s="134" t="str">
        <f>_xlfn.IFNA(MATCH(U309,Achievements[[#All],[Column118]],0)+10,"")</f>
        <v/>
      </c>
      <c r="AV309" s="134" t="str">
        <f>_xlfn.IFNA(MATCH(V309,Achievements[[#All],[Column119]],0)+10,"")</f>
        <v/>
      </c>
      <c r="AW309" s="134" t="str">
        <f>_xlfn.IFNA(MATCH(W309,Achievements[[#All],[Column119]],0)+10,"")</f>
        <v/>
      </c>
      <c r="AX309" s="134" t="str">
        <f>_xlfn.IFNA(MATCH(X309,Achievements[[#All],[Column120]],0)+10,"")</f>
        <v/>
      </c>
      <c r="AY309" s="134" t="str">
        <f>_xlfn.IFNA(MATCH(Y309,Achievements[[#All],[Column120]],0)+10,"")</f>
        <v/>
      </c>
      <c r="AZ309" s="116" t="e">
        <f t="shared" ca="1" si="8"/>
        <v>#NAME?</v>
      </c>
      <c r="BA309" s="134" t="e" cm="1">
        <f t="array" aca="1" ref="BA309" ca="1">SplitValues("; ",Persons[[#This Row],[Column1]])</f>
        <v>#NAME?</v>
      </c>
      <c r="CA309" s="134" t="e">
        <f ca="1">_xlfn.IFNA(MATCH(BA309,Achievements[[#All],[Column1]],0)+10,"")</f>
        <v>#NAME?</v>
      </c>
      <c r="CB309" s="134" t="str">
        <f>_xlfn.IFNA(MATCH(BB309,Achievements[[#All],[Column1]],0)+10,"")</f>
        <v/>
      </c>
      <c r="CC309" s="134" t="str">
        <f>_xlfn.IFNA(MATCH(BC309,Achievements[[#All],[Column110]],0)+10,"")</f>
        <v/>
      </c>
      <c r="CD309" s="134" t="str">
        <f>_xlfn.IFNA(MATCH(BD309,Achievements[[#All],[Column110]],0)+10,"")</f>
        <v/>
      </c>
      <c r="CE309" s="134" t="str">
        <f>_xlfn.IFNA(MATCH(BE309,Achievements[[#All],[Column111]],0)+10,"")</f>
        <v/>
      </c>
      <c r="CF309" s="134" t="str">
        <f>_xlfn.IFNA(MATCH(BF309,Achievements[[#All],[Column111]],0)+10,"")</f>
        <v/>
      </c>
      <c r="CG309" s="134" t="str">
        <f>_xlfn.IFNA(MATCH(BG309,Achievements[[#All],[Column112]],0)+10,"")</f>
        <v/>
      </c>
      <c r="CH309" s="134" t="str">
        <f>_xlfn.IFNA(MATCH(BH309,Achievements[[#All],[Column112]],0)+10,"")</f>
        <v/>
      </c>
      <c r="CI309" s="134" t="str">
        <f>_xlfn.IFNA(MATCH(BI309,Achievements[[#All],[Column113]],0)+10,"")</f>
        <v/>
      </c>
      <c r="CJ309" s="134" t="str">
        <f>_xlfn.IFNA(MATCH(BJ309,Achievements[[#All],[Column113]],0)+10,"")</f>
        <v/>
      </c>
      <c r="CK309" s="134" t="str">
        <f>_xlfn.IFNA(MATCH(BK309,Achievements[[#All],[Column114]],0)+10,"")</f>
        <v/>
      </c>
      <c r="CL309" s="134" t="str">
        <f>_xlfn.IFNA(MATCH(BL309,Achievements[[#All],[Column114]],0)+10,"")</f>
        <v/>
      </c>
      <c r="CM309" s="134" t="str">
        <f>_xlfn.IFNA(MATCH(BM309,Achievements[[#All],[Column115]],0)+10,"")</f>
        <v/>
      </c>
      <c r="CN309" s="134" t="str">
        <f>_xlfn.IFNA(MATCH(BN309,Achievements[[#All],[Column115]],0)+10,"")</f>
        <v/>
      </c>
      <c r="CO309" s="134" t="str">
        <f>_xlfn.IFNA(MATCH(BO309,Achievements[[#All],[Column116]],0)+10,"")</f>
        <v/>
      </c>
      <c r="CP309" s="134" t="str">
        <f>_xlfn.IFNA(MATCH(BP309,Achievements[[#All],[Column116]],0)+10,"")</f>
        <v/>
      </c>
      <c r="CQ309" s="134" t="str">
        <f>_xlfn.IFNA(MATCH(BQ309,Achievements[[#All],[Column117]],0)+10,"")</f>
        <v/>
      </c>
      <c r="CR309" s="134" t="str">
        <f>_xlfn.IFNA(MATCH(BR309,Achievements[[#All],[Column117]],0)+10,"")</f>
        <v/>
      </c>
      <c r="CS309" s="134" t="str">
        <f>_xlfn.IFNA(MATCH(BS309,Achievements[[#All],[Column118]],0)+10,"")</f>
        <v/>
      </c>
      <c r="CT309" s="134" t="str">
        <f>_xlfn.IFNA(MATCH(BT309,Achievements[[#All],[Column118]],0)+10,"")</f>
        <v/>
      </c>
      <c r="CU309" s="134" t="str">
        <f>_xlfn.IFNA(MATCH(BU309,Achievements[[#All],[Column119]],0)+10,"")</f>
        <v/>
      </c>
      <c r="CV309" s="134" t="str">
        <f>_xlfn.IFNA(MATCH(BV309,Achievements[[#All],[Column119]],0)+10,"")</f>
        <v/>
      </c>
      <c r="CW309" s="134" t="str">
        <f>_xlfn.IFNA(MATCH(BW309,Achievements[[#All],[Column120]],0)+10,"")</f>
        <v/>
      </c>
      <c r="CX309" s="134" t="str">
        <f>_xlfn.IFNA(MATCH(BX309,Achievements[[#All],[Column120]],0)+10,"")</f>
        <v/>
      </c>
      <c r="CY309" s="134" t="str">
        <f>_xlfn.IFNA(MATCH(BY309,Achievements[[#All],[Column121]],0)+10,"")</f>
        <v/>
      </c>
      <c r="CZ309" s="118" t="e">
        <f t="shared" ca="1" si="9"/>
        <v>#NAME?</v>
      </c>
    </row>
    <row r="310" spans="1:104" x14ac:dyDescent="0.25">
      <c r="A310" t="e" cm="1">
        <f t="array" aca="1" ref="A310" ca="1">SplitValues("; ",#REF!)</f>
        <v>#NAME?</v>
      </c>
      <c r="AA310" t="e">
        <f ca="1">_xlfn.IFNA(MATCH(A310,Achievements[[#All],[Column1]],0)+11,"")</f>
        <v>#NAME?</v>
      </c>
      <c r="AB310" s="134" t="str">
        <f>_xlfn.IFNA(MATCH(B310,Achievements[[#All],[Column1]],0)+10,"")</f>
        <v/>
      </c>
      <c r="AC310" s="134" t="str">
        <f>_xlfn.IFNA(MATCH(C310,Achievements[[#All],[Column1]],0)+10,"")</f>
        <v/>
      </c>
      <c r="AD310" s="134" t="str">
        <f>_xlfn.IFNA(MATCH(D310,Achievements[[#All],[Column110]],0)+10,"")</f>
        <v/>
      </c>
      <c r="AE310" s="134" t="str">
        <f>_xlfn.IFNA(MATCH(E310,Achievements[[#All],[Column110]],0)+10,"")</f>
        <v/>
      </c>
      <c r="AF310" s="134" t="str">
        <f>_xlfn.IFNA(MATCH(F310,Achievements[[#All],[Column111]],0)+10,"")</f>
        <v/>
      </c>
      <c r="AG310" s="134" t="str">
        <f>_xlfn.IFNA(MATCH(G310,Achievements[[#All],[Column111]],0)+10,"")</f>
        <v/>
      </c>
      <c r="AH310" s="134" t="str">
        <f>_xlfn.IFNA(MATCH(H310,Achievements[[#All],[Column112]],0)+10,"")</f>
        <v/>
      </c>
      <c r="AI310" s="134" t="str">
        <f>_xlfn.IFNA(MATCH(I310,Achievements[[#All],[Column112]],0)+10,"")</f>
        <v/>
      </c>
      <c r="AJ310" s="134" t="str">
        <f>_xlfn.IFNA(MATCH(J310,Achievements[[#All],[Column113]],0)+10,"")</f>
        <v/>
      </c>
      <c r="AK310" s="134" t="str">
        <f>_xlfn.IFNA(MATCH(K310,Achievements[[#All],[Column113]],0)+10,"")</f>
        <v/>
      </c>
      <c r="AL310" s="134" t="str">
        <f>_xlfn.IFNA(MATCH(L310,Achievements[[#All],[Column114]],0)+10,"")</f>
        <v/>
      </c>
      <c r="AM310" s="134" t="str">
        <f>_xlfn.IFNA(MATCH(M310,Achievements[[#All],[Column114]],0)+10,"")</f>
        <v/>
      </c>
      <c r="AN310" s="134" t="str">
        <f>_xlfn.IFNA(MATCH(N310,Achievements[[#All],[Column115]],0)+10,"")</f>
        <v/>
      </c>
      <c r="AO310" s="134" t="str">
        <f>_xlfn.IFNA(MATCH(O310,Achievements[[#All],[Column115]],0)+10,"")</f>
        <v/>
      </c>
      <c r="AP310" s="134" t="str">
        <f>_xlfn.IFNA(MATCH(P310,Achievements[[#All],[Column116]],0)+10,"")</f>
        <v/>
      </c>
      <c r="AQ310" s="134" t="str">
        <f>_xlfn.IFNA(MATCH(Q310,Achievements[[#All],[Column116]],0)+10,"")</f>
        <v/>
      </c>
      <c r="AR310" s="134" t="str">
        <f>_xlfn.IFNA(MATCH(R310,Achievements[[#All],[Column117]],0)+10,"")</f>
        <v/>
      </c>
      <c r="AS310" s="134" t="str">
        <f>_xlfn.IFNA(MATCH(S310,Achievements[[#All],[Column117]],0)+10,"")</f>
        <v/>
      </c>
      <c r="AT310" s="134" t="str">
        <f>_xlfn.IFNA(MATCH(T310,Achievements[[#All],[Column118]],0)+10,"")</f>
        <v/>
      </c>
      <c r="AU310" s="134" t="str">
        <f>_xlfn.IFNA(MATCH(U310,Achievements[[#All],[Column118]],0)+10,"")</f>
        <v/>
      </c>
      <c r="AV310" s="134" t="str">
        <f>_xlfn.IFNA(MATCH(V310,Achievements[[#All],[Column119]],0)+10,"")</f>
        <v/>
      </c>
      <c r="AW310" s="134" t="str">
        <f>_xlfn.IFNA(MATCH(W310,Achievements[[#All],[Column119]],0)+10,"")</f>
        <v/>
      </c>
      <c r="AX310" s="134" t="str">
        <f>_xlfn.IFNA(MATCH(X310,Achievements[[#All],[Column120]],0)+10,"")</f>
        <v/>
      </c>
      <c r="AY310" s="134" t="str">
        <f>_xlfn.IFNA(MATCH(Y310,Achievements[[#All],[Column120]],0)+10,"")</f>
        <v/>
      </c>
      <c r="AZ310" s="116" t="e">
        <f t="shared" ca="1" si="8"/>
        <v>#NAME?</v>
      </c>
      <c r="BA310" s="134" t="e" cm="1">
        <f t="array" aca="1" ref="BA310" ca="1">SplitValues("; ",Persons[[#This Row],[Column1]])</f>
        <v>#NAME?</v>
      </c>
      <c r="CA310" s="134" t="e">
        <f ca="1">_xlfn.IFNA(MATCH(BA310,Achievements[[#All],[Column1]],0)+10,"")</f>
        <v>#NAME?</v>
      </c>
      <c r="CB310" s="134" t="str">
        <f>_xlfn.IFNA(MATCH(BB310,Achievements[[#All],[Column1]],0)+10,"")</f>
        <v/>
      </c>
      <c r="CC310" s="134" t="str">
        <f>_xlfn.IFNA(MATCH(BC310,Achievements[[#All],[Column110]],0)+10,"")</f>
        <v/>
      </c>
      <c r="CD310" s="134" t="str">
        <f>_xlfn.IFNA(MATCH(BD310,Achievements[[#All],[Column110]],0)+10,"")</f>
        <v/>
      </c>
      <c r="CE310" s="134" t="str">
        <f>_xlfn.IFNA(MATCH(BE310,Achievements[[#All],[Column111]],0)+10,"")</f>
        <v/>
      </c>
      <c r="CF310" s="134" t="str">
        <f>_xlfn.IFNA(MATCH(BF310,Achievements[[#All],[Column111]],0)+10,"")</f>
        <v/>
      </c>
      <c r="CG310" s="134" t="str">
        <f>_xlfn.IFNA(MATCH(BG310,Achievements[[#All],[Column112]],0)+10,"")</f>
        <v/>
      </c>
      <c r="CH310" s="134" t="str">
        <f>_xlfn.IFNA(MATCH(BH310,Achievements[[#All],[Column112]],0)+10,"")</f>
        <v/>
      </c>
      <c r="CI310" s="134" t="str">
        <f>_xlfn.IFNA(MATCH(BI310,Achievements[[#All],[Column113]],0)+10,"")</f>
        <v/>
      </c>
      <c r="CJ310" s="134" t="str">
        <f>_xlfn.IFNA(MATCH(BJ310,Achievements[[#All],[Column113]],0)+10,"")</f>
        <v/>
      </c>
      <c r="CK310" s="134" t="str">
        <f>_xlfn.IFNA(MATCH(BK310,Achievements[[#All],[Column114]],0)+10,"")</f>
        <v/>
      </c>
      <c r="CL310" s="134" t="str">
        <f>_xlfn.IFNA(MATCH(BL310,Achievements[[#All],[Column114]],0)+10,"")</f>
        <v/>
      </c>
      <c r="CM310" s="134" t="str">
        <f>_xlfn.IFNA(MATCH(BM310,Achievements[[#All],[Column115]],0)+10,"")</f>
        <v/>
      </c>
      <c r="CN310" s="134" t="str">
        <f>_xlfn.IFNA(MATCH(BN310,Achievements[[#All],[Column115]],0)+10,"")</f>
        <v/>
      </c>
      <c r="CO310" s="134" t="str">
        <f>_xlfn.IFNA(MATCH(BO310,Achievements[[#All],[Column116]],0)+10,"")</f>
        <v/>
      </c>
      <c r="CP310" s="134" t="str">
        <f>_xlfn.IFNA(MATCH(BP310,Achievements[[#All],[Column116]],0)+10,"")</f>
        <v/>
      </c>
      <c r="CQ310" s="134" t="str">
        <f>_xlfn.IFNA(MATCH(BQ310,Achievements[[#All],[Column117]],0)+10,"")</f>
        <v/>
      </c>
      <c r="CR310" s="134" t="str">
        <f>_xlfn.IFNA(MATCH(BR310,Achievements[[#All],[Column117]],0)+10,"")</f>
        <v/>
      </c>
      <c r="CS310" s="134" t="str">
        <f>_xlfn.IFNA(MATCH(BS310,Achievements[[#All],[Column118]],0)+10,"")</f>
        <v/>
      </c>
      <c r="CT310" s="134" t="str">
        <f>_xlfn.IFNA(MATCH(BT310,Achievements[[#All],[Column118]],0)+10,"")</f>
        <v/>
      </c>
      <c r="CU310" s="134" t="str">
        <f>_xlfn.IFNA(MATCH(BU310,Achievements[[#All],[Column119]],0)+10,"")</f>
        <v/>
      </c>
      <c r="CV310" s="134" t="str">
        <f>_xlfn.IFNA(MATCH(BV310,Achievements[[#All],[Column119]],0)+10,"")</f>
        <v/>
      </c>
      <c r="CW310" s="134" t="str">
        <f>_xlfn.IFNA(MATCH(BW310,Achievements[[#All],[Column120]],0)+10,"")</f>
        <v/>
      </c>
      <c r="CX310" s="134" t="str">
        <f>_xlfn.IFNA(MATCH(BX310,Achievements[[#All],[Column120]],0)+10,"")</f>
        <v/>
      </c>
      <c r="CY310" s="134" t="str">
        <f>_xlfn.IFNA(MATCH(BY310,Achievements[[#All],[Column121]],0)+10,"")</f>
        <v/>
      </c>
      <c r="CZ310" s="118" t="e">
        <f t="shared" ca="1" si="9"/>
        <v>#NAME?</v>
      </c>
    </row>
    <row r="311" spans="1:104" x14ac:dyDescent="0.25">
      <c r="A311" t="e" cm="1">
        <f t="array" aca="1" ref="A311" ca="1">SplitValues("; ",#REF!)</f>
        <v>#NAME?</v>
      </c>
      <c r="AA311" t="e">
        <f ca="1">_xlfn.IFNA(MATCH(A311,Achievements[[#All],[Column1]],0)+11,"")</f>
        <v>#NAME?</v>
      </c>
      <c r="AB311" s="134" t="str">
        <f>_xlfn.IFNA(MATCH(B311,Achievements[[#All],[Column1]],0)+10,"")</f>
        <v/>
      </c>
      <c r="AC311" s="134" t="str">
        <f>_xlfn.IFNA(MATCH(C311,Achievements[[#All],[Column1]],0)+10,"")</f>
        <v/>
      </c>
      <c r="AD311" s="134" t="str">
        <f>_xlfn.IFNA(MATCH(D311,Achievements[[#All],[Column110]],0)+10,"")</f>
        <v/>
      </c>
      <c r="AE311" s="134" t="str">
        <f>_xlfn.IFNA(MATCH(E311,Achievements[[#All],[Column110]],0)+10,"")</f>
        <v/>
      </c>
      <c r="AF311" s="134" t="str">
        <f>_xlfn.IFNA(MATCH(F311,Achievements[[#All],[Column111]],0)+10,"")</f>
        <v/>
      </c>
      <c r="AG311" s="134" t="str">
        <f>_xlfn.IFNA(MATCH(G311,Achievements[[#All],[Column111]],0)+10,"")</f>
        <v/>
      </c>
      <c r="AH311" s="134" t="str">
        <f>_xlfn.IFNA(MATCH(H311,Achievements[[#All],[Column112]],0)+10,"")</f>
        <v/>
      </c>
      <c r="AI311" s="134" t="str">
        <f>_xlfn.IFNA(MATCH(I311,Achievements[[#All],[Column112]],0)+10,"")</f>
        <v/>
      </c>
      <c r="AJ311" s="134" t="str">
        <f>_xlfn.IFNA(MATCH(J311,Achievements[[#All],[Column113]],0)+10,"")</f>
        <v/>
      </c>
      <c r="AK311" s="134" t="str">
        <f>_xlfn.IFNA(MATCH(K311,Achievements[[#All],[Column113]],0)+10,"")</f>
        <v/>
      </c>
      <c r="AL311" s="134" t="str">
        <f>_xlfn.IFNA(MATCH(L311,Achievements[[#All],[Column114]],0)+10,"")</f>
        <v/>
      </c>
      <c r="AM311" s="134" t="str">
        <f>_xlfn.IFNA(MATCH(M311,Achievements[[#All],[Column114]],0)+10,"")</f>
        <v/>
      </c>
      <c r="AN311" s="134" t="str">
        <f>_xlfn.IFNA(MATCH(N311,Achievements[[#All],[Column115]],0)+10,"")</f>
        <v/>
      </c>
      <c r="AO311" s="134" t="str">
        <f>_xlfn.IFNA(MATCH(O311,Achievements[[#All],[Column115]],0)+10,"")</f>
        <v/>
      </c>
      <c r="AP311" s="134" t="str">
        <f>_xlfn.IFNA(MATCH(P311,Achievements[[#All],[Column116]],0)+10,"")</f>
        <v/>
      </c>
      <c r="AQ311" s="134" t="str">
        <f>_xlfn.IFNA(MATCH(Q311,Achievements[[#All],[Column116]],0)+10,"")</f>
        <v/>
      </c>
      <c r="AR311" s="134" t="str">
        <f>_xlfn.IFNA(MATCH(R311,Achievements[[#All],[Column117]],0)+10,"")</f>
        <v/>
      </c>
      <c r="AS311" s="134" t="str">
        <f>_xlfn.IFNA(MATCH(S311,Achievements[[#All],[Column117]],0)+10,"")</f>
        <v/>
      </c>
      <c r="AT311" s="134" t="str">
        <f>_xlfn.IFNA(MATCH(T311,Achievements[[#All],[Column118]],0)+10,"")</f>
        <v/>
      </c>
      <c r="AU311" s="134" t="str">
        <f>_xlfn.IFNA(MATCH(U311,Achievements[[#All],[Column118]],0)+10,"")</f>
        <v/>
      </c>
      <c r="AV311" s="134" t="str">
        <f>_xlfn.IFNA(MATCH(V311,Achievements[[#All],[Column119]],0)+10,"")</f>
        <v/>
      </c>
      <c r="AW311" s="134" t="str">
        <f>_xlfn.IFNA(MATCH(W311,Achievements[[#All],[Column119]],0)+10,"")</f>
        <v/>
      </c>
      <c r="AX311" s="134" t="str">
        <f>_xlfn.IFNA(MATCH(X311,Achievements[[#All],[Column120]],0)+10,"")</f>
        <v/>
      </c>
      <c r="AY311" s="134" t="str">
        <f>_xlfn.IFNA(MATCH(Y311,Achievements[[#All],[Column120]],0)+10,"")</f>
        <v/>
      </c>
      <c r="AZ311" s="116" t="e">
        <f t="shared" ca="1" si="8"/>
        <v>#NAME?</v>
      </c>
      <c r="BA311" s="134" t="e" cm="1">
        <f t="array" aca="1" ref="BA311" ca="1">SplitValues("; ",Persons[[#This Row],[Column1]])</f>
        <v>#NAME?</v>
      </c>
      <c r="CA311" s="134" t="e">
        <f ca="1">_xlfn.IFNA(MATCH(BA311,Achievements[[#All],[Column1]],0)+10,"")</f>
        <v>#NAME?</v>
      </c>
      <c r="CB311" s="134" t="str">
        <f>_xlfn.IFNA(MATCH(BB311,Achievements[[#All],[Column1]],0)+10,"")</f>
        <v/>
      </c>
      <c r="CC311" s="134" t="str">
        <f>_xlfn.IFNA(MATCH(BC311,Achievements[[#All],[Column110]],0)+10,"")</f>
        <v/>
      </c>
      <c r="CD311" s="134" t="str">
        <f>_xlfn.IFNA(MATCH(BD311,Achievements[[#All],[Column110]],0)+10,"")</f>
        <v/>
      </c>
      <c r="CE311" s="134" t="str">
        <f>_xlfn.IFNA(MATCH(BE311,Achievements[[#All],[Column111]],0)+10,"")</f>
        <v/>
      </c>
      <c r="CF311" s="134" t="str">
        <f>_xlfn.IFNA(MATCH(BF311,Achievements[[#All],[Column111]],0)+10,"")</f>
        <v/>
      </c>
      <c r="CG311" s="134" t="str">
        <f>_xlfn.IFNA(MATCH(BG311,Achievements[[#All],[Column112]],0)+10,"")</f>
        <v/>
      </c>
      <c r="CH311" s="134" t="str">
        <f>_xlfn.IFNA(MATCH(BH311,Achievements[[#All],[Column112]],0)+10,"")</f>
        <v/>
      </c>
      <c r="CI311" s="134" t="str">
        <f>_xlfn.IFNA(MATCH(BI311,Achievements[[#All],[Column113]],0)+10,"")</f>
        <v/>
      </c>
      <c r="CJ311" s="134" t="str">
        <f>_xlfn.IFNA(MATCH(BJ311,Achievements[[#All],[Column113]],0)+10,"")</f>
        <v/>
      </c>
      <c r="CK311" s="134" t="str">
        <f>_xlfn.IFNA(MATCH(BK311,Achievements[[#All],[Column114]],0)+10,"")</f>
        <v/>
      </c>
      <c r="CL311" s="134" t="str">
        <f>_xlfn.IFNA(MATCH(BL311,Achievements[[#All],[Column114]],0)+10,"")</f>
        <v/>
      </c>
      <c r="CM311" s="134" t="str">
        <f>_xlfn.IFNA(MATCH(BM311,Achievements[[#All],[Column115]],0)+10,"")</f>
        <v/>
      </c>
      <c r="CN311" s="134" t="str">
        <f>_xlfn.IFNA(MATCH(BN311,Achievements[[#All],[Column115]],0)+10,"")</f>
        <v/>
      </c>
      <c r="CO311" s="134" t="str">
        <f>_xlfn.IFNA(MATCH(BO311,Achievements[[#All],[Column116]],0)+10,"")</f>
        <v/>
      </c>
      <c r="CP311" s="134" t="str">
        <f>_xlfn.IFNA(MATCH(BP311,Achievements[[#All],[Column116]],0)+10,"")</f>
        <v/>
      </c>
      <c r="CQ311" s="134" t="str">
        <f>_xlfn.IFNA(MATCH(BQ311,Achievements[[#All],[Column117]],0)+10,"")</f>
        <v/>
      </c>
      <c r="CR311" s="134" t="str">
        <f>_xlfn.IFNA(MATCH(BR311,Achievements[[#All],[Column117]],0)+10,"")</f>
        <v/>
      </c>
      <c r="CS311" s="134" t="str">
        <f>_xlfn.IFNA(MATCH(BS311,Achievements[[#All],[Column118]],0)+10,"")</f>
        <v/>
      </c>
      <c r="CT311" s="134" t="str">
        <f>_xlfn.IFNA(MATCH(BT311,Achievements[[#All],[Column118]],0)+10,"")</f>
        <v/>
      </c>
      <c r="CU311" s="134" t="str">
        <f>_xlfn.IFNA(MATCH(BU311,Achievements[[#All],[Column119]],0)+10,"")</f>
        <v/>
      </c>
      <c r="CV311" s="134" t="str">
        <f>_xlfn.IFNA(MATCH(BV311,Achievements[[#All],[Column119]],0)+10,"")</f>
        <v/>
      </c>
      <c r="CW311" s="134" t="str">
        <f>_xlfn.IFNA(MATCH(BW311,Achievements[[#All],[Column120]],0)+10,"")</f>
        <v/>
      </c>
      <c r="CX311" s="134" t="str">
        <f>_xlfn.IFNA(MATCH(BX311,Achievements[[#All],[Column120]],0)+10,"")</f>
        <v/>
      </c>
      <c r="CY311" s="134" t="str">
        <f>_xlfn.IFNA(MATCH(BY311,Achievements[[#All],[Column121]],0)+10,"")</f>
        <v/>
      </c>
      <c r="CZ311" s="118" t="e">
        <f t="shared" ca="1" si="9"/>
        <v>#NAME?</v>
      </c>
    </row>
    <row r="312" spans="1:104" x14ac:dyDescent="0.25">
      <c r="A312" t="e" cm="1">
        <f t="array" aca="1" ref="A312" ca="1">SplitValues("; ",#REF!)</f>
        <v>#NAME?</v>
      </c>
      <c r="AA312" t="e">
        <f ca="1">_xlfn.IFNA(MATCH(A312,Achievements[[#All],[Column1]],0)+11,"")</f>
        <v>#NAME?</v>
      </c>
      <c r="AB312" s="134" t="str">
        <f>_xlfn.IFNA(MATCH(B312,Achievements[[#All],[Column1]],0)+10,"")</f>
        <v/>
      </c>
      <c r="AC312" s="134" t="str">
        <f>_xlfn.IFNA(MATCH(C312,Achievements[[#All],[Column1]],0)+10,"")</f>
        <v/>
      </c>
      <c r="AD312" s="134" t="str">
        <f>_xlfn.IFNA(MATCH(D312,Achievements[[#All],[Column110]],0)+10,"")</f>
        <v/>
      </c>
      <c r="AE312" s="134" t="str">
        <f>_xlfn.IFNA(MATCH(E312,Achievements[[#All],[Column110]],0)+10,"")</f>
        <v/>
      </c>
      <c r="AF312" s="134" t="str">
        <f>_xlfn.IFNA(MATCH(F312,Achievements[[#All],[Column111]],0)+10,"")</f>
        <v/>
      </c>
      <c r="AG312" s="134" t="str">
        <f>_xlfn.IFNA(MATCH(G312,Achievements[[#All],[Column111]],0)+10,"")</f>
        <v/>
      </c>
      <c r="AH312" s="134" t="str">
        <f>_xlfn.IFNA(MATCH(H312,Achievements[[#All],[Column112]],0)+10,"")</f>
        <v/>
      </c>
      <c r="AI312" s="134" t="str">
        <f>_xlfn.IFNA(MATCH(I312,Achievements[[#All],[Column112]],0)+10,"")</f>
        <v/>
      </c>
      <c r="AJ312" s="134" t="str">
        <f>_xlfn.IFNA(MATCH(J312,Achievements[[#All],[Column113]],0)+10,"")</f>
        <v/>
      </c>
      <c r="AK312" s="134" t="str">
        <f>_xlfn.IFNA(MATCH(K312,Achievements[[#All],[Column113]],0)+10,"")</f>
        <v/>
      </c>
      <c r="AL312" s="134" t="str">
        <f>_xlfn.IFNA(MATCH(L312,Achievements[[#All],[Column114]],0)+10,"")</f>
        <v/>
      </c>
      <c r="AM312" s="134" t="str">
        <f>_xlfn.IFNA(MATCH(M312,Achievements[[#All],[Column114]],0)+10,"")</f>
        <v/>
      </c>
      <c r="AN312" s="134" t="str">
        <f>_xlfn.IFNA(MATCH(N312,Achievements[[#All],[Column115]],0)+10,"")</f>
        <v/>
      </c>
      <c r="AO312" s="134" t="str">
        <f>_xlfn.IFNA(MATCH(O312,Achievements[[#All],[Column115]],0)+10,"")</f>
        <v/>
      </c>
      <c r="AP312" s="134" t="str">
        <f>_xlfn.IFNA(MATCH(P312,Achievements[[#All],[Column116]],0)+10,"")</f>
        <v/>
      </c>
      <c r="AQ312" s="134" t="str">
        <f>_xlfn.IFNA(MATCH(Q312,Achievements[[#All],[Column116]],0)+10,"")</f>
        <v/>
      </c>
      <c r="AR312" s="134" t="str">
        <f>_xlfn.IFNA(MATCH(R312,Achievements[[#All],[Column117]],0)+10,"")</f>
        <v/>
      </c>
      <c r="AS312" s="134" t="str">
        <f>_xlfn.IFNA(MATCH(S312,Achievements[[#All],[Column117]],0)+10,"")</f>
        <v/>
      </c>
      <c r="AT312" s="134" t="str">
        <f>_xlfn.IFNA(MATCH(T312,Achievements[[#All],[Column118]],0)+10,"")</f>
        <v/>
      </c>
      <c r="AU312" s="134" t="str">
        <f>_xlfn.IFNA(MATCH(U312,Achievements[[#All],[Column118]],0)+10,"")</f>
        <v/>
      </c>
      <c r="AV312" s="134" t="str">
        <f>_xlfn.IFNA(MATCH(V312,Achievements[[#All],[Column119]],0)+10,"")</f>
        <v/>
      </c>
      <c r="AW312" s="134" t="str">
        <f>_xlfn.IFNA(MATCH(W312,Achievements[[#All],[Column119]],0)+10,"")</f>
        <v/>
      </c>
      <c r="AX312" s="134" t="str">
        <f>_xlfn.IFNA(MATCH(X312,Achievements[[#All],[Column120]],0)+10,"")</f>
        <v/>
      </c>
      <c r="AY312" s="134" t="str">
        <f>_xlfn.IFNA(MATCH(Y312,Achievements[[#All],[Column120]],0)+10,"")</f>
        <v/>
      </c>
      <c r="AZ312" s="116" t="e">
        <f t="shared" ca="1" si="8"/>
        <v>#NAME?</v>
      </c>
      <c r="BA312" s="134" t="e" cm="1">
        <f t="array" aca="1" ref="BA312" ca="1">SplitValues("; ",Persons[[#This Row],[Column1]])</f>
        <v>#NAME?</v>
      </c>
      <c r="CA312" s="134" t="e">
        <f ca="1">_xlfn.IFNA(MATCH(BA312,Achievements[[#All],[Column1]],0)+10,"")</f>
        <v>#NAME?</v>
      </c>
      <c r="CB312" s="134" t="str">
        <f>_xlfn.IFNA(MATCH(BB312,Achievements[[#All],[Column1]],0)+10,"")</f>
        <v/>
      </c>
      <c r="CC312" s="134" t="str">
        <f>_xlfn.IFNA(MATCH(BC312,Achievements[[#All],[Column110]],0)+10,"")</f>
        <v/>
      </c>
      <c r="CD312" s="134" t="str">
        <f>_xlfn.IFNA(MATCH(BD312,Achievements[[#All],[Column110]],0)+10,"")</f>
        <v/>
      </c>
      <c r="CE312" s="134" t="str">
        <f>_xlfn.IFNA(MATCH(BE312,Achievements[[#All],[Column111]],0)+10,"")</f>
        <v/>
      </c>
      <c r="CF312" s="134" t="str">
        <f>_xlfn.IFNA(MATCH(BF312,Achievements[[#All],[Column111]],0)+10,"")</f>
        <v/>
      </c>
      <c r="CG312" s="134" t="str">
        <f>_xlfn.IFNA(MATCH(BG312,Achievements[[#All],[Column112]],0)+10,"")</f>
        <v/>
      </c>
      <c r="CH312" s="134" t="str">
        <f>_xlfn.IFNA(MATCH(BH312,Achievements[[#All],[Column112]],0)+10,"")</f>
        <v/>
      </c>
      <c r="CI312" s="134" t="str">
        <f>_xlfn.IFNA(MATCH(BI312,Achievements[[#All],[Column113]],0)+10,"")</f>
        <v/>
      </c>
      <c r="CJ312" s="134" t="str">
        <f>_xlfn.IFNA(MATCH(BJ312,Achievements[[#All],[Column113]],0)+10,"")</f>
        <v/>
      </c>
      <c r="CK312" s="134" t="str">
        <f>_xlfn.IFNA(MATCH(BK312,Achievements[[#All],[Column114]],0)+10,"")</f>
        <v/>
      </c>
      <c r="CL312" s="134" t="str">
        <f>_xlfn.IFNA(MATCH(BL312,Achievements[[#All],[Column114]],0)+10,"")</f>
        <v/>
      </c>
      <c r="CM312" s="134" t="str">
        <f>_xlfn.IFNA(MATCH(BM312,Achievements[[#All],[Column115]],0)+10,"")</f>
        <v/>
      </c>
      <c r="CN312" s="134" t="str">
        <f>_xlfn.IFNA(MATCH(BN312,Achievements[[#All],[Column115]],0)+10,"")</f>
        <v/>
      </c>
      <c r="CO312" s="134" t="str">
        <f>_xlfn.IFNA(MATCH(BO312,Achievements[[#All],[Column116]],0)+10,"")</f>
        <v/>
      </c>
      <c r="CP312" s="134" t="str">
        <f>_xlfn.IFNA(MATCH(BP312,Achievements[[#All],[Column116]],0)+10,"")</f>
        <v/>
      </c>
      <c r="CQ312" s="134" t="str">
        <f>_xlfn.IFNA(MATCH(BQ312,Achievements[[#All],[Column117]],0)+10,"")</f>
        <v/>
      </c>
      <c r="CR312" s="134" t="str">
        <f>_xlfn.IFNA(MATCH(BR312,Achievements[[#All],[Column117]],0)+10,"")</f>
        <v/>
      </c>
      <c r="CS312" s="134" t="str">
        <f>_xlfn.IFNA(MATCH(BS312,Achievements[[#All],[Column118]],0)+10,"")</f>
        <v/>
      </c>
      <c r="CT312" s="134" t="str">
        <f>_xlfn.IFNA(MATCH(BT312,Achievements[[#All],[Column118]],0)+10,"")</f>
        <v/>
      </c>
      <c r="CU312" s="134" t="str">
        <f>_xlfn.IFNA(MATCH(BU312,Achievements[[#All],[Column119]],0)+10,"")</f>
        <v/>
      </c>
      <c r="CV312" s="134" t="str">
        <f>_xlfn.IFNA(MATCH(BV312,Achievements[[#All],[Column119]],0)+10,"")</f>
        <v/>
      </c>
      <c r="CW312" s="134" t="str">
        <f>_xlfn.IFNA(MATCH(BW312,Achievements[[#All],[Column120]],0)+10,"")</f>
        <v/>
      </c>
      <c r="CX312" s="134" t="str">
        <f>_xlfn.IFNA(MATCH(BX312,Achievements[[#All],[Column120]],0)+10,"")</f>
        <v/>
      </c>
      <c r="CY312" s="134" t="str">
        <f>_xlfn.IFNA(MATCH(BY312,Achievements[[#All],[Column121]],0)+10,"")</f>
        <v/>
      </c>
      <c r="CZ312" s="118" t="e">
        <f t="shared" ca="1" si="9"/>
        <v>#NAME?</v>
      </c>
    </row>
    <row r="313" spans="1:104" x14ac:dyDescent="0.25">
      <c r="AZ313" s="119" t="str">
        <f t="shared" si="8"/>
        <v/>
      </c>
      <c r="BA313" s="134" t="e" cm="1">
        <f t="array" aca="1" ref="BA313" ca="1">SplitValues("; ",Persons[[#This Row],[Column1]])</f>
        <v>#NAME?</v>
      </c>
      <c r="CA313" s="134" t="e">
        <f ca="1">_xlfn.IFNA(MATCH(BA313,Achievements[[#All],[Column1]],0)+10,"")</f>
        <v>#NAME?</v>
      </c>
      <c r="CB313" s="134" t="str">
        <f>_xlfn.IFNA(MATCH(BB313,Achievements[[#All],[Column1]],0)+10,"")</f>
        <v/>
      </c>
      <c r="CC313" s="134" t="str">
        <f>_xlfn.IFNA(MATCH(BC313,Achievements[[#All],[Column110]],0)+10,"")</f>
        <v/>
      </c>
      <c r="CD313" s="134" t="str">
        <f>_xlfn.IFNA(MATCH(BD313,Achievements[[#All],[Column110]],0)+10,"")</f>
        <v/>
      </c>
      <c r="CE313" s="134" t="str">
        <f>_xlfn.IFNA(MATCH(BE313,Achievements[[#All],[Column111]],0)+10,"")</f>
        <v/>
      </c>
      <c r="CF313" s="134" t="str">
        <f>_xlfn.IFNA(MATCH(BF313,Achievements[[#All],[Column111]],0)+10,"")</f>
        <v/>
      </c>
      <c r="CG313" s="134" t="str">
        <f>_xlfn.IFNA(MATCH(BG313,Achievements[[#All],[Column112]],0)+10,"")</f>
        <v/>
      </c>
      <c r="CH313" s="134" t="str">
        <f>_xlfn.IFNA(MATCH(BH313,Achievements[[#All],[Column112]],0)+10,"")</f>
        <v/>
      </c>
      <c r="CI313" s="134" t="str">
        <f>_xlfn.IFNA(MATCH(BI313,Achievements[[#All],[Column113]],0)+10,"")</f>
        <v/>
      </c>
      <c r="CJ313" s="134" t="str">
        <f>_xlfn.IFNA(MATCH(BJ313,Achievements[[#All],[Column113]],0)+10,"")</f>
        <v/>
      </c>
      <c r="CK313" s="134" t="str">
        <f>_xlfn.IFNA(MATCH(BK313,Achievements[[#All],[Column114]],0)+10,"")</f>
        <v/>
      </c>
      <c r="CL313" s="134" t="str">
        <f>_xlfn.IFNA(MATCH(BL313,Achievements[[#All],[Column114]],0)+10,"")</f>
        <v/>
      </c>
      <c r="CM313" s="134" t="str">
        <f>_xlfn.IFNA(MATCH(BM313,Achievements[[#All],[Column115]],0)+10,"")</f>
        <v/>
      </c>
      <c r="CN313" s="134" t="str">
        <f>_xlfn.IFNA(MATCH(BN313,Achievements[[#All],[Column115]],0)+10,"")</f>
        <v/>
      </c>
      <c r="CO313" s="134" t="str">
        <f>_xlfn.IFNA(MATCH(BO313,Achievements[[#All],[Column116]],0)+10,"")</f>
        <v/>
      </c>
      <c r="CP313" s="134" t="str">
        <f>_xlfn.IFNA(MATCH(BP313,Achievements[[#All],[Column116]],0)+10,"")</f>
        <v/>
      </c>
      <c r="CQ313" s="134" t="str">
        <f>_xlfn.IFNA(MATCH(BQ313,Achievements[[#All],[Column117]],0)+10,"")</f>
        <v/>
      </c>
      <c r="CR313" s="134" t="str">
        <f>_xlfn.IFNA(MATCH(BR313,Achievements[[#All],[Column117]],0)+10,"")</f>
        <v/>
      </c>
      <c r="CS313" s="134" t="str">
        <f>_xlfn.IFNA(MATCH(BS313,Achievements[[#All],[Column118]],0)+10,"")</f>
        <v/>
      </c>
      <c r="CT313" s="134" t="str">
        <f>_xlfn.IFNA(MATCH(BT313,Achievements[[#All],[Column118]],0)+10,"")</f>
        <v/>
      </c>
      <c r="CU313" s="134" t="str">
        <f>_xlfn.IFNA(MATCH(BU313,Achievements[[#All],[Column119]],0)+10,"")</f>
        <v/>
      </c>
      <c r="CV313" s="134" t="str">
        <f>_xlfn.IFNA(MATCH(BV313,Achievements[[#All],[Column119]],0)+10,"")</f>
        <v/>
      </c>
      <c r="CW313" s="134" t="str">
        <f>_xlfn.IFNA(MATCH(BW313,Achievements[[#All],[Column120]],0)+10,"")</f>
        <v/>
      </c>
      <c r="CX313" s="134" t="str">
        <f>_xlfn.IFNA(MATCH(BX313,Achievements[[#All],[Column120]],0)+10,"")</f>
        <v/>
      </c>
      <c r="CY313" s="134" t="str">
        <f>_xlfn.IFNA(MATCH(BY313,Achievements[[#All],[Column121]],0)+10,"")</f>
        <v/>
      </c>
      <c r="CZ313" s="118" t="e">
        <f t="shared" ca="1" si="9"/>
        <v>#NAME?</v>
      </c>
    </row>
    <row r="314" spans="1:104" x14ac:dyDescent="0.25">
      <c r="AZ314" s="117" t="str">
        <f t="shared" ref="AZ314" si="10">SUBSTITUTE(TRIM(AA313&amp;" "&amp;AB313&amp;" "&amp;AC313&amp;" "&amp;AD313&amp;" "&amp;AE313&amp;" "&amp;AF313&amp;" "&amp;AG313&amp;" "&amp;AH313&amp;" "&amp;AI313&amp;" "&amp;AJ313&amp;" "&amp;AK313&amp;" "&amp;AL313&amp;" "&amp;AM313&amp;" "&amp;AN313&amp;" "&amp;AO313&amp;" "&amp;AP313&amp;" "&amp;AQ313&amp;" "&amp;AR313&amp;" "&amp;AS313&amp;" "&amp;AT313&amp;" "&amp;AU313&amp;" "&amp;AV313&amp;" "&amp;AW313&amp;" "&amp;AX313&amp;" "&amp;AY313)," ",", ")</f>
        <v/>
      </c>
      <c r="BA314" s="134" t="e" cm="1">
        <f t="array" aca="1" ref="BA314" ca="1">SplitValues("; ",Persons[[#This Row],[Column1]])</f>
        <v>#NAME?</v>
      </c>
      <c r="CZ314" s="118" t="str">
        <f t="shared" si="9"/>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
  <sheetViews>
    <sheetView workbookViewId="0">
      <selection activeCell="B5" sqref="B5"/>
    </sheetView>
  </sheetViews>
  <sheetFormatPr baseColWidth="10" defaultColWidth="9.140625" defaultRowHeight="15" x14ac:dyDescent="0.25"/>
  <sheetData>
    <row r="1" spans="1:2" x14ac:dyDescent="0.25">
      <c r="A1" t="s">
        <v>2328</v>
      </c>
      <c r="B1" t="s">
        <v>2327</v>
      </c>
    </row>
    <row r="2" spans="1:2" x14ac:dyDescent="0.25">
      <c r="A2" s="128" t="s">
        <v>2329</v>
      </c>
      <c r="B2" t="s">
        <v>2330</v>
      </c>
    </row>
    <row r="3" spans="1:2" x14ac:dyDescent="0.25">
      <c r="A3" t="s">
        <v>2331</v>
      </c>
      <c r="B3" t="s">
        <v>2332</v>
      </c>
    </row>
    <row r="4" spans="1:2" x14ac:dyDescent="0.25">
      <c r="A4" t="s">
        <v>2373</v>
      </c>
      <c r="B4" t="s">
        <v>2374</v>
      </c>
    </row>
    <row r="5" spans="1:2" x14ac:dyDescent="0.25">
      <c r="A5" t="s">
        <v>2391</v>
      </c>
      <c r="B5" t="s">
        <v>2392</v>
      </c>
    </row>
    <row r="6" spans="1:2" x14ac:dyDescent="0.25">
      <c r="A6" t="s">
        <v>2393</v>
      </c>
    </row>
  </sheetData>
  <phoneticPr fontId="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9E81FE-62E0-4DD3-8F98-326F82935F58}">
  <ds:schemaRefs>
    <ds:schemaRef ds:uri="http://schemas.microsoft.com/sharepoint/v3/contenttype/forms"/>
  </ds:schemaRefs>
</ds:datastoreItem>
</file>

<file path=customXml/itemProps2.xml><?xml version="1.0" encoding="utf-8"?>
<ds:datastoreItem xmlns:ds="http://schemas.openxmlformats.org/officeDocument/2006/customXml" ds:itemID="{ADC53DA2-4444-4C41-A3C2-DF2BB78FF486}">
  <ds:schemaRefs>
    <ds:schemaRef ds:uri="http://purl.org/dc/elements/1.1/"/>
    <ds:schemaRef ds:uri="http://schemas.openxmlformats.org/package/2006/metadata/core-properties"/>
    <ds:schemaRef ds:uri="http://schemas.microsoft.com/office/2006/documentManagement/types"/>
    <ds:schemaRef ds:uri="0c869d80-d99c-4dac-b26b-cbbc56b0e91c"/>
    <ds:schemaRef ds:uri="http://schemas.microsoft.com/office/infopath/2007/PartnerControls"/>
    <ds:schemaRef ds:uri="http://purl.org/dc/dcmitype/"/>
    <ds:schemaRef ds:uri="4a230dd3-5426-44e9-972e-c86e457e3d31"/>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CC6253D5-7007-4E58-B8CF-A0AD0F225C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8</vt:i4>
      </vt:variant>
    </vt:vector>
  </HeadingPairs>
  <TitlesOfParts>
    <vt:vector size="18" baseType="lpstr">
      <vt:lpstr>Instructions</vt:lpstr>
      <vt:lpstr>Language Choice</vt:lpstr>
      <vt:lpstr>Person</vt:lpstr>
      <vt:lpstr>Europass Credentials</vt:lpstr>
      <vt:lpstr>Organisation</vt:lpstr>
      <vt:lpstr>Achievements</vt:lpstr>
      <vt:lpstr>Credential Designer</vt:lpstr>
      <vt:lpstr>References</vt:lpstr>
      <vt:lpstr>MultiAssociation Sheet</vt:lpstr>
      <vt:lpstr>ToDo</vt:lpstr>
      <vt:lpstr>AchievementNames</vt:lpstr>
      <vt:lpstr>EQF_Levels</vt:lpstr>
      <vt:lpstr>LanguageNamesFull</vt:lpstr>
      <vt:lpstr>LearningSettingNames</vt:lpstr>
      <vt:lpstr>ModeOfLearningNames</vt:lpstr>
      <vt:lpstr>OrganizationNames</vt:lpstr>
      <vt:lpstr>QFNames</vt:lpstr>
      <vt:lpstr>TargetGroupNames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2019-11-13T10:30:30Z</dcterms:created>
  <dcterms:modified xsi:type="dcterms:W3CDTF">2020-02-04T10:37:24Z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