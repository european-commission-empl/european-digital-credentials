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Dev\EDCI\gitSrc\edci\edci-issuer\edci-issuer-service\src\test\resources-unfiltered\"/>
    </mc:Choice>
  </mc:AlternateContent>
  <bookViews>
    <workbookView xWindow="-105" yWindow="-105" windowWidth="19425" windowHeight="7425" tabRatio="723" firstSheet="1" activeTab="4"/>
  </bookViews>
  <sheets>
    <sheet name="Instructions" sheetId="7" r:id="rId1"/>
    <sheet name="Language Choice" sheetId="9" r:id="rId2"/>
    <sheet name="Europass Credentials" sheetId="1" r:id="rId3"/>
    <sheet name="Person" sheetId="5" r:id="rId4"/>
    <sheet name="Organization" sheetId="2" r:id="rId5"/>
    <sheet name="Achievements" sheetId="3" r:id="rId6"/>
    <sheet name="References" sheetId="8" r:id="rId7"/>
    <sheet name="Locations" sheetId="6" r:id="rId8"/>
    <sheet name="Entitlement" sheetId="4" r:id="rId9"/>
    <sheet name="Credential Designer" sheetId="10" r:id="rId10"/>
  </sheets>
  <externalReferences>
    <externalReference r:id="rId11"/>
  </externalReferenc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3" i="1" l="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D13" i="1"/>
  <c r="BF13" i="1"/>
  <c r="BG13" i="1" s="1"/>
  <c r="BH13" i="1"/>
  <c r="BI13" i="1"/>
  <c r="BR13" i="1"/>
  <c r="BS11" i="1" l="1"/>
  <c r="BR10" i="1"/>
  <c r="BC11" i="1"/>
  <c r="C4" i="9"/>
  <c r="BC13" i="1" l="1"/>
  <c r="BS13" i="1"/>
  <c r="BE11" i="1"/>
</calcChain>
</file>

<file path=xl/comments1.xml><?xml version="1.0" encoding="utf-8"?>
<comments xmlns="http://schemas.openxmlformats.org/spreadsheetml/2006/main">
  <authors>
    <author>Jordi Castillo Quer</author>
    <author>tc={97F6465A-D284-405D-80F4-DB16D93BAA7F}</author>
    <author>tc={83C028A7-3C42-4A67-8240-42652E692DA1}</author>
    <author>tc={01F7D9D0-9249-480C-8720-2980FF48477B}</author>
    <author>tc={5E306851-821E-4E61-ABC5-37B04C442084}</author>
    <author>Enric Sayos LLorente</author>
  </authors>
  <commentList>
    <comment ref="A11" authorId="0" shapeId="0">
      <text>
        <r>
          <rPr>
            <b/>
            <sz val="9"/>
            <color indexed="81"/>
            <rFont val="Tahoma"/>
            <family val="2"/>
          </rPr>
          <t>Jordi Castillo Quer:</t>
        </r>
        <r>
          <rPr>
            <sz val="9"/>
            <color indexed="81"/>
            <rFont val="Tahoma"/>
            <family val="2"/>
          </rPr>
          <t xml:space="preserve">
Range will be removed since we do not need the information, we only need Field to be the exact name</t>
        </r>
      </text>
    </comment>
    <comment ref="A15"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6" authorId="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7" authorId="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8" authorId="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Data - each row should be parsed to create a new credential.</t>
        </r>
      </text>
    </comment>
    <comment ref="C52" authorId="0" shapeId="0">
      <text>
        <r>
          <rPr>
            <b/>
            <sz val="9"/>
            <color indexed="81"/>
            <rFont val="Tahoma"/>
            <family val="2"/>
          </rPr>
          <t>Jordi Castillo Quer:</t>
        </r>
        <r>
          <rPr>
            <sz val="9"/>
            <color indexed="81"/>
            <rFont val="Tahoma"/>
            <family val="2"/>
          </rPr>
          <t xml:space="preserve">
Dynamic with Visual Basic. Should update RangeRef with the row where the association is</t>
        </r>
      </text>
    </comment>
    <comment ref="D52" authorId="0" shapeId="0">
      <text>
        <r>
          <rPr>
            <b/>
            <sz val="9"/>
            <color indexed="81"/>
            <rFont val="Tahoma"/>
            <family val="2"/>
          </rPr>
          <t>Jordi Castillo Quer:</t>
        </r>
        <r>
          <rPr>
            <sz val="9"/>
            <color indexed="81"/>
            <rFont val="Tahoma"/>
            <family val="2"/>
          </rPr>
          <t xml:space="preserve">
Row where the association is</t>
        </r>
      </text>
    </comment>
    <comment ref="D57" authorId="5" shapeId="0">
      <text>
        <r>
          <rPr>
            <b/>
            <sz val="9"/>
            <color indexed="81"/>
            <rFont val="Tahoma"/>
            <family val="2"/>
          </rPr>
          <t>Enric Sayos LLorente:</t>
        </r>
        <r>
          <rPr>
            <sz val="9"/>
            <color indexed="81"/>
            <rFont val="Tahoma"/>
            <family val="2"/>
          </rPr>
          <t xml:space="preserve">
It is possible to insert any level of depth, and use or not the RangeProperty field</t>
        </r>
      </text>
    </comment>
    <comment ref="G58" authorId="5" shapeId="0">
      <text>
        <r>
          <rPr>
            <b/>
            <sz val="9"/>
            <color indexed="81"/>
            <rFont val="Tahoma"/>
            <family val="2"/>
          </rPr>
          <t>Enric Sayos LLorente:</t>
        </r>
        <r>
          <rPr>
            <sz val="9"/>
            <color indexed="81"/>
            <rFont val="Tahoma"/>
            <family val="2"/>
          </rPr>
          <t xml:space="preserve">
Here must be informed the type and field to be related if in other sheet. In format [TYPE.field]
</t>
        </r>
      </text>
    </comment>
    <comment ref="G60" authorId="5" shapeId="0">
      <text>
        <r>
          <rPr>
            <b/>
            <sz val="9"/>
            <color indexed="81"/>
            <rFont val="Tahoma"/>
            <family val="2"/>
          </rPr>
          <t>Enric Sayos LLorente:</t>
        </r>
        <r>
          <rPr>
            <sz val="9"/>
            <color indexed="81"/>
            <rFont val="Tahoma"/>
            <family val="2"/>
          </rPr>
          <t xml:space="preserve">
Here must be set the destination type to be associated
</t>
        </r>
      </text>
    </comment>
  </commentList>
</comments>
</file>

<file path=xl/comments2.xml><?xml version="1.0" encoding="utf-8"?>
<comments xmlns="http://schemas.openxmlformats.org/spreadsheetml/2006/main">
  <authors>
    <author>tc={767DB844-A440-4EE8-8FD8-C6F215F7B1C3}</author>
    <author>tc={91EBA963-BCCA-4561-8C9F-1ECB5B84963A}</author>
    <author>tc={ACA6F61A-3373-4E65-A7EB-53736FE82272}</author>
  </authors>
  <commentList>
    <comment ref="C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Where a range or Structure Data Type may contain several kinds of fields, this is the name of the field.</t>
        </r>
      </text>
    </comment>
    <comment ref="D6"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 ref="E7" authorId="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Where a default value is included, this should be considered the default value of all rows below it.</t>
        </r>
      </text>
    </comment>
  </commentList>
</comments>
</file>

<file path=xl/comments3.xml><?xml version="1.0" encoding="utf-8"?>
<comments xmlns="http://schemas.openxmlformats.org/spreadsheetml/2006/main">
  <authors>
    <author>tc={91EBA963-BCCA-4562-8C9F-1ECB5B84963A}</author>
    <author>tc={ACA6F61A-3373-4E66-A7EB-53736FE82272}</author>
  </authors>
  <commentList>
    <comment ref="D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 ref="E7"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Where a default value is included, this should be considered the default value of all rows below it.</t>
        </r>
      </text>
    </comment>
  </commentList>
</comments>
</file>

<file path=xl/sharedStrings.xml><?xml version="1.0" encoding="utf-8"?>
<sst xmlns="http://schemas.openxmlformats.org/spreadsheetml/2006/main" count="2355" uniqueCount="669">
  <si>
    <t>CASE 1: ENTITY PROPERTY</t>
  </si>
  <si>
    <t>CASE 2: ENTITY LIST PROPERTY</t>
  </si>
  <si>
    <t>CASE 3: ENTITY OBJECT PROPERTY</t>
  </si>
  <si>
    <t>CASE 4: ENTITY OBJECT LIST</t>
  </si>
  <si>
    <t>(made up case since we have not found any case)</t>
  </si>
  <si>
    <t>Class</t>
  </si>
  <si>
    <t>VerifiableCredential</t>
  </si>
  <si>
    <t>Person</t>
  </si>
  <si>
    <t>Entitlement</t>
  </si>
  <si>
    <t>Field</t>
  </si>
  <si>
    <t>issuanceDate</t>
  </si>
  <si>
    <t>xxxx</t>
  </si>
  <si>
    <t>nationalId</t>
  </si>
  <si>
    <t>identifier</t>
  </si>
  <si>
    <t>code</t>
  </si>
  <si>
    <t>Type</t>
  </si>
  <si>
    <t>Property</t>
  </si>
  <si>
    <t>Range</t>
  </si>
  <si>
    <t>Datetime</t>
  </si>
  <si>
    <t>LegalIdentifier</t>
  </si>
  <si>
    <t>Code</t>
  </si>
  <si>
    <t>RangeProperty</t>
  </si>
  <si>
    <t>spatialId</t>
  </si>
  <si>
    <t>issuedDate</t>
  </si>
  <si>
    <t>content</t>
  </si>
  <si>
    <t>RangeRef</t>
  </si>
  <si>
    <t>Language</t>
  </si>
  <si>
    <t>Definition</t>
  </si>
  <si>
    <t>Description</t>
  </si>
  <si>
    <t>Data</t>
  </si>
  <si>
    <t>35252366L</t>
  </si>
  <si>
    <t>iden1</t>
  </si>
  <si>
    <t>code1</t>
  </si>
  <si>
    <t>code2</t>
  </si>
  <si>
    <t>code3</t>
  </si>
  <si>
    <t>CASE 5: MULTILANGUAGE ENTITY OBJECT PROPERTY</t>
  </si>
  <si>
    <t>CASE 6: MULTILANGUAGE ENTITY LIST OBJECT</t>
  </si>
  <si>
    <t>EuropassCredential</t>
  </si>
  <si>
    <t>title</t>
  </si>
  <si>
    <t>note</t>
  </si>
  <si>
    <t>Text</t>
  </si>
  <si>
    <t>language</t>
  </si>
  <si>
    <t>topic</t>
  </si>
  <si>
    <t>en</t>
  </si>
  <si>
    <t>mt</t>
  </si>
  <si>
    <t>ca</t>
  </si>
  <si>
    <t>es</t>
  </si>
  <si>
    <t>Diploma in Sociology</t>
  </si>
  <si>
    <r>
      <t>Diploma fis-So</t>
    </r>
    <r>
      <rPr>
        <sz val="11"/>
        <color theme="1"/>
        <rFont val="Calibri"/>
        <family val="2"/>
      </rPr>
      <t>ċjoloġija</t>
    </r>
  </si>
  <si>
    <t>Topic 1st note</t>
  </si>
  <si>
    <t>1st note EN</t>
  </si>
  <si>
    <t>1ª nota cat</t>
  </si>
  <si>
    <t>1ª nota esp</t>
  </si>
  <si>
    <t>Topic 2nd note</t>
  </si>
  <si>
    <t>2nd note EN</t>
  </si>
  <si>
    <t>2ª nota cat</t>
  </si>
  <si>
    <t>2ª nota esp</t>
  </si>
  <si>
    <t>CASE 7: ASSOCIATION</t>
  </si>
  <si>
    <t>credentialSubject</t>
  </si>
  <si>
    <t>Reference</t>
  </si>
  <si>
    <t>Association</t>
  </si>
  <si>
    <t>Jordi Castillo</t>
  </si>
  <si>
    <t>Enric</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</si>
  <si>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</si>
  <si>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description</t>
  </si>
  <si>
    <t>issuer</t>
  </si>
  <si>
    <t>expirationDate</t>
  </si>
  <si>
    <t>Organization</t>
  </si>
  <si>
    <t>bg</t>
  </si>
  <si>
    <t>cs</t>
  </si>
  <si>
    <t>da</t>
  </si>
  <si>
    <t>de</t>
  </si>
  <si>
    <t>el</t>
  </si>
  <si>
    <t>et</t>
  </si>
  <si>
    <t>fi</t>
  </si>
  <si>
    <t>fr</t>
  </si>
  <si>
    <t>ga</t>
  </si>
  <si>
    <t>hr</t>
  </si>
  <si>
    <t>hu</t>
  </si>
  <si>
    <t>is</t>
  </si>
  <si>
    <t>it</t>
  </si>
  <si>
    <t>lt</t>
  </si>
  <si>
    <t>lv</t>
  </si>
  <si>
    <t>nl</t>
  </si>
  <si>
    <t>no</t>
  </si>
  <si>
    <t>pl</t>
  </si>
  <si>
    <t>pt</t>
  </si>
  <si>
    <t>ro</t>
  </si>
  <si>
    <t>sk</t>
  </si>
  <si>
    <t>sl</t>
  </si>
  <si>
    <t>sv</t>
  </si>
  <si>
    <t>The issuance date</t>
  </si>
  <si>
    <t>The expiration date</t>
  </si>
  <si>
    <t>The issuance date. A verifiable credential MUST have an issuanceDate property. The value represents the date and time the credential was issued. Note that this date represents the earliest date when the information associated with the credentialSubject property became valid. This is not the date of generation of the credential.</t>
  </si>
  <si>
    <t>The expiration date. The value of the expirationDate property  represents the date and time the credential ceases to be valid.</t>
  </si>
  <si>
    <t>English</t>
  </si>
  <si>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</si>
  <si>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</si>
  <si>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</si>
  <si>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</si>
  <si>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</si>
  <si>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</si>
  <si>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</si>
  <si>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</si>
  <si>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</si>
  <si>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</si>
  <si>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</si>
  <si>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</si>
  <si>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</si>
  <si>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</si>
  <si>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</si>
  <si>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</si>
  <si>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</si>
  <si>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Nederlands</t>
  </si>
  <si>
    <t>norsk</t>
  </si>
  <si>
    <t>polski</t>
  </si>
  <si>
    <t>português</t>
  </si>
  <si>
    <t>română</t>
  </si>
  <si>
    <t>slovenčina</t>
  </si>
  <si>
    <t>slovenščina</t>
  </si>
  <si>
    <t>svenska</t>
  </si>
  <si>
    <t>Default Value</t>
  </si>
  <si>
    <t>Column1</t>
  </si>
  <si>
    <t>Column2</t>
  </si>
  <si>
    <t>Column3</t>
  </si>
  <si>
    <t>Column4</t>
  </si>
  <si>
    <t>Column33</t>
  </si>
  <si>
    <t>Column42</t>
  </si>
  <si>
    <r>
      <rPr>
        <i/>
        <sz val="18"/>
        <color theme="1"/>
        <rFont val="Calibri"/>
        <family val="2"/>
        <scheme val="minor"/>
      </rPr>
      <t xml:space="preserve">Person
</t>
    </r>
    <r>
      <rPr>
        <i/>
        <sz val="11"/>
        <color theme="1"/>
        <rFont val="Calibri"/>
        <family val="2"/>
        <scheme val="minor"/>
      </rPr>
      <t>This sheet allows you to list any Organisations referenced in the credential. The first row should ALWAYS be the issuing organisation of the credential.</t>
    </r>
  </si>
  <si>
    <t>NOT PROCESSED YET</t>
  </si>
  <si>
    <t>id</t>
  </si>
  <si>
    <t>fullName</t>
  </si>
  <si>
    <t>givenNames</t>
  </si>
  <si>
    <t>familyName</t>
  </si>
  <si>
    <t>dateOfBirth</t>
  </si>
  <si>
    <t>placeOfBirth</t>
  </si>
  <si>
    <t>gender</t>
  </si>
  <si>
    <t>citizenshipCountry</t>
  </si>
  <si>
    <t>alternativeName</t>
  </si>
  <si>
    <t>ID/PK</t>
  </si>
  <si>
    <t>URI</t>
  </si>
  <si>
    <t>Location</t>
  </si>
  <si>
    <t>codeId</t>
  </si>
  <si>
    <t>iden2</t>
  </si>
  <si>
    <t>PersonTopic</t>
  </si>
  <si>
    <t>enNote</t>
  </si>
  <si>
    <t>caNote</t>
  </si>
  <si>
    <t>esNote</t>
  </si>
  <si>
    <t>PersonTopic2</t>
  </si>
  <si>
    <t>enNote2</t>
  </si>
  <si>
    <t>caNote2</t>
  </si>
  <si>
    <t>esNote2</t>
  </si>
  <si>
    <t xml:space="preserve">Jordi </t>
  </si>
  <si>
    <t>Castillo</t>
  </si>
  <si>
    <t>Georges Château</t>
  </si>
  <si>
    <t>Georges</t>
  </si>
  <si>
    <t>Château</t>
  </si>
  <si>
    <t>BCN</t>
  </si>
  <si>
    <t>male</t>
  </si>
  <si>
    <t>codeId1</t>
  </si>
  <si>
    <t>codeId2</t>
  </si>
  <si>
    <t>AlternativeCA1</t>
  </si>
  <si>
    <t>AlternativeEN1</t>
  </si>
  <si>
    <t>AlternativeCA2</t>
  </si>
  <si>
    <t>AlternativeEN2</t>
  </si>
  <si>
    <r>
      <rPr>
        <i/>
        <sz val="18"/>
        <color theme="1"/>
        <rFont val="Calibri"/>
        <family val="2"/>
        <scheme val="minor"/>
      </rPr>
      <t xml:space="preserve">Locations
</t>
    </r>
    <r>
      <rPr>
        <i/>
        <sz val="11"/>
        <color theme="1"/>
        <rFont val="Calibri"/>
        <family val="2"/>
        <scheme val="minor"/>
      </rPr>
      <t>This sheet allows you to list any Organisations referenced in the credential. The first row should ALWAYS be the issuing organisation of the credential.</t>
    </r>
  </si>
  <si>
    <t>ID/PK NOT PROCESSED YET</t>
  </si>
  <si>
    <t>geographicName</t>
  </si>
  <si>
    <t>spatialCode</t>
  </si>
  <si>
    <t>Barcelona</t>
  </si>
  <si>
    <t>Barcelone</t>
  </si>
  <si>
    <r>
      <rPr>
        <i/>
        <sz val="18"/>
        <color theme="1"/>
        <rFont val="Calibri"/>
        <family val="2"/>
        <scheme val="minor"/>
      </rPr>
      <t xml:space="preserve">Organisations
</t>
    </r>
    <r>
      <rPr>
        <i/>
        <sz val="11"/>
        <color theme="1"/>
        <rFont val="Calibri"/>
        <family val="2"/>
        <scheme val="minor"/>
      </rPr>
      <t>This sheet allows you to list any Organisations referenced in the credential. The first row should ALWAYS be the issuing organisation of the credential.</t>
    </r>
  </si>
  <si>
    <t>preferredName</t>
  </si>
  <si>
    <t>Achievement</t>
  </si>
  <si>
    <t>Identifier</t>
  </si>
  <si>
    <t>ach1</t>
  </si>
  <si>
    <t>ACH-ID-01</t>
  </si>
  <si>
    <t>Achievement title</t>
  </si>
  <si>
    <t>titolu tal-kisba</t>
  </si>
  <si>
    <t>Achievement description</t>
  </si>
  <si>
    <t>topic 1</t>
  </si>
  <si>
    <t>Deskrizzjoni tal-kisba</t>
  </si>
  <si>
    <t>Achievement title two</t>
  </si>
  <si>
    <t>titola tal-kisba 2</t>
  </si>
  <si>
    <t>Achievement description 2</t>
  </si>
  <si>
    <t>topic 2</t>
  </si>
  <si>
    <t>Deskrizzjoni tal-kisba 2</t>
  </si>
  <si>
    <t>additionalNote</t>
  </si>
  <si>
    <t>format</t>
  </si>
  <si>
    <t>code11</t>
  </si>
  <si>
    <t>code12</t>
  </si>
  <si>
    <t>entitleen1</t>
  </si>
  <si>
    <t>entitlemt1</t>
  </si>
  <si>
    <t>entitlees1</t>
  </si>
  <si>
    <t>entitleca1</t>
  </si>
  <si>
    <t>Supernote11es</t>
  </si>
  <si>
    <t>topic11</t>
  </si>
  <si>
    <t>text/plain</t>
  </si>
  <si>
    <t>Supernote11ca</t>
  </si>
  <si>
    <t>Supernote12fr</t>
  </si>
  <si>
    <t>topci12</t>
  </si>
  <si>
    <t>code21</t>
  </si>
  <si>
    <t>code22</t>
  </si>
  <si>
    <t>entitleen2</t>
  </si>
  <si>
    <t>entitlemt2</t>
  </si>
  <si>
    <t>entitlees2</t>
  </si>
  <si>
    <t>entitleca2</t>
  </si>
  <si>
    <t>Supernote21es</t>
  </si>
  <si>
    <t>topic21</t>
  </si>
  <si>
    <t>Supernote21ca</t>
  </si>
  <si>
    <t>Supernote22fr</t>
  </si>
  <si>
    <t>name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</si>
  <si>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</si>
  <si>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</si>
  <si>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</si>
  <si>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</si>
  <si>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</si>
  <si>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</si>
  <si>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</si>
  <si>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</si>
  <si>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</si>
  <si>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</si>
  <si>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</si>
  <si>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</si>
  <si>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</si>
  <si>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</si>
  <si>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</si>
  <si>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</si>
  <si>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</si>
  <si>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</si>
  <si>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</si>
  <si>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</si>
  <si>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</si>
  <si>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</si>
  <si>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</si>
  <si>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</si>
  <si>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</si>
  <si>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</si>
  <si>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CASE 7: ASSOCIATION LIST</t>
  </si>
  <si>
    <t>contains</t>
  </si>
  <si>
    <t>CASE 8: ENTITY OBJECT LIST LIST</t>
  </si>
  <si>
    <t>EuropassCredential.title.Property.Text.content.1.en</t>
  </si>
  <si>
    <t>EuropassCredential.title.Property.Text.content.1.bg</t>
  </si>
  <si>
    <t>EuropassCredential.title.Property.Text.content.1.cs</t>
  </si>
  <si>
    <t>EuropassCredential.title.Property.Text.content.1.da</t>
  </si>
  <si>
    <t>EuropassCredential.title.Property.Text.content.1.de</t>
  </si>
  <si>
    <t>EuropassCredential.title.Property.Text.content.1.el</t>
  </si>
  <si>
    <t>EuropassCredential.title.Property.Text.content.1.es</t>
  </si>
  <si>
    <t>EuropassCredential.title.Property.Text.content.1.et</t>
  </si>
  <si>
    <t>EuropassCredential.title.Property.Text.content.1.fi</t>
  </si>
  <si>
    <t>EuropassCredential.title.Property.Text.content.1.fr</t>
  </si>
  <si>
    <t>EuropassCredential.title.Property.Text.content.1.ga</t>
  </si>
  <si>
    <t>EuropassCredential.title.Property.Text.content.1.hr</t>
  </si>
  <si>
    <t>EuropassCredential.title.Property.Text.content.1.hu</t>
  </si>
  <si>
    <t>EuropassCredential.title.Property.Text.content.1.is</t>
  </si>
  <si>
    <t>EuropassCredential.title.Property.Text.content.1.it</t>
  </si>
  <si>
    <t>EuropassCredential.title.Property.Text.content.1.lt</t>
  </si>
  <si>
    <t>EuropassCredential.title.Property.Text.content.1.lv</t>
  </si>
  <si>
    <t>EuropassCredential.title.Property.Text.content.1.mt</t>
  </si>
  <si>
    <t>EuropassCredential.title.Property.Text.content.1.nl</t>
  </si>
  <si>
    <t>EuropassCredential.title.Property.Text.content.1.no</t>
  </si>
  <si>
    <t>EuropassCredential.title.Property.Text.content.1.pl</t>
  </si>
  <si>
    <t>EuropassCredential.title.Property.Text.content.1.pt</t>
  </si>
  <si>
    <t>EuropassCredential.title.Property.Text.content.1.ro</t>
  </si>
  <si>
    <t>EuropassCredential.title.Property.Text.content.1.sk</t>
  </si>
  <si>
    <t>EuropassCredential.title.Property.Text.content.1.sl</t>
  </si>
  <si>
    <t>EuropassCredential.title.Property.Text.content.1.sv</t>
  </si>
  <si>
    <t>EuropassCredential.description.Property.Note.content.2.en</t>
  </si>
  <si>
    <t>EuropassCredential.description.Property.Note.content.2.bg</t>
  </si>
  <si>
    <t>EuropassCredential.description.Property.Note.content.2.cs</t>
  </si>
  <si>
    <t>EuropassCredential.description.Property.Note.content.2.da</t>
  </si>
  <si>
    <t>EuropassCredential.description.Property.Note.content.2.de</t>
  </si>
  <si>
    <t>EuropassCredential.description.Property.Note.content.2.el</t>
  </si>
  <si>
    <t>EuropassCredential.description.Property.Note.content.2.es</t>
  </si>
  <si>
    <t>EuropassCredential.description.Property.Note.content.2.et</t>
  </si>
  <si>
    <t>EuropassCredential.description.Property.Note.content.2.fi</t>
  </si>
  <si>
    <t>EuropassCredential.description.Property.Note.content.2.fr</t>
  </si>
  <si>
    <t>EuropassCredential.description.Property.Note.content.2.ga</t>
  </si>
  <si>
    <t>EuropassCredential.description.Property.Note.content.2.hr</t>
  </si>
  <si>
    <t>EuropassCredential.description.Property.Note.content.2.hu</t>
  </si>
  <si>
    <t>EuropassCredential.description.Property.Note.content.2.is</t>
  </si>
  <si>
    <t>EuropassCredential.description.Property.Note.content.2.it</t>
  </si>
  <si>
    <t>EuropassCredential.description.Property.Note.content.2.lt</t>
  </si>
  <si>
    <t>EuropassCredential.description.Property.Note.content.2.lv</t>
  </si>
  <si>
    <t>EuropassCredential.description.Property.Note.content.2.mt</t>
  </si>
  <si>
    <t>EuropassCredential.description.Property.Note.content.2.nl</t>
  </si>
  <si>
    <t>EuropassCredential.description.Property.Note.content.2.no</t>
  </si>
  <si>
    <t>EuropassCredential.description.Property.Note.content.2.pl</t>
  </si>
  <si>
    <t>EuropassCredential.description.Property.Note.content.2.pt</t>
  </si>
  <si>
    <t>EuropassCredential.description.Property.Note.content.2.ro</t>
  </si>
  <si>
    <t>EuropassCredential.description.Property.Note.content.2.sk</t>
  </si>
  <si>
    <t>EuropassCredential.description.Property.Note.content.2.sl</t>
  </si>
  <si>
    <t>EuropassCredential.description.Property.Note.content.2.sv</t>
  </si>
  <si>
    <t>EuropassCredential.issuer.Association..Organization.3.</t>
  </si>
  <si>
    <t>EuropassCredential.issuer.Association..Organization.3.2</t>
  </si>
  <si>
    <t>EuropassCredential.credentialSubject.Association..Person.4.</t>
  </si>
  <si>
    <t>EuropassCredential.credentialSubject.Association..Person.4.3</t>
  </si>
  <si>
    <t>VerifiableCredential.issuanceDate.Property.Datetime...</t>
  </si>
  <si>
    <t>VerifiableCredential.expirationDate.Property.Datetime...</t>
  </si>
  <si>
    <t>identifierType</t>
  </si>
  <si>
    <t>content11</t>
  </si>
  <si>
    <t>identifierType111</t>
  </si>
  <si>
    <t>identifierType112</t>
  </si>
  <si>
    <t>issuedDate11</t>
  </si>
  <si>
    <t>content12</t>
  </si>
  <si>
    <t>content21</t>
  </si>
  <si>
    <t>issuedDate21</t>
  </si>
  <si>
    <t>identifierType211</t>
  </si>
  <si>
    <t>identifierType212</t>
  </si>
  <si>
    <t>content22</t>
  </si>
  <si>
    <t>Data Type</t>
  </si>
  <si>
    <t>Field (property/association)</t>
  </si>
  <si>
    <t>Range
(data type)</t>
  </si>
  <si>
    <t>Card</t>
  </si>
  <si>
    <t>Identifier Type</t>
  </si>
  <si>
    <t>Attribute</t>
  </si>
  <si>
    <t>String</t>
  </si>
  <si>
    <t>*</t>
  </si>
  <si>
    <t>Person.id.ID/PK.URI...</t>
  </si>
  <si>
    <t>Person.nationalId.Property.LegalIdentifier.spatialId...</t>
  </si>
  <si>
    <t>Person.identifier.Property.identifier.issuedDate.1..</t>
  </si>
  <si>
    <t>Person.identifier.Property.identifier.content.1..</t>
  </si>
  <si>
    <t>Person.identifier.Property.identifier.issuedDate.2..</t>
  </si>
  <si>
    <t>Person.identifier.Property.identifier.content.2..</t>
  </si>
  <si>
    <t>Person.note.Property..topic.1..</t>
  </si>
  <si>
    <t>Person.note.Property.contents.content.1.en.</t>
  </si>
  <si>
    <t>Person.note.Property.contents.content.1.ca.</t>
  </si>
  <si>
    <t>Person.note.Property.contents.content.1.es.</t>
  </si>
  <si>
    <t>Person.note.Property..topic.2..</t>
  </si>
  <si>
    <t>Person.note.Property.contents.content.2.en.</t>
  </si>
  <si>
    <t>Person.note.Property.contents.content.2.ca.</t>
  </si>
  <si>
    <t>Person.note.Property.contents.content.2.es.</t>
  </si>
  <si>
    <t>Person.fullName.Property.Text.content..ca.</t>
  </si>
  <si>
    <t>Person.givenNames.Property.Text .content..ca.</t>
  </si>
  <si>
    <t>Person.familyName.Property.Text.content..ca.</t>
  </si>
  <si>
    <t>Person.fullName.Property.Text.content..fr.</t>
  </si>
  <si>
    <t>Person.givenNames.Property.Text .content..fr.</t>
  </si>
  <si>
    <t>Person.familyName.Property.Text.content..fr.</t>
  </si>
  <si>
    <t>Person.dateOfBirth.Property.Date....</t>
  </si>
  <si>
    <t>Person.placeOfBirth.Association..Location.12..</t>
  </si>
  <si>
    <t>Person.gender.Property.Code.codeId...</t>
  </si>
  <si>
    <t>Person.citizenshipCountry.Property.Code.codeId.1..</t>
  </si>
  <si>
    <t>Person.citizenshipCountry.Property.Code.codeId.2..</t>
  </si>
  <si>
    <t>Person.alternativeName.Property.contents.content.1.ca.</t>
  </si>
  <si>
    <t>Person.alternativeName.Property.contents.content.1.en.</t>
  </si>
  <si>
    <t>Person.alternativeName.Property.contents.content.2.ca.</t>
  </si>
  <si>
    <t>Person.alternativeName.Property.contents.content.2.en.</t>
  </si>
  <si>
    <t>Range 
(data type)</t>
  </si>
  <si>
    <t>Anthony Camilleri</t>
  </si>
  <si>
    <t>Primary Language</t>
  </si>
  <si>
    <t>Language to Add/Remove</t>
  </si>
  <si>
    <t>type</t>
  </si>
  <si>
    <t>http://data.europa.eu/europass/credentialType/generic</t>
  </si>
  <si>
    <t>generic</t>
  </si>
  <si>
    <t>http://data.europa.eu/europass/credentialType/qualification</t>
  </si>
  <si>
    <t>qualification award</t>
  </si>
  <si>
    <t>http://data.europa.eu/europass/credentialType/diplomaSupplement</t>
  </si>
  <si>
    <t>diploma supplement</t>
  </si>
  <si>
    <t>Europass Standard List of Credential Types</t>
  </si>
  <si>
    <t>Sub-Credentials</t>
  </si>
  <si>
    <t>attachment</t>
  </si>
  <si>
    <t>contentURL</t>
  </si>
  <si>
    <t>Attachments</t>
  </si>
  <si>
    <t>https://oepass.eu/wp-content/uploads/sites/22/2019/03/OEPass_O1_A2_peerreview_report_v3.pdf</t>
  </si>
  <si>
    <t>Please attach any digital document (in PDF, JPEG or PNG format) to support/evidence personal data, learning achievements, work experiences, skills, competences, diplomas, etc. Duplicate this column to add more than one attachment</t>
  </si>
  <si>
    <t>BackgroundImage</t>
  </si>
  <si>
    <t>display</t>
  </si>
  <si>
    <t>summaryDisplay</t>
  </si>
  <si>
    <t>backgroundImage</t>
  </si>
  <si>
    <t>https://everis.com/image.jpg</t>
  </si>
  <si>
    <t>targetURL</t>
  </si>
  <si>
    <t>Smaller sub-credentials (micro-credentials), which when combined make up this  learning opportunity.</t>
  </si>
  <si>
    <t>The organisaton that issued the credential and sealed it with their digital e-seal. The organisaton that issued the credential and sealed it with their digital e-seal.</t>
  </si>
  <si>
    <t>Issuer</t>
  </si>
  <si>
    <t>The person about which claims are made and who owns the credential.</t>
  </si>
  <si>
    <t>Owner</t>
  </si>
  <si>
    <t>The full official title of the issued credential.</t>
  </si>
  <si>
    <t>A summary of the claim of the claim or group of claims being made about a person. Typically should start with a verb, for example "has achieved", "is entitled to", "has attended", "knows".</t>
  </si>
  <si>
    <t>Title</t>
  </si>
  <si>
    <t>Long Description</t>
  </si>
  <si>
    <t>Ildiko</t>
  </si>
  <si>
    <t>Mazar</t>
  </si>
  <si>
    <t>Certificate of Testing</t>
  </si>
  <si>
    <t>Próba Oklevél</t>
  </si>
  <si>
    <t>Let's see where this credential description will be displayed in the Viewer</t>
  </si>
  <si>
    <t>Meglátjuk hol jelenik meg ez a magyar oklevél leírás</t>
  </si>
  <si>
    <t>Issuer - Should come from drop-down</t>
  </si>
  <si>
    <r>
      <rPr>
        <i/>
        <sz val="18"/>
        <color theme="1"/>
        <rFont val="Calibri"/>
        <family val="2"/>
        <scheme val="minor"/>
      </rPr>
      <t xml:space="preserve">Organisations
</t>
    </r>
    <r>
      <rPr>
        <i/>
        <sz val="11"/>
        <color theme="1"/>
        <rFont val="Calibri"/>
        <family val="2"/>
        <scheme val="minor"/>
      </rPr>
      <t>This is the main sheet for describing legal persons / registered organization.</t>
    </r>
  </si>
  <si>
    <t>vatIdentifier</t>
  </si>
  <si>
    <t>taxIdentifier</t>
  </si>
  <si>
    <t>hasLocation</t>
  </si>
  <si>
    <t>hasAddress</t>
  </si>
  <si>
    <t>fullAddress</t>
  </si>
  <si>
    <t>countryCode</t>
  </si>
  <si>
    <t>hasAccreditation</t>
  </si>
  <si>
    <t>logo</t>
  </si>
  <si>
    <t>Association.Ignore</t>
  </si>
  <si>
    <t>identifierSchemeId</t>
  </si>
  <si>
    <t>contentUrl</t>
  </si>
  <si>
    <t>Legal Name</t>
  </si>
  <si>
    <t>Common Name</t>
  </si>
  <si>
    <t>VAT Number</t>
  </si>
  <si>
    <t>Tax/Fiscal Identifier</t>
  </si>
  <si>
    <t>Other Identifier Scheme</t>
  </si>
  <si>
    <t>Other Identifier</t>
  </si>
  <si>
    <t>Full legal name of the organisation, as registered with national authorities. The legal name should only be translated to languages where official translations (submitted to national authorities) exist.</t>
  </si>
  <si>
    <t>Use the format Country Code-Number, e.g. MT11111111</t>
  </si>
  <si>
    <t>Identification of the identifier scheme.</t>
  </si>
  <si>
    <t>Column5</t>
  </si>
  <si>
    <t>Column6</t>
  </si>
  <si>
    <t>Column7</t>
  </si>
  <si>
    <t>Column8</t>
  </si>
  <si>
    <t>Column9</t>
  </si>
  <si>
    <t>Column10</t>
  </si>
  <si>
    <t>Column11</t>
  </si>
  <si>
    <t>EuropassCredential.title.Property.Text.content.1.en2</t>
  </si>
  <si>
    <t>EuropassCredential.title.Property.Text.content.1.bg3</t>
  </si>
  <si>
    <t>EuropassCredential.title.Property.Text.content.1.cs4</t>
  </si>
  <si>
    <t>EuropassCredential.title.Property.Text.content.1.da5</t>
  </si>
  <si>
    <t>EuropassCredential.title.Property.Text.content.1.de6</t>
  </si>
  <si>
    <t>EuropassCredential.title.Property.Text.content.1.el7</t>
  </si>
  <si>
    <t>EuropassCredential.title.Property.Text.content.1.es8</t>
  </si>
  <si>
    <t>EuropassCredential.title.Property.Text.content.1.et9</t>
  </si>
  <si>
    <t>EuropassCredential.title.Property.Text.content.1.fi10</t>
  </si>
  <si>
    <t>EuropassCredential.title.Property.Text.content.1.fr11</t>
  </si>
  <si>
    <t>EuropassCredential.title.Property.Text.content.1.ga12</t>
  </si>
  <si>
    <t>EuropassCredential.title.Property.Text.content.1.hr13</t>
  </si>
  <si>
    <t>EuropassCredential.title.Property.Text.content.1.hu14</t>
  </si>
  <si>
    <t>EuropassCredential.title.Property.Text.content.1.is15</t>
  </si>
  <si>
    <t>EuropassCredential.title.Property.Text.content.1.it16</t>
  </si>
  <si>
    <t>Column117</t>
  </si>
  <si>
    <t>Column218</t>
  </si>
  <si>
    <t>Column319</t>
  </si>
  <si>
    <t>Column420</t>
  </si>
  <si>
    <t>Column521</t>
  </si>
  <si>
    <t>Column622</t>
  </si>
  <si>
    <t>Column723</t>
  </si>
  <si>
    <t>Column824</t>
  </si>
  <si>
    <t>Column925</t>
  </si>
  <si>
    <t>Column1026</t>
  </si>
  <si>
    <t>Column1129</t>
  </si>
  <si>
    <t>EuropassCredential.title.Property.Text.content.1.en22</t>
  </si>
  <si>
    <t>EuropassCredential.title.Property.Text.content.1.es82</t>
  </si>
  <si>
    <t>EuropassCredential.title.Property.Text.content.1.fr112</t>
  </si>
  <si>
    <t>Column12</t>
  </si>
  <si>
    <t>Column122</t>
  </si>
  <si>
    <t>Column13</t>
  </si>
  <si>
    <t>Column132</t>
  </si>
  <si>
    <t>Column14</t>
  </si>
  <si>
    <t>Column142</t>
  </si>
  <si>
    <t>Column15</t>
  </si>
  <si>
    <t>Column152</t>
  </si>
  <si>
    <t>Autonomous university of Barcelona</t>
  </si>
  <si>
    <t>Universidad autónoma de Barcelona</t>
  </si>
  <si>
    <t>Universitat autònoma de Barcelona</t>
  </si>
  <si>
    <t>Alternative name 1 _ EN</t>
  </si>
  <si>
    <t>Alternative name 1 _ ES</t>
  </si>
  <si>
    <t>Alternative name 1 _ FR</t>
  </si>
  <si>
    <t>Alternative name 2 _ EN</t>
  </si>
  <si>
    <t>Alternative name 2 _ ES</t>
  </si>
  <si>
    <t>Alternative name 2 _ FR</t>
  </si>
  <si>
    <t>vatId_spatialId1_UAB</t>
  </si>
  <si>
    <t>vatId_spatialId2_UAB</t>
  </si>
  <si>
    <t>taxId_spatialId1_UAB</t>
  </si>
  <si>
    <t>taxId_spatialId12_UAB</t>
  </si>
  <si>
    <t>identifierSchemeId_1</t>
  </si>
  <si>
    <t>identifierSchemeId_2</t>
  </si>
  <si>
    <t>idenContent1</t>
  </si>
  <si>
    <t>idenContent2</t>
  </si>
  <si>
    <t>Columna1</t>
  </si>
  <si>
    <t>Columna2</t>
  </si>
  <si>
    <t>Columna3</t>
  </si>
  <si>
    <t>es_ES</t>
  </si>
  <si>
    <t>fr_FR</t>
  </si>
  <si>
    <t>en_GB</t>
  </si>
  <si>
    <t>Jordi</t>
  </si>
  <si>
    <t>Column43</t>
  </si>
  <si>
    <t>Column44</t>
  </si>
  <si>
    <t>here will be a reference selected by user, on selection, association column will be filled</t>
  </si>
  <si>
    <t>Person.achieved</t>
  </si>
  <si>
    <t>NestedAssociation</t>
  </si>
  <si>
    <t>Column45</t>
  </si>
  <si>
    <t>NestedProperty</t>
  </si>
  <si>
    <t>http://test.image.com</t>
  </si>
  <si>
    <t>Column46</t>
  </si>
  <si>
    <t>contentType</t>
  </si>
  <si>
    <t>EuropassCredential.display.background</t>
  </si>
  <si>
    <t>image/jpg</t>
  </si>
  <si>
    <t>CASE 9: NESTED PROPERTY</t>
  </si>
  <si>
    <t>CASE 10: NESTED ASSOCIATION</t>
  </si>
  <si>
    <t>NOTE: LAST UPDATED  WORKING COPY:</t>
  </si>
  <si>
    <t>If this excel does not work, go to the issuer application and download the "Dynamic Higher Education Diploma" it should contain last working version</t>
  </si>
  <si>
    <t>Column452</t>
  </si>
  <si>
    <t>Column463</t>
  </si>
  <si>
    <t>EuropassCredential.display.layout</t>
  </si>
  <si>
    <t>Columna4</t>
  </si>
  <si>
    <t>Columna5</t>
  </si>
  <si>
    <t>Columna6</t>
  </si>
  <si>
    <t>Columna42</t>
  </si>
  <si>
    <t>identifierSchemeAgencyName</t>
  </si>
  <si>
    <t>Columna43</t>
  </si>
  <si>
    <t>Columna44</t>
  </si>
  <si>
    <t>Columna45</t>
  </si>
  <si>
    <t>Columna46</t>
  </si>
  <si>
    <t>locationContent1</t>
  </si>
  <si>
    <t>locatiionSchemeId1</t>
  </si>
  <si>
    <t>locationAgencyName1</t>
  </si>
  <si>
    <t>locationContent2</t>
  </si>
  <si>
    <t>locatiionSchemeId2</t>
  </si>
  <si>
    <t>locationAgencyName2</t>
  </si>
  <si>
    <t>https://gessi.upc.edu/en/logosfooter-en/upc/view/++widget++form.widgets.image/@@download/UPC.gif</t>
  </si>
  <si>
    <t>http://www.brandemia.org/sites/default/files/sites/default/files/logo_universidad_barcelona_nuevo.jpg</t>
  </si>
  <si>
    <t>EuropassCredential.title.Property.Text.content.1.fr113</t>
  </si>
  <si>
    <t>EuropassCredential.title.Property.Text.content.1.fr1122</t>
  </si>
  <si>
    <t>Organization.logo</t>
  </si>
  <si>
    <t>image/png</t>
  </si>
  <si>
    <t>Person.hasLocation#1</t>
  </si>
  <si>
    <t>Columna422</t>
  </si>
  <si>
    <t>Columna423</t>
  </si>
  <si>
    <t>location1identifier1idtype1</t>
  </si>
  <si>
    <t>Columna4222</t>
  </si>
  <si>
    <t>Columna4233</t>
  </si>
  <si>
    <t>location1identifier2idtype2</t>
  </si>
  <si>
    <t>location1identifier2idtype1</t>
  </si>
  <si>
    <t>Columna4234</t>
  </si>
  <si>
    <t>Columna42332</t>
  </si>
  <si>
    <t>Person.hasLocation#2</t>
  </si>
  <si>
    <t>Columna42344</t>
  </si>
  <si>
    <t>Columna42345</t>
  </si>
  <si>
    <t>Columna423442</t>
  </si>
  <si>
    <t>Columna42346</t>
  </si>
  <si>
    <t>Columna423452</t>
  </si>
  <si>
    <t>Columna423453</t>
  </si>
  <si>
    <t>Columna423454</t>
  </si>
  <si>
    <t>Columna4234532</t>
  </si>
  <si>
    <t>Columna4234533</t>
  </si>
  <si>
    <t>Columna423455</t>
  </si>
  <si>
    <t>location12dentifier1idtype1</t>
  </si>
  <si>
    <t>location2identifier1idtype2</t>
  </si>
  <si>
    <t>location2identifier2idtype2</t>
  </si>
  <si>
    <t>Columna42333</t>
  </si>
  <si>
    <t>Columna42334</t>
  </si>
  <si>
    <t>Location1_EN</t>
  </si>
  <si>
    <t>Location1_ES</t>
  </si>
  <si>
    <t>Columna423332</t>
  </si>
  <si>
    <t>Columna423333</t>
  </si>
  <si>
    <t>Columna423334</t>
  </si>
  <si>
    <t>listId</t>
  </si>
  <si>
    <t>Columna4233322</t>
  </si>
  <si>
    <t>Columna4233323</t>
  </si>
  <si>
    <t>Columna4233324</t>
  </si>
  <si>
    <t>Columna42333232</t>
  </si>
  <si>
    <t>Columna42333233</t>
  </si>
  <si>
    <t>location1code1content</t>
  </si>
  <si>
    <t>location1code1listId</t>
  </si>
  <si>
    <t>location1code1name</t>
  </si>
  <si>
    <t>location1code1codeId</t>
  </si>
  <si>
    <t>location1code2content</t>
  </si>
  <si>
    <t>location1code2listId</t>
  </si>
  <si>
    <t>location1.code2.name</t>
  </si>
  <si>
    <t>location1.code2.codeId</t>
  </si>
  <si>
    <t>Columna4233325</t>
  </si>
  <si>
    <t>Columna42333242</t>
  </si>
  <si>
    <t>location1_en</t>
  </si>
  <si>
    <t>location1_es</t>
  </si>
  <si>
    <t>Columna4233326</t>
  </si>
  <si>
    <t>Columna42333252</t>
  </si>
  <si>
    <t>Columna42333253</t>
  </si>
  <si>
    <t>Person.hasLocation#1.hasAddress#1</t>
  </si>
  <si>
    <t>Columna423332522</t>
  </si>
  <si>
    <t>Columna4233327</t>
  </si>
  <si>
    <t>Columna42333262</t>
  </si>
  <si>
    <t>Columna4233328</t>
  </si>
  <si>
    <t>Columna42333272</t>
  </si>
  <si>
    <t>Columna42333273</t>
  </si>
  <si>
    <t>Columna42333274</t>
  </si>
  <si>
    <t>Columna42333275</t>
  </si>
  <si>
    <t>Columna42333276</t>
  </si>
  <si>
    <t>addres1.identifier1.content</t>
  </si>
  <si>
    <t>adress1.identifier1.idschemeid</t>
  </si>
  <si>
    <t>adress1.identifier1.idagency</t>
  </si>
  <si>
    <t>adress1.identifier1..1</t>
  </si>
  <si>
    <t>adress1.identifier1.2</t>
  </si>
  <si>
    <t>adress1.identifier2.content</t>
  </si>
  <si>
    <t>adress1.identifier2.idschemeid</t>
  </si>
  <si>
    <t>address1.identifier2.idscheme</t>
  </si>
  <si>
    <t>adress1.identifier2.22</t>
  </si>
  <si>
    <t>adress1.identifier2.33</t>
  </si>
  <si>
    <t>Columna4233329</t>
  </si>
  <si>
    <t>Columna42333282</t>
  </si>
  <si>
    <t>address1.fullAddress.es</t>
  </si>
  <si>
    <t>address1.fullAddress.en</t>
  </si>
  <si>
    <t>Columna4233330</t>
  </si>
  <si>
    <t>Columna42333292</t>
  </si>
  <si>
    <t>Columna4233331</t>
  </si>
  <si>
    <t>Columna42333302</t>
  </si>
  <si>
    <t>addres1.countryCode.content</t>
  </si>
  <si>
    <t>address1.countryCode.listId</t>
  </si>
  <si>
    <t>address1.countryCode.name</t>
  </si>
  <si>
    <t>address1.countryCode.codeId</t>
  </si>
  <si>
    <t>Columna4233332</t>
  </si>
  <si>
    <t>Columna42333312</t>
  </si>
  <si>
    <t>Columna42333313</t>
  </si>
  <si>
    <t>Columna42333314</t>
  </si>
  <si>
    <t>address2.fulladdress.es</t>
  </si>
  <si>
    <t>address2.fulladdress.en</t>
  </si>
  <si>
    <t>Person.hasLocation#1.hasAddress#2</t>
  </si>
  <si>
    <t>address2.code.content</t>
  </si>
  <si>
    <t>address2.code.name</t>
  </si>
  <si>
    <t>Columna7</t>
  </si>
  <si>
    <t>Columna8</t>
  </si>
  <si>
    <t>Columna9</t>
  </si>
  <si>
    <t>Person.contactPoint#1</t>
  </si>
  <si>
    <t>contactPoint1.note.es</t>
  </si>
  <si>
    <t>contactPoint1.not.en</t>
  </si>
  <si>
    <t>Columna72</t>
  </si>
  <si>
    <t>contactPoint1.note2.es</t>
  </si>
  <si>
    <t>contactPoint1.note2.en</t>
  </si>
  <si>
    <t>Columna73</t>
  </si>
  <si>
    <t>contactPoint</t>
  </si>
  <si>
    <t>Columna74</t>
  </si>
  <si>
    <t>contactPoin1.en</t>
  </si>
  <si>
    <t>contactPoint1.es</t>
  </si>
  <si>
    <t>Columna75</t>
  </si>
  <si>
    <t>Columna742</t>
  </si>
  <si>
    <t>Columna76</t>
  </si>
  <si>
    <t>Columna752</t>
  </si>
  <si>
    <t>Columna753</t>
  </si>
  <si>
    <t>Person.contactPoint#1.postalAddress#1</t>
  </si>
  <si>
    <t>contactPoint1.postalAddress1.identifier1.content</t>
  </si>
  <si>
    <t>contactpoint.postalAdress.identifertype1</t>
  </si>
  <si>
    <t>contactpoint.postalAdress.identifertype2</t>
  </si>
  <si>
    <t>email</t>
  </si>
  <si>
    <t>enric.sayos.llorente@everis.com</t>
  </si>
  <si>
    <t>Columna77</t>
  </si>
  <si>
    <t>esayosll@everis.com</t>
  </si>
  <si>
    <t>Columna7522</t>
  </si>
  <si>
    <t>contactForm</t>
  </si>
  <si>
    <t>Columna7523</t>
  </si>
  <si>
    <t>Column153</t>
  </si>
  <si>
    <t>location1-en</t>
  </si>
  <si>
    <t>Column154</t>
  </si>
  <si>
    <t>Organization.hasLocation#1</t>
  </si>
  <si>
    <t>location1.identifier1.content</t>
  </si>
  <si>
    <t>Column155</t>
  </si>
  <si>
    <t>Column156</t>
  </si>
  <si>
    <t>Column157</t>
  </si>
  <si>
    <t>accreditation1.description.en</t>
  </si>
  <si>
    <t>accreditation1.description.es</t>
  </si>
  <si>
    <t>Organization.hasAccreditation#1</t>
  </si>
  <si>
    <t>limitEqfLevel</t>
  </si>
  <si>
    <t>accreditation1.limiteqflevel1.content</t>
  </si>
  <si>
    <t>Column158</t>
  </si>
  <si>
    <t>Column159</t>
  </si>
  <si>
    <t>Column160</t>
  </si>
  <si>
    <t>Column161</t>
  </si>
  <si>
    <t>accreditation1.limiteqflevel1.listId</t>
  </si>
  <si>
    <t>accreditation1.limiteqflevel1.name</t>
  </si>
  <si>
    <t>accreditation1.limiteqflevel1.codeId</t>
  </si>
  <si>
    <t>UPC</t>
  </si>
  <si>
    <t>hasUnit</t>
  </si>
  <si>
    <t>Column1602</t>
  </si>
  <si>
    <t>Column1603</t>
  </si>
  <si>
    <t xml:space="preserve">http://www.google.com </t>
  </si>
  <si>
    <t>http://www.yahoo.com</t>
  </si>
  <si>
    <t>EuropassCredential.display</t>
  </si>
  <si>
    <t>layout</t>
  </si>
  <si>
    <t>background</t>
  </si>
  <si>
    <t>https://image.shutterstock.com/image-vector/university-logo-template-260nw-1331386988.jpg</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</si>
</sst>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i/>
      <sz val="11"/>
      <color theme="1"/>
      <name val="Calibri"/>
      <family val="2"/>
      <scheme val="minor"/>
    </font>
    <font>
      <sz val="8"/>
      <color theme="1"/>
      <name val="Calibri"/>
      <family val="2"/>
      <scheme val="minor"/>
    </font>
    <font>
      <i/>
      <sz val="18"/>
      <color theme="1"/>
      <name val="Calibri"/>
      <family val="2"/>
      <scheme val="minor"/>
    </font>
    <font>
      <sz val="11"/>
      <color theme="1"/>
      <name val="Calibri"/>
      <family val="2"/>
    </font>
    <font>
      <b/>
      <sz val="11"/>
      <name val="Calibri"/>
      <family val="2"/>
      <scheme val="minor"/>
    </font>
    <font>
      <b/>
      <sz val="11"/>
      <color rgb="FFFF000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sz val="11"/>
      <color theme="1"/>
      <name val="Calibri"/>
      <family val="2"/>
      <scheme val="minor"/>
    </font>
    <font>
      <b/>
      <i/>
      <sz val="11"/>
      <color theme="1"/>
      <name val="Calibri"/>
      <family val="2"/>
      <scheme val="minor"/>
    </font>
    <font>
      <sz val="11"/>
      <color rgb="FFFFFFFF"/>
      <name val="Calibri"/>
      <family val="2"/>
      <scheme val="minor"/>
    </font>
    <font>
      <sz val="14"/>
      <color theme="1"/>
      <name val="Calibri"/>
      <family val="2"/>
      <scheme val="minor"/>
    </font>
    <font>
      <sz val="11"/>
      <color rgb="FF9C0006"/>
      <name val="Calibri"/>
      <family val="2"/>
      <scheme val="minor"/>
    </font>
    <font>
      <sz val="11"/>
      <color rgb="FF3F3F76"/>
      <name val="Calibri"/>
      <family val="2"/>
      <scheme val="minor"/>
    </font>
    <font>
      <b/>
      <sz val="11"/>
      <color theme="0"/>
      <name val="Calibri"/>
      <family val="2"/>
      <scheme val="minor"/>
    </font>
    <font>
      <b/>
      <sz val="11"/>
      <color rgb="FFFA7D00"/>
      <name val="Calibri"/>
      <family val="2"/>
      <scheme val="minor"/>
    </font>
    <font>
      <b/>
      <sz val="18"/>
      <color rgb="FFFA7D00"/>
      <name val="Calibri"/>
      <family val="2"/>
      <scheme val="minor"/>
    </font>
  </fonts>
  <fills count="15">
    <fill>
      <patternFill patternType="none"/>
    </fill>
    <fill>
      <patternFill patternType="gray125"/>
    </fill>
    <fill>
      <patternFill patternType="lightDown"/>
    </fill>
    <fill>
      <patternFill patternType="solid">
        <fgColor indexed="65"/>
        <bgColor indexed="64"/>
      </patternFill>
    </fill>
    <fill>
      <patternFill patternType="solid">
        <fgColor theme="9" tint="0.39997558519241921"/>
        <bgColor indexed="64"/>
      </patternFill>
    </fill>
    <fill>
      <patternFill patternType="lightDown">
        <bgColor theme="9" tint="0.39997558519241921"/>
      </patternFill>
    </fill>
    <fill>
      <patternFill patternType="solid">
        <fgColor theme="7" tint="0.79998168889431442"/>
        <bgColor indexed="64"/>
      </patternFill>
    </fill>
    <fill>
      <patternFill patternType="solid">
        <fgColor theme="0" tint="-0.249977111117893"/>
        <bgColor indexed="64"/>
      </patternFill>
    </fill>
    <fill>
      <patternFill patternType="solid">
        <fgColor rgb="FF548235"/>
        <bgColor indexed="64"/>
      </patternFill>
    </fill>
    <fill>
      <patternFill patternType="darkDown">
        <bgColor theme="7" tint="0.79995117038483843"/>
      </patternFill>
    </fill>
    <fill>
      <patternFill patternType="solid">
        <fgColor rgb="FFFFC7CE"/>
      </patternFill>
    </fill>
    <fill>
      <patternFill patternType="solid">
        <fgColor rgb="FFFFCC99"/>
      </patternFill>
    </fill>
    <fill>
      <patternFill patternType="solid">
        <fgColor theme="4"/>
        <bgColor theme="4"/>
      </patternFill>
    </fill>
    <fill>
      <patternFill patternType="solid">
        <fgColor theme="0"/>
        <bgColor indexed="64"/>
      </patternFill>
    </fill>
    <fill>
      <patternFill patternType="solid">
        <fgColor rgb="FFF2F2F2"/>
      </patternFill>
    </fill>
  </fills>
  <borders count="33">
    <border>
      <left/>
      <right/>
      <top/>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thin">
        <color rgb="FF7F7F7F"/>
      </left>
      <right style="thin">
        <color rgb="FF7F7F7F"/>
      </right>
      <top style="thin">
        <color rgb="FF7F7F7F"/>
      </top>
      <bottom style="thin">
        <color rgb="FF7F7F7F"/>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rgb="FF7F7F7F"/>
      </left>
      <right/>
      <top style="thin">
        <color rgb="FF7F7F7F"/>
      </top>
      <bottom style="thin">
        <color rgb="FF7F7F7F"/>
      </bottom>
      <diagonal/>
    </border>
    <border>
      <left style="thin">
        <color theme="0" tint="-0.34998626667073579"/>
      </left>
      <right style="thin">
        <color theme="0" tint="-0.34998626667073579"/>
      </right>
      <top/>
      <bottom/>
      <diagonal/>
    </border>
  </borders>
  <cellStyleXfs count="6">
    <xf numFmtId="0" fontId="0" fillId="0" borderId="0"/>
    <xf numFmtId="0" fontId="11" fillId="0" borderId="0" applyNumberFormat="0" applyFill="0" applyBorder="0" applyAlignment="0" applyProtection="0"/>
    <xf numFmtId="14" fontId="12" fillId="0" borderId="0" applyNumberFormat="0" applyProtection="0">
      <alignment vertical="top" wrapText="1"/>
    </xf>
    <xf numFmtId="0" fontId="16" fillId="10" borderId="0" applyNumberFormat="0" applyBorder="0" applyAlignment="0" applyProtection="0"/>
    <xf numFmtId="0" fontId="17" fillId="11" borderId="18" applyNumberFormat="0" applyAlignment="0" applyProtection="0"/>
    <xf numFmtId="0" fontId="19" fillId="14" borderId="18" applyNumberFormat="0" applyAlignment="0" applyProtection="0"/>
  </cellStyleXfs>
  <cellXfs count="159">
    <xf numFmtId="0" fontId="0" fillId="0" borderId="0" xfId="0"/>
    <xf numFmtId="0" fontId="0" fillId="0" borderId="0" xfId="0" applyAlignment="1">
      <alignment vertical="top"/>
    </xf>
    <xf numFmtId="0" fontId="1" fillId="0" borderId="1" xfId="0" applyFont="1" applyBorder="1" applyAlignment="1">
      <alignment vertical="top"/>
    </xf>
    <xf numFmtId="0" fontId="1" fillId="0" borderId="0" xfId="0" applyFont="1" applyAlignment="1">
      <alignment vertical="top"/>
    </xf>
    <xf numFmtId="0" fontId="0" fillId="0" borderId="0" xfId="0" applyBorder="1" applyAlignment="1">
      <alignment vertical="top"/>
    </xf>
    <xf numFmtId="0" fontId="2" fillId="0" borderId="3" xfId="0" applyFont="1" applyBorder="1" applyAlignment="1">
      <alignment vertical="top" wrapText="1"/>
    </xf>
    <xf numFmtId="0" fontId="2" fillId="0" borderId="3" xfId="0" applyFont="1" applyBorder="1" applyAlignment="1">
      <alignment vertical="top"/>
    </xf>
    <xf numFmtId="0" fontId="1" fillId="0" borderId="0" xfId="0" applyFont="1" applyBorder="1" applyAlignment="1">
      <alignment vertical="top"/>
    </xf>
    <xf numFmtId="14" fontId="0" fillId="0" borderId="0" xfId="0" applyNumberFormat="1" applyBorder="1" applyAlignment="1">
      <alignment vertical="top"/>
    </xf>
    <xf numFmtId="0" fontId="1" fillId="0" borderId="0" xfId="0" applyFont="1"/>
    <xf numFmtId="14" fontId="0" fillId="0" borderId="0" xfId="0" applyNumberFormat="1"/>
    <xf numFmtId="0" fontId="0" fillId="0" borderId="4" xfId="0" applyBorder="1" applyAlignment="1">
      <alignment horizontal="left" vertical="center" wrapText="1"/>
    </xf>
    <xf numFmtId="0" fontId="0" fillId="0" borderId="0" xfId="0" applyFont="1" applyBorder="1" applyAlignment="1">
      <alignment vertical="top"/>
    </xf>
    <xf numFmtId="0" fontId="1" fillId="0" borderId="4" xfId="0" applyFont="1" applyBorder="1" applyAlignment="1">
      <alignment horizontal="left" vertical="center"/>
    </xf>
    <xf numFmtId="0" fontId="6" fillId="0" borderId="4" xfId="0" applyFont="1" applyBorder="1" applyAlignment="1">
      <alignment horizontal="left" vertical="center" wrapText="1"/>
    </xf>
    <xf numFmtId="0" fontId="6" fillId="0" borderId="4" xfId="0" applyFont="1" applyBorder="1" applyAlignment="1">
      <alignment vertical="center" wrapText="1"/>
    </xf>
    <xf numFmtId="0" fontId="1" fillId="0" borderId="4" xfId="0" applyFont="1" applyBorder="1" applyAlignment="1">
      <alignment horizontal="left" vertical="center" wrapText="1"/>
    </xf>
    <xf numFmtId="0" fontId="6" fillId="0" borderId="0" xfId="0" applyFont="1" applyFill="1" applyBorder="1" applyAlignment="1">
      <alignment horizontal="left" vertical="center" wrapText="1"/>
    </xf>
    <xf numFmtId="14" fontId="0" fillId="0" borderId="0" xfId="0" applyNumberFormat="1" applyFill="1" applyBorder="1" applyAlignment="1">
      <alignment vertical="top"/>
    </xf>
    <xf numFmtId="0" fontId="2" fillId="0" borderId="0" xfId="0" applyFont="1" applyBorder="1" applyAlignment="1">
      <alignment vertical="top" wrapText="1"/>
    </xf>
    <xf numFmtId="0" fontId="1" fillId="2" borderId="4" xfId="0" applyFont="1" applyFill="1" applyBorder="1" applyAlignment="1">
      <alignment horizontal="left" vertical="center"/>
    </xf>
    <xf numFmtId="0" fontId="1" fillId="2" borderId="4" xfId="0" applyFont="1" applyFill="1" applyBorder="1" applyAlignment="1">
      <alignment vertical="center" wrapText="1"/>
    </xf>
    <xf numFmtId="0" fontId="1" fillId="2" borderId="4" xfId="0" applyFont="1" applyFill="1" applyBorder="1" applyAlignment="1">
      <alignment horizontal="left" vertical="center" wrapText="1"/>
    </xf>
    <xf numFmtId="0" fontId="1" fillId="2" borderId="0" xfId="0" applyFont="1" applyFill="1" applyAlignment="1">
      <alignment vertical="top"/>
    </xf>
    <xf numFmtId="14" fontId="0" fillId="2" borderId="0" xfId="0" applyNumberFormat="1" applyFill="1" applyBorder="1" applyAlignment="1">
      <alignment vertical="top"/>
    </xf>
    <xf numFmtId="0" fontId="7" fillId="3" borderId="0" xfId="0" applyFont="1" applyFill="1" applyAlignment="1">
      <alignment vertical="top"/>
    </xf>
    <xf numFmtId="0" fontId="1" fillId="4" borderId="1" xfId="0" applyFont="1" applyFill="1" applyBorder="1" applyAlignment="1">
      <alignment vertical="top"/>
    </xf>
    <xf numFmtId="0" fontId="0" fillId="4" borderId="1" xfId="0" applyFill="1" applyBorder="1" applyAlignment="1">
      <alignment vertical="top"/>
    </xf>
    <xf numFmtId="0" fontId="1" fillId="4" borderId="0" xfId="0" applyFont="1" applyFill="1" applyAlignment="1">
      <alignment vertical="top"/>
    </xf>
    <xf numFmtId="0" fontId="3" fillId="4" borderId="0" xfId="0" applyFont="1" applyFill="1" applyAlignment="1">
      <alignment vertical="top" wrapText="1"/>
    </xf>
    <xf numFmtId="0" fontId="0" fillId="4" borderId="0" xfId="0" applyFill="1" applyAlignment="1">
      <alignment vertical="top"/>
    </xf>
    <xf numFmtId="0" fontId="1" fillId="4" borderId="2" xfId="0" applyFont="1" applyFill="1" applyBorder="1" applyAlignment="1">
      <alignment vertical="top"/>
    </xf>
    <xf numFmtId="0" fontId="3" fillId="4" borderId="2" xfId="0" applyFont="1" applyFill="1" applyBorder="1" applyAlignment="1">
      <alignment vertical="top" wrapText="1"/>
    </xf>
    <xf numFmtId="0" fontId="0" fillId="4" borderId="2" xfId="0" applyFill="1" applyBorder="1" applyAlignment="1">
      <alignment vertical="top"/>
    </xf>
    <xf numFmtId="0" fontId="1" fillId="5" borderId="1" xfId="0" applyFont="1" applyFill="1" applyBorder="1" applyAlignment="1">
      <alignment horizontal="left" vertical="top" wrapText="1"/>
    </xf>
    <xf numFmtId="0" fontId="0" fillId="4" borderId="0" xfId="0" applyFill="1" applyBorder="1" applyAlignment="1">
      <alignment vertical="top"/>
    </xf>
    <xf numFmtId="0" fontId="0" fillId="4" borderId="0" xfId="0" applyFill="1"/>
    <xf numFmtId="0" fontId="3" fillId="5" borderId="0" xfId="0" applyFont="1" applyFill="1" applyAlignment="1">
      <alignment vertical="top" wrapText="1"/>
    </xf>
    <xf numFmtId="0" fontId="3" fillId="5" borderId="2" xfId="0" applyFont="1" applyFill="1" applyBorder="1" applyAlignment="1">
      <alignment vertical="top" wrapText="1"/>
    </xf>
    <xf numFmtId="0" fontId="1" fillId="0" borderId="5" xfId="0" applyFont="1" applyBorder="1" applyAlignment="1">
      <alignment vertical="top"/>
    </xf>
    <xf numFmtId="0" fontId="1" fillId="0" borderId="6" xfId="0" applyFont="1" applyBorder="1" applyAlignment="1">
      <alignment vertical="top"/>
    </xf>
    <xf numFmtId="0" fontId="1" fillId="4" borderId="7" xfId="0" applyFont="1" applyFill="1" applyBorder="1" applyAlignment="1">
      <alignment horizontal="left" vertical="top" wrapText="1"/>
    </xf>
    <xf numFmtId="0" fontId="3" fillId="4" borderId="6" xfId="0" applyFont="1" applyFill="1" applyBorder="1" applyAlignment="1">
      <alignment vertical="top" wrapText="1"/>
    </xf>
    <xf numFmtId="0" fontId="3" fillId="4" borderId="8" xfId="0" applyFont="1" applyFill="1" applyBorder="1" applyAlignment="1">
      <alignment vertical="top" wrapText="1"/>
    </xf>
    <xf numFmtId="0" fontId="1" fillId="0" borderId="9" xfId="0" applyFont="1" applyBorder="1" applyAlignment="1">
      <alignment vertical="top"/>
    </xf>
    <xf numFmtId="0" fontId="1" fillId="0" borderId="10" xfId="0" applyFont="1" applyBorder="1" applyAlignment="1">
      <alignment vertical="top"/>
    </xf>
    <xf numFmtId="0" fontId="1" fillId="0" borderId="11" xfId="0" applyFont="1" applyBorder="1" applyAlignment="1">
      <alignment vertical="top"/>
    </xf>
    <xf numFmtId="0" fontId="1" fillId="0" borderId="12" xfId="0" applyFont="1" applyBorder="1" applyAlignment="1">
      <alignment vertical="top"/>
    </xf>
    <xf numFmtId="0" fontId="1" fillId="4" borderId="13" xfId="0" applyFont="1" applyFill="1" applyBorder="1" applyAlignment="1">
      <alignment horizontal="left" vertical="top" wrapText="1"/>
    </xf>
    <xf numFmtId="0" fontId="1" fillId="4" borderId="14" xfId="0" applyFont="1" applyFill="1" applyBorder="1" applyAlignment="1">
      <alignment horizontal="left" vertical="top" wrapText="1"/>
    </xf>
    <xf numFmtId="0" fontId="3" fillId="4" borderId="11" xfId="0" applyFont="1" applyFill="1" applyBorder="1" applyAlignment="1">
      <alignment vertical="top" wrapText="1"/>
    </xf>
    <xf numFmtId="0" fontId="3" fillId="4" borderId="12" xfId="0" applyFont="1" applyFill="1" applyBorder="1" applyAlignment="1">
      <alignment vertical="top" wrapText="1"/>
    </xf>
    <xf numFmtId="0" fontId="3" fillId="4" borderId="15" xfId="0" applyFont="1" applyFill="1" applyBorder="1" applyAlignment="1">
      <alignment vertical="top" wrapText="1"/>
    </xf>
    <xf numFmtId="0" fontId="3" fillId="4" borderId="16" xfId="0" applyFont="1" applyFill="1" applyBorder="1" applyAlignment="1">
      <alignment vertical="top" wrapText="1"/>
    </xf>
    <xf numFmtId="0" fontId="1" fillId="0" borderId="17" xfId="0" applyFont="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0" fillId="4" borderId="15" xfId="0" applyFill="1" applyBorder="1" applyAlignment="1">
      <alignment vertical="top"/>
    </xf>
    <xf numFmtId="0" fontId="0" fillId="4" borderId="16" xfId="0" applyFill="1" applyBorder="1" applyAlignment="1">
      <alignment vertical="top"/>
    </xf>
    <xf numFmtId="0" fontId="0" fillId="0" borderId="11" xfId="0" applyBorder="1"/>
    <xf numFmtId="0" fontId="0" fillId="0" borderId="0" xfId="0" applyBorder="1"/>
    <xf numFmtId="0" fontId="0" fillId="0" borderId="12" xfId="0" applyBorder="1"/>
    <xf numFmtId="0" fontId="1" fillId="4" borderId="13" xfId="0" applyFont="1" applyFill="1" applyBorder="1" applyAlignment="1">
      <alignment vertical="top"/>
    </xf>
    <xf numFmtId="0" fontId="1" fillId="4" borderId="14" xfId="0" applyFont="1" applyFill="1" applyBorder="1" applyAlignment="1">
      <alignment vertical="top"/>
    </xf>
    <xf numFmtId="0" fontId="1" fillId="4" borderId="11" xfId="0" applyFont="1" applyFill="1" applyBorder="1" applyAlignment="1">
      <alignment vertical="top"/>
    </xf>
    <xf numFmtId="0" fontId="1" fillId="4" borderId="0" xfId="0" applyFont="1" applyFill="1" applyBorder="1" applyAlignment="1">
      <alignment vertical="top"/>
    </xf>
    <xf numFmtId="0" fontId="1" fillId="4" borderId="12" xfId="0" applyFont="1" applyFill="1" applyBorder="1" applyAlignment="1">
      <alignment vertical="top"/>
    </xf>
    <xf numFmtId="0" fontId="1" fillId="4" borderId="15" xfId="0" applyFont="1" applyFill="1" applyBorder="1" applyAlignment="1">
      <alignment vertical="top"/>
    </xf>
    <xf numFmtId="0" fontId="1" fillId="4" borderId="16" xfId="0" applyFont="1" applyFill="1" applyBorder="1" applyAlignment="1">
      <alignment vertical="top"/>
    </xf>
    <xf numFmtId="0" fontId="0" fillId="2" borderId="0" xfId="0" applyFill="1"/>
    <xf numFmtId="0" fontId="1" fillId="2" borderId="6" xfId="0" applyFont="1" applyFill="1" applyBorder="1" applyAlignment="1">
      <alignment vertical="top"/>
    </xf>
    <xf numFmtId="0" fontId="1" fillId="2" borderId="11" xfId="0" applyFont="1" applyFill="1" applyBorder="1" applyAlignment="1">
      <alignment vertical="top"/>
    </xf>
    <xf numFmtId="0" fontId="1" fillId="2" borderId="12" xfId="0" applyFont="1" applyFill="1" applyBorder="1" applyAlignment="1">
      <alignment vertical="top"/>
    </xf>
    <xf numFmtId="0" fontId="0" fillId="2" borderId="11" xfId="0" applyFill="1" applyBorder="1"/>
    <xf numFmtId="0" fontId="0" fillId="2" borderId="0" xfId="0" applyFill="1" applyBorder="1"/>
    <xf numFmtId="0" fontId="0" fillId="2" borderId="12" xfId="0" applyFill="1" applyBorder="1"/>
    <xf numFmtId="0" fontId="1" fillId="2" borderId="0" xfId="0" applyFont="1" applyFill="1" applyBorder="1" applyAlignment="1">
      <alignment vertical="top"/>
    </xf>
    <xf numFmtId="0" fontId="7" fillId="3" borderId="0" xfId="0" applyFont="1" applyFill="1" applyAlignment="1">
      <alignment vertical="top" wrapText="1"/>
    </xf>
    <xf numFmtId="0" fontId="3" fillId="5" borderId="0" xfId="0" applyFont="1" applyFill="1" applyBorder="1" applyAlignment="1">
      <alignment vertical="top" wrapText="1"/>
    </xf>
    <xf numFmtId="0" fontId="3" fillId="4" borderId="0" xfId="0" applyFont="1" applyFill="1" applyBorder="1" applyAlignment="1">
      <alignment vertical="top" wrapText="1"/>
    </xf>
    <xf numFmtId="14" fontId="0" fillId="2" borderId="0" xfId="0" applyNumberFormat="1" applyFill="1" applyAlignment="1">
      <alignment vertical="top"/>
    </xf>
    <xf numFmtId="14" fontId="0" fillId="0" borderId="0" xfId="0" applyNumberFormat="1" applyAlignment="1">
      <alignment vertical="top"/>
    </xf>
    <xf numFmtId="0" fontId="0" fillId="0" borderId="0" xfId="0" applyFont="1"/>
    <xf numFmtId="0" fontId="0" fillId="0" borderId="0" xfId="0" applyFont="1" applyAlignment="1">
      <alignment vertical="top"/>
    </xf>
    <xf numFmtId="0" fontId="13" fillId="0" borderId="0" xfId="0" applyFont="1"/>
    <xf numFmtId="0" fontId="0" fillId="0" borderId="0" xfId="0" applyAlignment="1">
      <alignment wrapText="1"/>
    </xf>
    <xf numFmtId="0" fontId="14" fillId="8" borderId="0" xfId="0" applyFont="1" applyFill="1"/>
    <xf numFmtId="0" fontId="14" fillId="8" borderId="0" xfId="0" applyFont="1" applyFill="1" applyAlignment="1">
      <alignment wrapText="1"/>
    </xf>
    <xf numFmtId="14" fontId="0" fillId="0" borderId="0" xfId="0" applyNumberFormat="1" applyFill="1" applyAlignment="1">
      <alignment vertical="top"/>
    </xf>
    <xf numFmtId="0" fontId="0" fillId="0" borderId="0" xfId="0" applyAlignment="1">
      <alignment horizontal="left" vertical="top"/>
    </xf>
    <xf numFmtId="0" fontId="11" fillId="0" borderId="0" xfId="1"/>
    <xf numFmtId="0" fontId="0" fillId="6" borderId="0" xfId="0" applyFill="1" applyBorder="1" applyAlignment="1" applyProtection="1">
      <alignment vertical="top" wrapText="1"/>
      <protection locked="0"/>
    </xf>
    <xf numFmtId="0" fontId="0" fillId="6" borderId="0" xfId="0" applyNumberFormat="1" applyFill="1" applyBorder="1" applyAlignment="1" applyProtection="1">
      <alignment vertical="top" wrapText="1"/>
      <protection locked="0"/>
    </xf>
    <xf numFmtId="14" fontId="0" fillId="6" borderId="0" xfId="0" applyNumberFormat="1" applyFont="1" applyFill="1" applyBorder="1" applyAlignment="1" applyProtection="1">
      <alignment vertical="top" wrapText="1"/>
      <protection locked="0"/>
    </xf>
    <xf numFmtId="0" fontId="2" fillId="0" borderId="3" xfId="0" applyFont="1" applyBorder="1" applyAlignment="1" applyProtection="1">
      <alignment vertical="top"/>
    </xf>
    <xf numFmtId="0" fontId="2" fillId="0" borderId="3" xfId="0" applyFont="1" applyBorder="1" applyAlignment="1" applyProtection="1">
      <alignment vertical="top" wrapText="1"/>
    </xf>
    <xf numFmtId="0" fontId="0" fillId="0" borderId="3" xfId="0" applyBorder="1" applyAlignment="1" applyProtection="1">
      <alignment vertical="top" wrapText="1"/>
    </xf>
    <xf numFmtId="0" fontId="0" fillId="0" borderId="3" xfId="0" applyNumberFormat="1" applyBorder="1" applyAlignment="1" applyProtection="1">
      <alignment vertical="top" wrapText="1"/>
    </xf>
    <xf numFmtId="0" fontId="2" fillId="0" borderId="3" xfId="0" applyNumberFormat="1" applyFont="1" applyBorder="1" applyAlignment="1" applyProtection="1">
      <alignment vertical="top" wrapText="1"/>
    </xf>
    <xf numFmtId="0" fontId="2" fillId="0" borderId="0" xfId="0" applyNumberFormat="1" applyFont="1" applyBorder="1" applyAlignment="1" applyProtection="1">
      <alignment vertical="top" wrapText="1"/>
    </xf>
    <xf numFmtId="0" fontId="0" fillId="0" borderId="0" xfId="0" applyAlignment="1" applyProtection="1">
      <alignment vertical="top" wrapText="1"/>
    </xf>
    <xf numFmtId="0" fontId="1" fillId="0" borderId="0" xfId="0" applyFont="1" applyAlignment="1" applyProtection="1">
      <alignment vertical="top" wrapText="1"/>
    </xf>
    <xf numFmtId="0" fontId="1" fillId="0" borderId="0" xfId="0" applyNumberFormat="1" applyFont="1" applyAlignment="1" applyProtection="1">
      <alignment vertical="top" wrapText="1"/>
    </xf>
    <xf numFmtId="0" fontId="1" fillId="0" borderId="1" xfId="0" applyFont="1" applyBorder="1" applyAlignment="1" applyProtection="1">
      <alignment vertical="top" wrapText="1"/>
    </xf>
    <xf numFmtId="0" fontId="0" fillId="0" borderId="1" xfId="0" applyBorder="1" applyAlignment="1" applyProtection="1">
      <alignment vertical="top" wrapText="1"/>
    </xf>
    <xf numFmtId="0" fontId="1" fillId="4" borderId="1" xfId="0" applyFont="1" applyFill="1" applyBorder="1" applyAlignment="1" applyProtection="1">
      <alignment vertical="top" wrapText="1"/>
    </xf>
    <xf numFmtId="0" fontId="1" fillId="4" borderId="1" xfId="0" applyNumberFormat="1" applyFont="1" applyFill="1" applyBorder="1" applyAlignment="1" applyProtection="1">
      <alignment horizontal="left" vertical="top" wrapText="1"/>
    </xf>
    <xf numFmtId="0" fontId="1" fillId="4" borderId="0" xfId="0" applyFont="1" applyFill="1" applyAlignment="1" applyProtection="1">
      <alignment vertical="top" wrapText="1"/>
    </xf>
    <xf numFmtId="0" fontId="0" fillId="4" borderId="0" xfId="0" applyFill="1" applyAlignment="1" applyProtection="1">
      <alignment vertical="top" wrapText="1"/>
    </xf>
    <xf numFmtId="0" fontId="3" fillId="4" borderId="0" xfId="0" applyNumberFormat="1" applyFont="1" applyFill="1" applyAlignment="1" applyProtection="1">
      <alignment vertical="top" wrapText="1"/>
    </xf>
    <xf numFmtId="0" fontId="1" fillId="4" borderId="2" xfId="0" applyFont="1" applyFill="1" applyBorder="1" applyAlignment="1" applyProtection="1">
      <alignment vertical="top" wrapText="1"/>
    </xf>
    <xf numFmtId="0" fontId="0" fillId="4" borderId="2" xfId="0" applyFill="1" applyBorder="1" applyAlignment="1" applyProtection="1">
      <alignment vertical="top" wrapText="1"/>
    </xf>
    <xf numFmtId="0" fontId="3" fillId="4" borderId="2" xfId="0" applyNumberFormat="1" applyFont="1" applyFill="1" applyBorder="1" applyAlignment="1" applyProtection="1">
      <alignment vertical="top" wrapText="1"/>
    </xf>
    <xf numFmtId="0" fontId="1" fillId="6" borderId="0" xfId="0" applyFont="1" applyFill="1" applyBorder="1" applyAlignment="1" applyProtection="1">
      <alignment vertical="top" wrapText="1"/>
    </xf>
    <xf numFmtId="0" fontId="0" fillId="6" borderId="0" xfId="0" applyFill="1" applyBorder="1" applyAlignment="1" applyProtection="1">
      <alignment vertical="top" wrapText="1"/>
    </xf>
    <xf numFmtId="14" fontId="0" fillId="6" borderId="0" xfId="0" applyNumberFormat="1" applyFill="1" applyBorder="1" applyAlignment="1" applyProtection="1">
      <alignment vertical="top" wrapText="1"/>
    </xf>
    <xf numFmtId="0" fontId="0" fillId="9" borderId="0" xfId="0" applyFill="1" applyBorder="1" applyAlignment="1" applyProtection="1">
      <alignment vertical="top" wrapText="1"/>
    </xf>
    <xf numFmtId="14" fontId="0" fillId="0" borderId="0" xfId="0" applyNumberFormat="1" applyAlignment="1" applyProtection="1">
      <alignment vertical="top" wrapText="1"/>
    </xf>
    <xf numFmtId="0" fontId="0" fillId="7" borderId="0" xfId="0" applyFill="1" applyAlignment="1" applyProtection="1">
      <alignment vertical="top" wrapText="1"/>
    </xf>
    <xf numFmtId="14" fontId="0" fillId="7" borderId="0" xfId="0" applyNumberFormat="1" applyFill="1" applyAlignment="1" applyProtection="1">
      <alignment vertical="top" wrapText="1"/>
    </xf>
    <xf numFmtId="0" fontId="11" fillId="7" borderId="0" xfId="1" applyFill="1" applyAlignment="1" applyProtection="1">
      <alignment vertical="top" wrapText="1"/>
    </xf>
    <xf numFmtId="0" fontId="12" fillId="0" borderId="0" xfId="2" applyNumberFormat="1" applyProtection="1">
      <alignment vertical="top" wrapText="1"/>
      <protection locked="0"/>
    </xf>
    <xf numFmtId="0" fontId="15" fillId="6" borderId="0" xfId="0" applyFont="1" applyFill="1"/>
    <xf numFmtId="0" fontId="0" fillId="6" borderId="0" xfId="0" applyFill="1"/>
    <xf numFmtId="0" fontId="15" fillId="6" borderId="0" xfId="0" applyFont="1" applyFill="1" applyAlignment="1">
      <alignment vertical="center"/>
    </xf>
    <xf numFmtId="0" fontId="0" fillId="6" borderId="0" xfId="0" applyFill="1" applyAlignment="1">
      <alignment vertical="center"/>
    </xf>
    <xf numFmtId="0" fontId="2" fillId="0" borderId="0" xfId="0" applyFont="1" applyBorder="1" applyAlignment="1" applyProtection="1">
      <alignment vertical="top" wrapText="1"/>
    </xf>
    <xf numFmtId="0" fontId="0" fillId="0" borderId="21" xfId="0" applyBorder="1" applyAlignment="1" applyProtection="1">
      <alignment vertical="top" wrapText="1"/>
    </xf>
    <xf numFmtId="0" fontId="0" fillId="0" borderId="0" xfId="0" applyBorder="1" applyAlignment="1" applyProtection="1">
      <alignment vertical="top" wrapText="1"/>
    </xf>
    <xf numFmtId="0" fontId="0" fillId="0" borderId="22" xfId="0" applyBorder="1" applyAlignment="1" applyProtection="1">
      <alignment vertical="top" wrapText="1"/>
    </xf>
    <xf numFmtId="0" fontId="1" fillId="0" borderId="21" xfId="0" applyFont="1" applyBorder="1" applyAlignment="1" applyProtection="1">
      <alignment vertical="top" wrapText="1"/>
    </xf>
    <xf numFmtId="0" fontId="1" fillId="0" borderId="22" xfId="0" applyFont="1" applyBorder="1" applyAlignment="1" applyProtection="1">
      <alignment vertical="top" wrapText="1"/>
    </xf>
    <xf numFmtId="0" fontId="16" fillId="10" borderId="0" xfId="3" applyAlignment="1" applyProtection="1">
      <alignment vertical="top" wrapText="1"/>
    </xf>
    <xf numFmtId="0" fontId="17" fillId="11" borderId="18" xfId="4" applyAlignment="1" applyProtection="1">
      <alignment vertical="top" wrapText="1"/>
    </xf>
    <xf numFmtId="0" fontId="1" fillId="4" borderId="23" xfId="0" applyFont="1" applyFill="1" applyBorder="1" applyAlignment="1" applyProtection="1">
      <alignment vertical="top" wrapText="1"/>
    </xf>
    <xf numFmtId="0" fontId="1" fillId="4" borderId="24" xfId="0" applyFont="1" applyFill="1" applyBorder="1" applyAlignment="1" applyProtection="1">
      <alignment vertical="top" wrapText="1"/>
    </xf>
    <xf numFmtId="0" fontId="0" fillId="4" borderId="21" xfId="0" applyFill="1" applyBorder="1" applyAlignment="1" applyProtection="1">
      <alignment vertical="top" wrapText="1"/>
    </xf>
    <xf numFmtId="0" fontId="0" fillId="4" borderId="22" xfId="0" applyFill="1" applyBorder="1" applyAlignment="1" applyProtection="1">
      <alignment vertical="top" wrapText="1"/>
    </xf>
    <xf numFmtId="0" fontId="0" fillId="4" borderId="0" xfId="0" applyFill="1" applyBorder="1" applyAlignment="1" applyProtection="1">
      <alignment vertical="top" wrapText="1"/>
    </xf>
    <xf numFmtId="0" fontId="0" fillId="4" borderId="25" xfId="0" applyFill="1" applyBorder="1" applyAlignment="1" applyProtection="1">
      <alignment vertical="top" wrapText="1"/>
    </xf>
    <xf numFmtId="0" fontId="0" fillId="4" borderId="26" xfId="0" applyFill="1" applyBorder="1" applyAlignment="1" applyProtection="1">
      <alignment vertical="top" wrapText="1"/>
    </xf>
    <xf numFmtId="0" fontId="18" fillId="12" borderId="27" xfId="0" applyFont="1" applyFill="1" applyBorder="1" applyAlignment="1" applyProtection="1">
      <alignment vertical="top" wrapText="1"/>
    </xf>
    <xf numFmtId="0" fontId="18" fillId="12" borderId="28" xfId="0" applyFont="1" applyFill="1" applyBorder="1" applyAlignment="1" applyProtection="1">
      <alignment vertical="top" wrapText="1"/>
    </xf>
    <xf numFmtId="0" fontId="18" fillId="12" borderId="29" xfId="0" applyFont="1" applyFill="1" applyBorder="1" applyAlignment="1" applyProtection="1">
      <alignment vertical="top" wrapText="1"/>
    </xf>
    <xf numFmtId="0" fontId="0" fillId="13" borderId="0" xfId="0" applyFill="1" applyAlignment="1" applyProtection="1">
      <alignment vertical="top" wrapText="1"/>
    </xf>
    <xf numFmtId="0" fontId="0" fillId="0" borderId="0" xfId="0" applyAlignment="1"/>
    <xf numFmtId="0" fontId="0" fillId="13" borderId="19" xfId="0" applyNumberFormat="1" applyFont="1" applyFill="1" applyBorder="1" applyAlignment="1" applyProtection="1">
      <alignment vertical="top" wrapText="1"/>
    </xf>
    <xf numFmtId="0" fontId="0" fillId="13" borderId="20" xfId="0" applyNumberFormat="1" applyFont="1" applyFill="1" applyBorder="1" applyAlignment="1" applyProtection="1">
      <alignment vertical="top" wrapText="1"/>
    </xf>
    <xf numFmtId="0" fontId="0" fillId="13" borderId="22" xfId="0" applyFill="1" applyBorder="1" applyAlignment="1" applyProtection="1">
      <alignment vertical="top" wrapText="1"/>
    </xf>
    <xf numFmtId="0" fontId="0" fillId="13" borderId="0" xfId="0" applyFill="1" applyBorder="1" applyAlignment="1" applyProtection="1">
      <alignment vertical="top" wrapText="1"/>
    </xf>
    <xf numFmtId="0" fontId="1" fillId="0" borderId="0" xfId="0" applyFont="1" applyBorder="1" applyAlignment="1" applyProtection="1">
      <alignment vertical="top" wrapText="1"/>
    </xf>
    <xf numFmtId="0" fontId="11" fillId="0" borderId="0" xfId="1" applyAlignment="1" applyProtection="1">
      <alignment vertical="top" wrapText="1"/>
    </xf>
    <xf numFmtId="0" fontId="20" fillId="14" borderId="18" xfId="5" applyFont="1"/>
    <xf numFmtId="0" fontId="20" fillId="14" borderId="31" xfId="5" applyFont="1" applyBorder="1"/>
    <xf numFmtId="0" fontId="1" fillId="0" borderId="30" xfId="0" applyFont="1" applyBorder="1" applyAlignment="1">
      <alignment wrapText="1"/>
    </xf>
    <xf numFmtId="0" fontId="11" fillId="13" borderId="0" xfId="1" applyFill="1" applyAlignment="1" applyProtection="1">
      <alignment vertical="top" wrapText="1"/>
    </xf>
    <xf numFmtId="0" fontId="6" fillId="0" borderId="32" xfId="0" applyFont="1" applyFill="1" applyBorder="1" applyAlignment="1">
      <alignment horizontal="left" vertical="center" wrapText="1"/>
    </xf>
    <xf numFmtId="14" fontId="11" fillId="0" borderId="0" xfId="1" applyNumberFormat="1" applyFill="1" applyBorder="1" applyAlignment="1">
      <alignment vertical="top"/>
    </xf>
    <xf numFmtId="0" fontId="16" fillId="10" borderId="4" xfId="3" applyBorder="1" applyAlignment="1">
      <alignment horizontal="left" vertical="center" wrapText="1"/>
    </xf>
  </cellXfs>
  <cellStyles count="6">
    <cellStyle name="Cálculo" xfId="5" builtinId="22"/>
    <cellStyle name="Data Entry" xfId="2"/>
    <cellStyle name="Entrada" xfId="4" builtinId="20"/>
    <cellStyle name="Hipervínculo" xfId="1" builtinId="8"/>
    <cellStyle name="Incorrecto" xfId="3" builtinId="27"/>
    <cellStyle name="Normal" xfId="0" builtinId="0"/>
  </cellStyles>
  <dxfs count="205">
    <dxf>
      <font>
        <b/>
        <i val="0"/>
        <strike val="0"/>
        <condense val="0"/>
        <extend val="0"/>
        <outline val="0"/>
        <shadow val="0"/>
        <u val="none"/>
        <vertAlign val="baseline"/>
        <sz val="11"/>
        <color theme="1"/>
        <name val="Calibri"/>
        <scheme val="minor"/>
      </font>
    </dxf>
    <dxf>
      <fill>
        <patternFill>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fgColor indexed="64"/>
          <bgColor theme="0"/>
        </patternFill>
      </fill>
      <alignment horizontal="general" vertical="top" textRotation="0" wrapText="1" indent="0" justifyLastLine="0" shrinkToFit="0" readingOrder="0"/>
      <protection locked="1" hidden="0"/>
    </dxf>
    <dxf>
      <fill>
        <patternFill>
          <fgColor indexed="64"/>
          <bgColor theme="0"/>
        </patternFill>
      </fill>
      <alignment horizontal="general" vertical="top" textRotation="0" wrapText="1" indent="0" justifyLastLine="0" shrinkToFit="0" readingOrder="0"/>
      <protection locked="1" hidden="0"/>
    </dxf>
    <dxf>
      <fill>
        <patternFill>
          <fgColor indexed="64"/>
          <bgColor theme="0"/>
        </patternFill>
      </fill>
      <alignment horizontal="general" vertical="top" textRotation="0" wrapText="1" indent="0" justifyLastLine="0" shrinkToFit="0" readingOrder="0"/>
      <protection locked="1" hidden="0"/>
    </dxf>
    <dxf>
      <fill>
        <patternFill>
          <fgColor indexed="64"/>
          <bgColor theme="0"/>
        </patternFill>
      </fill>
      <alignment horizontal="general" vertical="top" textRotation="0" wrapText="1" indent="0" justifyLastLine="0" shrinkToFit="0" readingOrder="0"/>
      <protection locked="1" hidden="0"/>
    </dxf>
    <dxf>
      <fill>
        <patternFill>
          <fgColor indexed="64"/>
          <bgColor theme="0"/>
        </patternFill>
      </fill>
      <alignment horizontal="general" vertical="top" textRotation="0" wrapText="1" indent="0" justifyLastLine="0" shrinkToFit="0" readingOrder="0"/>
      <protection locked="1" hidden="0"/>
    </dxf>
    <dxf>
      <fill>
        <patternFill>
          <fgColor indexed="64"/>
          <bgColor theme="0"/>
        </patternFill>
      </fill>
      <alignment horizontal="general" vertical="top" textRotation="0" wrapText="1" indent="0" justifyLastLine="0" shrinkToFit="0" readingOrder="0"/>
      <protection locked="1" hidden="0"/>
    </dxf>
    <dxf>
      <fill>
        <patternFill>
          <fgColor indexed="64"/>
          <bgColor theme="0"/>
        </patternFill>
      </fill>
      <alignment horizontal="general" vertical="top" textRotation="0" wrapText="1" indent="0" justifyLastLine="0" shrinkToFit="0" readingOrder="0"/>
      <protection locked="1" hidden="0"/>
    </dxf>
    <dxf>
      <fill>
        <patternFill>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border diagonalUp="0" diagonalDown="0" outline="0">
        <left/>
        <right style="thin">
          <color indexed="64"/>
        </right>
      </border>
      <protection locked="1" hidden="0"/>
    </dxf>
    <dxf>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bottom" textRotation="0" wrapText="0" indent="0" justifyLastLine="0" shrinkToFit="0" readingOrder="0"/>
      <protection locked="1" hidden="0"/>
    </dxf>
    <dxf>
      <fill>
        <patternFill patternType="solid">
          <fgColor indexed="64"/>
          <bgColor theme="0"/>
        </patternFill>
      </fill>
      <alignment horizontal="general" vertical="bottom" textRotation="0" wrapText="0" indent="0" justifyLastLine="0" shrinkToFit="0" readingOrder="0"/>
      <protection locked="1" hidden="0"/>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top/>
        <bottom/>
      </border>
      <protection locked="1" hidden="0"/>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border>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bottom" textRotation="0" wrapText="0"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bottom" textRotation="0" wrapText="0"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bottom" textRotation="0" wrapText="0" indent="0" justifyLastLine="0" shrinkToFit="0" readingOrder="0"/>
      <protection locked="1" hidden="0"/>
    </dxf>
    <dxf>
      <fill>
        <patternFill>
          <fgColor indexed="64"/>
          <bgColor theme="0"/>
        </patternFill>
      </fil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fill>
        <patternFill patternType="lightDown">
          <fgColor indexed="64"/>
          <bgColor indexed="65"/>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protection locked="0" hidden="0"/>
    </dxf>
    <dxf>
      <protection locked="0"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114300</xdr:colOff>
      <xdr:row>0</xdr:row>
      <xdr:rowOff>66675</xdr:rowOff>
    </xdr:from>
    <xdr:to>
      <xdr:col>5</xdr:col>
      <xdr:colOff>733425</xdr:colOff>
      <xdr:row>2</xdr:row>
      <xdr:rowOff>76200</xdr:rowOff>
    </xdr:to>
    <xdr:sp macro="" textlink="">
      <xdr:nvSpPr>
        <xdr:cNvPr id="2" name="CuadroTexto 1">
          <a:extLst>
            <a:ext uri="{FF2B5EF4-FFF2-40B4-BE49-F238E27FC236}">
              <a16:creationId xmlns="" xmlns:a16="http://schemas.microsoft.com/office/drawing/2014/main" id="{00000000-0008-0000-0000-000002000000}"/>
            </a:ext>
          </a:extLst>
        </xdr:cNvPr>
        <xdr:cNvSpPr txBox="1"/>
      </xdr:nvSpPr>
      <xdr:spPr>
        <a:xfrm>
          <a:off x="114300" y="66675"/>
          <a:ext cx="3667125" cy="390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Here are the examples of the current existing</a:t>
          </a:r>
          <a:r>
            <a:rPr lang="es-ES" sz="1100" baseline="0"/>
            <a:t> </a:t>
          </a:r>
          <a:r>
            <a:rPr lang="es-ES" sz="1100"/>
            <a:t>combinations possible</a:t>
          </a:r>
        </a:p>
      </xdr:txBody>
    </xdr:sp>
    <xdr:clientData/>
  </xdr:twoCellAnchor>
  <xdr:twoCellAnchor editAs="oneCell">
    <xdr:from>
      <xdr:col>15</xdr:col>
      <xdr:colOff>693208</xdr:colOff>
      <xdr:row>6</xdr:row>
      <xdr:rowOff>136071</xdr:rowOff>
    </xdr:from>
    <xdr:to>
      <xdr:col>22</xdr:col>
      <xdr:colOff>0</xdr:colOff>
      <xdr:row>37</xdr:row>
      <xdr:rowOff>128991</xdr:rowOff>
    </xdr:to>
    <xdr:pic>
      <xdr:nvPicPr>
        <xdr:cNvPr id="3" name="Imagen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39101" y="1483178"/>
          <a:ext cx="10002006" cy="59528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47625</xdr:colOff>
      <xdr:row>3</xdr:row>
      <xdr:rowOff>0</xdr:rowOff>
    </xdr:from>
    <xdr:to>
      <xdr:col>5</xdr:col>
      <xdr:colOff>962025</xdr:colOff>
      <xdr:row>3</xdr:row>
      <xdr:rowOff>301625</xdr:rowOff>
    </xdr:to>
    <xdr:sp macro="Sheet9.UnHide_Columns_Containing_Value_All_Sheets" textlink="">
      <xdr:nvSpPr>
        <xdr:cNvPr id="2" name="TextBox 1">
          <a:extLst>
            <a:ext uri="{FF2B5EF4-FFF2-40B4-BE49-F238E27FC236}">
              <a16:creationId xmlns="" xmlns:a16="http://schemas.microsoft.com/office/drawing/2014/main" id="{5D4CE5C1-D915-41D6-B2EF-9E9AA82E9C31}"/>
            </a:ext>
          </a:extLst>
        </xdr:cNvPr>
        <xdr:cNvSpPr txBox="1"/>
      </xdr:nvSpPr>
      <xdr:spPr>
        <a:xfrm>
          <a:off x="5057775" y="600075"/>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111125</xdr:colOff>
      <xdr:row>3</xdr:row>
      <xdr:rowOff>9525</xdr:rowOff>
    </xdr:from>
    <xdr:to>
      <xdr:col>7</xdr:col>
      <xdr:colOff>415925</xdr:colOff>
      <xdr:row>3</xdr:row>
      <xdr:rowOff>311150</xdr:rowOff>
    </xdr:to>
    <xdr:sp macro="Sheet9.Hide_Columns_Containing_Value_All_Sheets" textlink="">
      <xdr:nvSpPr>
        <xdr:cNvPr id="3" name="TextBox 2">
          <a:extLst>
            <a:ext uri="{FF2B5EF4-FFF2-40B4-BE49-F238E27FC236}">
              <a16:creationId xmlns="" xmlns:a16="http://schemas.microsoft.com/office/drawing/2014/main" id="{9DC181CF-AFF4-4DB1-A948-801A1C20404F}"/>
            </a:ext>
          </a:extLst>
        </xdr:cNvPr>
        <xdr:cNvSpPr txBox="1"/>
      </xdr:nvSpPr>
      <xdr:spPr>
        <a:xfrm>
          <a:off x="6140450" y="609600"/>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69273</xdr:colOff>
      <xdr:row>12</xdr:row>
      <xdr:rowOff>92363</xdr:rowOff>
    </xdr:from>
    <xdr:to>
      <xdr:col>0</xdr:col>
      <xdr:colOff>1108364</xdr:colOff>
      <xdr:row>12</xdr:row>
      <xdr:rowOff>854363</xdr:rowOff>
    </xdr:to>
    <xdr:sp macro="[0]!Sheet2.AddRow" textlink="">
      <xdr:nvSpPr>
        <xdr:cNvPr id="2" name="Rectangle 1">
          <a:extLst>
            <a:ext uri="{FF2B5EF4-FFF2-40B4-BE49-F238E27FC236}">
              <a16:creationId xmlns="" xmlns:a16="http://schemas.microsoft.com/office/drawing/2014/main" id="{E0EDC5FF-099E-44CE-ACC4-B1BDDD7CCFA8}"/>
            </a:ext>
          </a:extLst>
        </xdr:cNvPr>
        <xdr:cNvSpPr/>
      </xdr:nvSpPr>
      <xdr:spPr>
        <a:xfrm>
          <a:off x="69273" y="3902363"/>
          <a:ext cx="1039091" cy="76200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69273</xdr:colOff>
      <xdr:row>12</xdr:row>
      <xdr:rowOff>92363</xdr:rowOff>
    </xdr:from>
    <xdr:to>
      <xdr:col>0</xdr:col>
      <xdr:colOff>1108364</xdr:colOff>
      <xdr:row>16</xdr:row>
      <xdr:rowOff>37454</xdr:rowOff>
    </xdr:to>
    <xdr:sp macro="[1]!Sheet11.AddRow" textlink="">
      <xdr:nvSpPr>
        <xdr:cNvPr id="2" name="Rectangle 1">
          <a:extLst>
            <a:ext uri="{FF2B5EF4-FFF2-40B4-BE49-F238E27FC236}">
              <a16:creationId xmlns="" xmlns:a16="http://schemas.microsoft.com/office/drawing/2014/main" id="{48A88A3E-21E3-4285-B051-E1E23202CC4B}"/>
            </a:ext>
          </a:extLst>
        </xdr:cNvPr>
        <xdr:cNvSpPr/>
      </xdr:nvSpPr>
      <xdr:spPr>
        <a:xfrm>
          <a:off x="69273" y="4016663"/>
          <a:ext cx="1039091" cy="707091"/>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sayosll/everis/Europass2%20-%201%20-%20Tasks/03%20-%20Europass%20data%20model/v0.5.0-1.0.0/entity%20full%20review%20(mini-sprints)/EDCI-403%20(current)/Master%20Credential%20Input%20Table%20-%20Working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Language Choice"/>
      <sheetName val="Europass Credentials"/>
      <sheetName val="Organization"/>
      <sheetName val="Person"/>
      <sheetName val="Achievements"/>
      <sheetName val="Credential Designer"/>
      <sheetName val="Entitlement"/>
      <sheetName val="References"/>
      <sheetName val="Master Credential Input Table -"/>
    </sheetNames>
    <definedNames>
      <definedName name="Sheet11.AddRow"/>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persons/person.xml><?xml version="1.0" encoding="utf-8"?>
<personList xmlns="http://schemas.microsoft.com/office/spreadsheetml/2018/threadedcomments" xmlns:x="http://schemas.openxmlformats.org/spreadsheetml/2006/main">
  <person displayName="Anthony Camilleri" id="{FCCB893F-97EA-4CD9-A61B-C8A50A29ED53}" userId="Anthony Camilleri" providerId="None"/>
</personList>
</file>

<file path=xl/tables/table1.xml><?xml version="1.0" encoding="utf-8"?>
<table xmlns="http://schemas.openxmlformats.org/spreadsheetml/2006/main" id="1" name="Credentials" displayName="Credentials" ref="B12:BS13" totalsRowShown="0" headerRowDxfId="204" dataDxfId="203">
  <autoFilter ref="B12:BS13"/>
  <tableColumns count="70">
    <tableColumn id="1" name="EuropassCredential.title.Property.Text.content.1.en" dataDxfId="202">
      <calculatedColumnFormula>B$11</calculatedColumnFormula>
    </tableColumn>
    <tableColumn id="2" name="EuropassCredential.title.Property.Text.content.1.bg" dataDxfId="201">
      <calculatedColumnFormula>C$11</calculatedColumnFormula>
    </tableColumn>
    <tableColumn id="3" name="EuropassCredential.title.Property.Text.content.1.cs" dataDxfId="200">
      <calculatedColumnFormula>D$11</calculatedColumnFormula>
    </tableColumn>
    <tableColumn id="4" name="EuropassCredential.title.Property.Text.content.1.da" dataDxfId="199">
      <calculatedColumnFormula>E$11</calculatedColumnFormula>
    </tableColumn>
    <tableColumn id="5" name="EuropassCredential.title.Property.Text.content.1.de" dataDxfId="198">
      <calculatedColumnFormula>F$11</calculatedColumnFormula>
    </tableColumn>
    <tableColumn id="6" name="EuropassCredential.title.Property.Text.content.1.el" dataDxfId="197">
      <calculatedColumnFormula>G$11</calculatedColumnFormula>
    </tableColumn>
    <tableColumn id="7" name="EuropassCredential.title.Property.Text.content.1.es" dataDxfId="196">
      <calculatedColumnFormula>H$11</calculatedColumnFormula>
    </tableColumn>
    <tableColumn id="8" name="EuropassCredential.title.Property.Text.content.1.et" dataDxfId="195">
      <calculatedColumnFormula>I$11</calculatedColumnFormula>
    </tableColumn>
    <tableColumn id="9" name="EuropassCredential.title.Property.Text.content.1.fi" dataDxfId="194">
      <calculatedColumnFormula>J$11</calculatedColumnFormula>
    </tableColumn>
    <tableColumn id="10" name="EuropassCredential.title.Property.Text.content.1.fr" dataDxfId="193">
      <calculatedColumnFormula>K$11</calculatedColumnFormula>
    </tableColumn>
    <tableColumn id="11" name="EuropassCredential.title.Property.Text.content.1.ga" dataDxfId="192">
      <calculatedColumnFormula>L$11</calculatedColumnFormula>
    </tableColumn>
    <tableColumn id="12" name="EuropassCredential.title.Property.Text.content.1.hr" dataDxfId="191">
      <calculatedColumnFormula>M$11</calculatedColumnFormula>
    </tableColumn>
    <tableColumn id="13" name="EuropassCredential.title.Property.Text.content.1.hu" dataDxfId="190">
      <calculatedColumnFormula>N$11</calculatedColumnFormula>
    </tableColumn>
    <tableColumn id="14" name="EuropassCredential.title.Property.Text.content.1.is" dataDxfId="189">
      <calculatedColumnFormula>O$11</calculatedColumnFormula>
    </tableColumn>
    <tableColumn id="15" name="EuropassCredential.title.Property.Text.content.1.it" dataDxfId="188">
      <calculatedColumnFormula>P$11</calculatedColumnFormula>
    </tableColumn>
    <tableColumn id="16" name="EuropassCredential.title.Property.Text.content.1.lt" dataDxfId="187">
      <calculatedColumnFormula>Q$11</calculatedColumnFormula>
    </tableColumn>
    <tableColumn id="17" name="EuropassCredential.title.Property.Text.content.1.lv" dataDxfId="186">
      <calculatedColumnFormula>R$11</calculatedColumnFormula>
    </tableColumn>
    <tableColumn id="18" name="EuropassCredential.title.Property.Text.content.1.mt" dataDxfId="185">
      <calculatedColumnFormula>S$11</calculatedColumnFormula>
    </tableColumn>
    <tableColumn id="19" name="EuropassCredential.title.Property.Text.content.1.nl" dataDxfId="184">
      <calculatedColumnFormula>T$11</calculatedColumnFormula>
    </tableColumn>
    <tableColumn id="20" name="EuropassCredential.title.Property.Text.content.1.no" dataDxfId="183">
      <calculatedColumnFormula>U$11</calculatedColumnFormula>
    </tableColumn>
    <tableColumn id="21" name="EuropassCredential.title.Property.Text.content.1.pl" dataDxfId="182">
      <calculatedColumnFormula>V$11</calculatedColumnFormula>
    </tableColumn>
    <tableColumn id="22" name="EuropassCredential.title.Property.Text.content.1.pt" dataDxfId="181">
      <calculatedColumnFormula>W$11</calculatedColumnFormula>
    </tableColumn>
    <tableColumn id="23" name="EuropassCredential.title.Property.Text.content.1.ro" dataDxfId="180">
      <calculatedColumnFormula>X$11</calculatedColumnFormula>
    </tableColumn>
    <tableColumn id="24" name="EuropassCredential.title.Property.Text.content.1.sk" dataDxfId="179">
      <calculatedColumnFormula>Y$11</calculatedColumnFormula>
    </tableColumn>
    <tableColumn id="25" name="EuropassCredential.title.Property.Text.content.1.sl" dataDxfId="178">
      <calculatedColumnFormula>Z$11</calculatedColumnFormula>
    </tableColumn>
    <tableColumn id="26" name="EuropassCredential.title.Property.Text.content.1.sv" dataDxfId="177">
      <calculatedColumnFormula>AA$11</calculatedColumnFormula>
    </tableColumn>
    <tableColumn id="27" name="EuropassCredential.description.Property.Note.content.2.en" dataDxfId="176">
      <calculatedColumnFormula>AB$11</calculatedColumnFormula>
    </tableColumn>
    <tableColumn id="28" name="EuropassCredential.description.Property.Note.content.2.bg" dataDxfId="175">
      <calculatedColumnFormula>AC$11</calculatedColumnFormula>
    </tableColumn>
    <tableColumn id="29" name="EuropassCredential.description.Property.Note.content.2.cs" dataDxfId="174">
      <calculatedColumnFormula>AD$11</calculatedColumnFormula>
    </tableColumn>
    <tableColumn id="30" name="EuropassCredential.description.Property.Note.content.2.da" dataDxfId="173">
      <calculatedColumnFormula>AE$11</calculatedColumnFormula>
    </tableColumn>
    <tableColumn id="31" name="EuropassCredential.description.Property.Note.content.2.de" dataDxfId="172">
      <calculatedColumnFormula>AF$11</calculatedColumnFormula>
    </tableColumn>
    <tableColumn id="32" name="EuropassCredential.description.Property.Note.content.2.el" dataDxfId="171">
      <calculatedColumnFormula>AG$11</calculatedColumnFormula>
    </tableColumn>
    <tableColumn id="33" name="EuropassCredential.description.Property.Note.content.2.es" dataDxfId="170">
      <calculatedColumnFormula>AH$11</calculatedColumnFormula>
    </tableColumn>
    <tableColumn id="34" name="EuropassCredential.description.Property.Note.content.2.et" dataDxfId="169">
      <calculatedColumnFormula>AI$11</calculatedColumnFormula>
    </tableColumn>
    <tableColumn id="35" name="EuropassCredential.description.Property.Note.content.2.fi" dataDxfId="168">
      <calculatedColumnFormula>AJ$11</calculatedColumnFormula>
    </tableColumn>
    <tableColumn id="36" name="EuropassCredential.description.Property.Note.content.2.fr" dataDxfId="167">
      <calculatedColumnFormula>AK$11</calculatedColumnFormula>
    </tableColumn>
    <tableColumn id="37" name="EuropassCredential.description.Property.Note.content.2.ga" dataDxfId="166">
      <calculatedColumnFormula>AL$11</calculatedColumnFormula>
    </tableColumn>
    <tableColumn id="38" name="EuropassCredential.description.Property.Note.content.2.hr" dataDxfId="165">
      <calculatedColumnFormula>AM$11</calculatedColumnFormula>
    </tableColumn>
    <tableColumn id="39" name="EuropassCredential.description.Property.Note.content.2.hu" dataDxfId="164">
      <calculatedColumnFormula>AN$11</calculatedColumnFormula>
    </tableColumn>
    <tableColumn id="40" name="EuropassCredential.description.Property.Note.content.2.is" dataDxfId="163">
      <calculatedColumnFormula>AO$11</calculatedColumnFormula>
    </tableColumn>
    <tableColumn id="41" name="EuropassCredential.description.Property.Note.content.2.it" dataDxfId="162">
      <calculatedColumnFormula>AP$11</calculatedColumnFormula>
    </tableColumn>
    <tableColumn id="42" name="EuropassCredential.description.Property.Note.content.2.lt" dataDxfId="161">
      <calculatedColumnFormula>AQ$11</calculatedColumnFormula>
    </tableColumn>
    <tableColumn id="43" name="EuropassCredential.description.Property.Note.content.2.lv" dataDxfId="160">
      <calculatedColumnFormula>AR$11</calculatedColumnFormula>
    </tableColumn>
    <tableColumn id="44" name="EuropassCredential.description.Property.Note.content.2.mt" dataDxfId="159">
      <calculatedColumnFormula>AS$11</calculatedColumnFormula>
    </tableColumn>
    <tableColumn id="45" name="EuropassCredential.description.Property.Note.content.2.nl" dataDxfId="158">
      <calculatedColumnFormula>AT$11</calculatedColumnFormula>
    </tableColumn>
    <tableColumn id="46" name="EuropassCredential.description.Property.Note.content.2.no" dataDxfId="157">
      <calculatedColumnFormula>AU$11</calculatedColumnFormula>
    </tableColumn>
    <tableColumn id="47" name="EuropassCredential.description.Property.Note.content.2.pl" dataDxfId="156">
      <calculatedColumnFormula>AV$11</calculatedColumnFormula>
    </tableColumn>
    <tableColumn id="48" name="EuropassCredential.description.Property.Note.content.2.pt" dataDxfId="155">
      <calculatedColumnFormula>AW$11</calculatedColumnFormula>
    </tableColumn>
    <tableColumn id="49" name="EuropassCredential.description.Property.Note.content.2.ro" dataDxfId="154">
      <calculatedColumnFormula>AX$11</calculatedColumnFormula>
    </tableColumn>
    <tableColumn id="50" name="EuropassCredential.description.Property.Note.content.2.sk" dataDxfId="153">
      <calculatedColumnFormula>AY$11</calculatedColumnFormula>
    </tableColumn>
    <tableColumn id="51" name="EuropassCredential.description.Property.Note.content.2.sl" dataDxfId="152">
      <calculatedColumnFormula>AZ$11</calculatedColumnFormula>
    </tableColumn>
    <tableColumn id="52" name="EuropassCredential.description.Property.Note.content.2.sv" dataDxfId="151">
      <calculatedColumnFormula>BA$11</calculatedColumnFormula>
    </tableColumn>
    <tableColumn id="59" name="Column1" dataDxfId="150">
      <calculatedColumnFormula>BB$11</calculatedColumnFormula>
    </tableColumn>
    <tableColumn id="60" name="Column2" dataDxfId="149">
      <calculatedColumnFormula>BC$11</calculatedColumnFormula>
    </tableColumn>
    <tableColumn id="53" name="EuropassCredential.issuer.Association..Organization.3." dataDxfId="148">
      <calculatedColumnFormula>BD$11</calculatedColumnFormula>
    </tableColumn>
    <tableColumn id="54" name="EuropassCredential.issuer.Association..Organization.3.2" dataDxfId="147"/>
    <tableColumn id="55" name="EuropassCredential.credentialSubject.Association..Person.4." dataDxfId="146">
      <calculatedColumnFormula>Persons[[#This Row],[Person.fullName.Property.Text.content..ca.]]</calculatedColumnFormula>
    </tableColumn>
    <tableColumn id="56" name="EuropassCredential.credentialSubject.Association..Person.4.3" dataDxfId="145">
      <calculatedColumnFormula>MATCH(Credentials[[#This Row],[EuropassCredential.credentialSubject.Association..Person.4.]],Person!BV:BV,0)</calculatedColumnFormula>
    </tableColumn>
    <tableColumn id="57" name="VerifiableCredential.issuanceDate.Property.Datetime..." dataDxfId="144">
      <calculatedColumnFormula>BH$11</calculatedColumnFormula>
    </tableColumn>
    <tableColumn id="58" name="VerifiableCredential.expirationDate.Property.Datetime..." dataDxfId="143">
      <calculatedColumnFormula>BI$11</calculatedColumnFormula>
    </tableColumn>
    <tableColumn id="65" name="Column43" dataDxfId="142"/>
    <tableColumn id="66" name="Column44" dataDxfId="141"/>
    <tableColumn id="67" name="Column45" dataCellStyle="Hipervínculo"/>
    <tableColumn id="68" name="Column46" dataDxfId="140" dataCellStyle="Hipervínculo"/>
    <tableColumn id="70" name="Column452" dataDxfId="139" dataCellStyle="Hipervínculo"/>
    <tableColumn id="69" name="Column463" dataDxfId="138" dataCellStyle="Hipervínculo"/>
    <tableColumn id="61" name="Column3" dataDxfId="137" dataCellStyle="Data Entry"/>
    <tableColumn id="63" name="Column4" dataDxfId="136" dataCellStyle="Data Entry"/>
    <tableColumn id="64" name="Column33" dataDxfId="135">
      <calculatedColumnFormula>BR$11</calculatedColumnFormula>
    </tableColumn>
    <tableColumn id="62" name="Column42" dataDxfId="134">
      <calculatedColumnFormula>BS$11</calculatedColumnFormula>
    </tableColumn>
  </tableColumns>
  <tableStyleInfo name="TableStyleMedium2" showFirstColumn="0" showLastColumn="0" showRowStripes="0" showColumnStripes="0"/>
</table>
</file>

<file path=xl/tables/table2.xml><?xml version="1.0" encoding="utf-8"?>
<table xmlns="http://schemas.openxmlformats.org/spreadsheetml/2006/main" id="4" name="Persons" displayName="Persons" ref="B12:DA15" totalsRowShown="0" dataDxfId="133">
  <autoFilter ref="B12:DA15"/>
  <tableColumns count="104">
    <tableColumn id="2" name="Person.id.ID/PK.URI..." dataDxfId="132"/>
    <tableColumn id="3" name="Person.nationalId.Property.LegalIdentifier.spatialId..." dataDxfId="131"/>
    <tableColumn id="4" name="Person.identifier.Property.identifier.issuedDate.1.." dataDxfId="130"/>
    <tableColumn id="5" name="Person.identifier.Property.identifier.content.1.." dataDxfId="129"/>
    <tableColumn id="6" name="Person.identifier.Property.identifier.issuedDate.2.." dataDxfId="128"/>
    <tableColumn id="7" name="Person.identifier.Property.identifier.content.2.." dataDxfId="127"/>
    <tableColumn id="8" name="Person.note.Property..topic.1.." dataDxfId="126"/>
    <tableColumn id="9" name="Person.note.Property.contents.content.1.en." dataDxfId="125"/>
    <tableColumn id="10" name="Person.note.Property.contents.content.1.ca." dataDxfId="124"/>
    <tableColumn id="11" name="Person.note.Property.contents.content.1.es." dataDxfId="123"/>
    <tableColumn id="12" name="Person.note.Property..topic.2.." dataDxfId="122"/>
    <tableColumn id="13" name="Person.note.Property.contents.content.2.en." dataDxfId="121"/>
    <tableColumn id="14" name="Person.note.Property.contents.content.2.ca." dataDxfId="120"/>
    <tableColumn id="15" name="Person.note.Property.contents.content.2.es." dataDxfId="119"/>
    <tableColumn id="35" name="Columna6" dataDxfId="118"/>
    <tableColumn id="34" name="Columna5" dataDxfId="117"/>
    <tableColumn id="33" name="Columna4" dataDxfId="116"/>
    <tableColumn id="36" name="Columna42" dataDxfId="115"/>
    <tableColumn id="41" name="Columna422"/>
    <tableColumn id="42" name="Columna423"/>
    <tableColumn id="37" name="Columna43" dataDxfId="114"/>
    <tableColumn id="38" name="Columna44" dataDxfId="113"/>
    <tableColumn id="39" name="Columna45" dataDxfId="112"/>
    <tableColumn id="40" name="Columna46" dataDxfId="111"/>
    <tableColumn id="44" name="Columna4222"/>
    <tableColumn id="43" name="Columna4233"/>
    <tableColumn id="61" name="Columna42334"/>
    <tableColumn id="60" name="Columna42333"/>
    <tableColumn id="64" name="Columna423334"/>
    <tableColumn id="63" name="Columna423333"/>
    <tableColumn id="62" name="Columna423332"/>
    <tableColumn id="65" name="Columna4233322"/>
    <tableColumn id="66" name="Columna4233323"/>
    <tableColumn id="69" name="Columna42333233"/>
    <tableColumn id="68" name="Columna42333232"/>
    <tableColumn id="67" name="Columna4233324"/>
    <tableColumn id="71" name="Columna42333242"/>
    <tableColumn id="70" name="Columna4233325"/>
    <tableColumn id="74" name="Columna42333253"/>
    <tableColumn id="73" name="Columna42333252"/>
    <tableColumn id="75" name="Columna423332522"/>
    <tableColumn id="72" name="Columna4233326"/>
    <tableColumn id="77" name="Columna42333262"/>
    <tableColumn id="76" name="Columna4233327"/>
    <tableColumn id="83" name="Columna42333276"/>
    <tableColumn id="82" name="Columna42333275"/>
    <tableColumn id="81" name="Columna42333274"/>
    <tableColumn id="80" name="Columna42333273"/>
    <tableColumn id="79" name="Columna42333272"/>
    <tableColumn id="78" name="Columna4233328"/>
    <tableColumn id="85" name="Columna42333282"/>
    <tableColumn id="84" name="Columna4233329"/>
    <tableColumn id="87" name="Columna42333292"/>
    <tableColumn id="86" name="Columna4233330"/>
    <tableColumn id="89" name="Columna42333302"/>
    <tableColumn id="88" name="Columna4233331"/>
    <tableColumn id="93" name="Columna42333314"/>
    <tableColumn id="92" name="Columna42333313"/>
    <tableColumn id="91" name="Columna42333312"/>
    <tableColumn id="90" name="Columna4233332"/>
    <tableColumn id="46" name="Columna42332"/>
    <tableColumn id="45" name="Columna4234"/>
    <tableColumn id="51" name="Columna42345"/>
    <tableColumn id="59" name="Columna423455"/>
    <tableColumn id="55" name="Columna423453"/>
    <tableColumn id="58" name="Columna4234533"/>
    <tableColumn id="57" name="Columna4234532"/>
    <tableColumn id="56" name="Columna423454"/>
    <tableColumn id="54" name="Columna423452"/>
    <tableColumn id="53" name="Columna42346"/>
    <tableColumn id="50" name="Columna42344"/>
    <tableColumn id="52" name="Columna423442"/>
    <tableColumn id="16" name="Person.fullName.Property.Text.content..ca." dataDxfId="110"/>
    <tableColumn id="17" name="Person.givenNames.Property.Text .content..ca." dataDxfId="109"/>
    <tableColumn id="18" name="Person.familyName.Property.Text.content..ca." dataDxfId="108"/>
    <tableColumn id="19" name="Person.fullName.Property.Text.content..fr." dataDxfId="107"/>
    <tableColumn id="20" name="Person.givenNames.Property.Text .content..fr." dataDxfId="106"/>
    <tableColumn id="21" name="Person.familyName.Property.Text.content..fr." dataDxfId="105"/>
    <tableColumn id="32" name="Columna3" dataDxfId="104"/>
    <tableColumn id="31" name="Columna2" dataDxfId="103"/>
    <tableColumn id="1" name="Columna1" dataDxfId="102"/>
    <tableColumn id="22" name="Person.dateOfBirth.Property.Date...." dataDxfId="101"/>
    <tableColumn id="23" name="Person.placeOfBirth.Association..Location.12.." dataDxfId="100"/>
    <tableColumn id="24" name="Person.gender.Property.Code.codeId..." dataDxfId="99"/>
    <tableColumn id="25" name="Person.citizenshipCountry.Property.Code.codeId.1.." dataDxfId="98"/>
    <tableColumn id="26" name="Person.citizenshipCountry.Property.Code.codeId.2.." dataDxfId="97"/>
    <tableColumn id="96" name="Columna9" dataDxfId="96"/>
    <tableColumn id="95" name="Columna8" dataDxfId="95"/>
    <tableColumn id="94" name="Columna7" dataDxfId="94"/>
    <tableColumn id="97" name="Columna72" dataDxfId="93"/>
    <tableColumn id="98" name="Columna73" dataDxfId="92"/>
    <tableColumn id="99" name="Columna74" dataDxfId="91"/>
    <tableColumn id="101" name="Columna742" dataDxfId="90"/>
    <tableColumn id="100" name="Columna75" dataDxfId="89"/>
    <tableColumn id="104" name="Columna753" dataDxfId="88"/>
    <tableColumn id="103" name="Columna752" dataDxfId="87"/>
    <tableColumn id="107" name="Columna7522" dataDxfId="86"/>
    <tableColumn id="108" name="Columna7523" dataDxfId="85"/>
    <tableColumn id="102" name="Columna76" dataDxfId="84"/>
    <tableColumn id="105" name="Columna77" dataDxfId="83"/>
    <tableColumn id="27" name="Person.alternativeName.Property.contents.content.1.ca." dataDxfId="82"/>
    <tableColumn id="28" name="Person.alternativeName.Property.contents.content.1.en." dataDxfId="81"/>
    <tableColumn id="29" name="Person.alternativeName.Property.contents.content.2.ca." dataDxfId="80"/>
    <tableColumn id="30" name="Person.alternativeName.Property.contents.content.2.en." dataDxfId="79"/>
  </tableColumns>
  <tableStyleInfo name="TableStyleMedium2" showFirstColumn="0" showLastColumn="0" showRowStripes="0" showColumnStripes="0"/>
</table>
</file>

<file path=xl/tables/table3.xml><?xml version="1.0" encoding="utf-8"?>
<table xmlns="http://schemas.openxmlformats.org/spreadsheetml/2006/main" id="3" name="Organisations" displayName="Organisations" ref="B12:BY14" totalsRowShown="0" headerRowDxfId="78" dataDxfId="77">
  <autoFilter ref="B12:BY14"/>
  <tableColumns count="76">
    <tableColumn id="94" name="EuropassCredential.title.Property.Text.content.1.en" dataDxfId="76"/>
    <tableColumn id="95" name="EuropassCredential.title.Property.Text.content.1.bg" dataDxfId="75"/>
    <tableColumn id="96" name="EuropassCredential.title.Property.Text.content.1.cs" dataDxfId="74"/>
    <tableColumn id="97" name="EuropassCredential.title.Property.Text.content.1.da" dataDxfId="73"/>
    <tableColumn id="98" name="EuropassCredential.title.Property.Text.content.1.de" dataDxfId="72"/>
    <tableColumn id="99" name="EuropassCredential.title.Property.Text.content.1.el" dataDxfId="71"/>
    <tableColumn id="100" name="EuropassCredential.title.Property.Text.content.1.es" dataDxfId="70"/>
    <tableColumn id="101" name="EuropassCredential.title.Property.Text.content.1.et" dataDxfId="69"/>
    <tableColumn id="102" name="EuropassCredential.title.Property.Text.content.1.fi" dataDxfId="68"/>
    <tableColumn id="103" name="EuropassCredential.title.Property.Text.content.1.fr" dataDxfId="67"/>
    <tableColumn id="104" name="EuropassCredential.title.Property.Text.content.1.ga" dataDxfId="66"/>
    <tableColumn id="105" name="EuropassCredential.title.Property.Text.content.1.hr" dataDxfId="65"/>
    <tableColumn id="106" name="EuropassCredential.title.Property.Text.content.1.hu" dataDxfId="64"/>
    <tableColumn id="107" name="EuropassCredential.title.Property.Text.content.1.is" dataDxfId="63"/>
    <tableColumn id="108" name="EuropassCredential.title.Property.Text.content.1.it" dataDxfId="62"/>
    <tableColumn id="109" name="Column1" dataDxfId="61"/>
    <tableColumn id="110" name="Column2" dataDxfId="60"/>
    <tableColumn id="111" name="Column3" dataDxfId="59"/>
    <tableColumn id="112" name="Column4" dataDxfId="58"/>
    <tableColumn id="113" name="Column5" dataDxfId="57"/>
    <tableColumn id="114" name="Column6" dataDxfId="56"/>
    <tableColumn id="115" name="Column7" dataDxfId="55"/>
    <tableColumn id="116" name="Column8" dataDxfId="54"/>
    <tableColumn id="117" name="Column9" dataDxfId="53"/>
    <tableColumn id="118" name="Column10" dataDxfId="52"/>
    <tableColumn id="119" name="Column11" dataDxfId="51"/>
    <tableColumn id="1" name="EuropassCredential.title.Property.Text.content.1.en2" dataDxfId="50"/>
    <tableColumn id="2" name="EuropassCredential.title.Property.Text.content.1.bg3" dataDxfId="49"/>
    <tableColumn id="3" name="EuropassCredential.title.Property.Text.content.1.cs4" dataDxfId="48"/>
    <tableColumn id="4" name="EuropassCredential.title.Property.Text.content.1.da5" dataDxfId="47"/>
    <tableColumn id="5" name="EuropassCredential.title.Property.Text.content.1.de6" dataDxfId="46"/>
    <tableColumn id="6" name="EuropassCredential.title.Property.Text.content.1.el7" dataDxfId="45"/>
    <tableColumn id="7" name="EuropassCredential.title.Property.Text.content.1.es8" dataDxfId="44"/>
    <tableColumn id="8" name="EuropassCredential.title.Property.Text.content.1.et9" dataDxfId="43"/>
    <tableColumn id="9" name="EuropassCredential.title.Property.Text.content.1.fi10" dataDxfId="42"/>
    <tableColumn id="10" name="EuropassCredential.title.Property.Text.content.1.fr11" dataDxfId="41"/>
    <tableColumn id="11" name="EuropassCredential.title.Property.Text.content.1.ga12" dataDxfId="40"/>
    <tableColumn id="12" name="EuropassCredential.title.Property.Text.content.1.hr13" dataDxfId="39"/>
    <tableColumn id="13" name="EuropassCredential.title.Property.Text.content.1.hu14" dataDxfId="38"/>
    <tableColumn id="14" name="EuropassCredential.title.Property.Text.content.1.is15" dataDxfId="37"/>
    <tableColumn id="15" name="EuropassCredential.title.Property.Text.content.1.it16" dataDxfId="36"/>
    <tableColumn id="16" name="Column117" dataDxfId="35"/>
    <tableColumn id="17" name="Column218" dataDxfId="34"/>
    <tableColumn id="18" name="Column319" dataDxfId="33"/>
    <tableColumn id="19" name="Column420" dataDxfId="32"/>
    <tableColumn id="20" name="Column521" dataDxfId="31"/>
    <tableColumn id="21" name="Column622" dataDxfId="30"/>
    <tableColumn id="22" name="Column723" dataDxfId="29"/>
    <tableColumn id="23" name="Column824" dataDxfId="28"/>
    <tableColumn id="24" name="Column925" dataDxfId="27"/>
    <tableColumn id="25" name="Column1026" dataDxfId="26"/>
    <tableColumn id="26" name="Column1129" dataDxfId="25"/>
    <tableColumn id="122" name="EuropassCredential.title.Property.Text.content.1.en22" dataDxfId="24"/>
    <tableColumn id="121" name="EuropassCredential.title.Property.Text.content.1.es82" dataDxfId="23"/>
    <tableColumn id="120" name="EuropassCredential.title.Property.Text.content.1.fr112" dataDxfId="22"/>
    <tableColumn id="128" name="EuropassCredential.title.Property.Text.content.1.fr1122" dataDxfId="21" dataCellStyle="Hipervínculo"/>
    <tableColumn id="127" name="EuropassCredential.title.Property.Text.content.1.fr113" dataDxfId="20"/>
    <tableColumn id="27" name="Column12" dataDxfId="19"/>
    <tableColumn id="123" name="Column122" dataDxfId="18"/>
    <tableColumn id="28" name="Column13" dataDxfId="17"/>
    <tableColumn id="124" name="Column132" dataDxfId="16"/>
    <tableColumn id="29" name="Column14" dataDxfId="15"/>
    <tableColumn id="125" name="Column142" dataDxfId="14"/>
    <tableColumn id="30" name="Column15" dataDxfId="13"/>
    <tableColumn id="126" name="Column152" dataDxfId="12"/>
    <tableColumn id="31" name="Column153" dataDxfId="11"/>
    <tableColumn id="32" name="Column154" dataDxfId="10"/>
    <tableColumn id="33" name="Column155" dataDxfId="9"/>
    <tableColumn id="34" name="Column156" dataDxfId="8"/>
    <tableColumn id="35" name="Column157" dataDxfId="7"/>
    <tableColumn id="36" name="Column158" dataDxfId="6"/>
    <tableColumn id="37" name="Column159" dataDxfId="5"/>
    <tableColumn id="38" name="Column160" dataDxfId="4"/>
    <tableColumn id="42" name="Column1602" dataDxfId="3"/>
    <tableColumn id="43" name="Column1603" dataDxfId="2"/>
    <tableColumn id="39" name="Column161" dataDxfId="1"/>
  </tableColumns>
  <tableStyleInfo name="TableStyleMedium2" showFirstColumn="0" showLastColumn="0" showRowStripes="0" showColumnStripes="0"/>
</table>
</file>

<file path=xl/tables/table4.xml><?xml version="1.0" encoding="utf-8"?>
<table xmlns="http://schemas.openxmlformats.org/spreadsheetml/2006/main" id="2" name="MDR_Languages" displayName="MDR_Languages" ref="A1:C27" totalsRowShown="0" headerRowDxfId="0">
  <autoFilter ref="A1:C27"/>
  <tableColumns count="3">
    <tableColumn id="3" name="name"/>
    <tableColumn id="1" name="code"/>
    <tableColumn id="2" name="URI"/>
  </tableColumns>
  <tableStyleInfo name="TableStyleMedium2" showFirstColumn="0" showLastColumn="0" showRowStripes="0" showColumnStripes="0"/>
</table>
</file>

<file path=xl/tables/table5.xml><?xml version="1.0" encoding="utf-8"?>
<table xmlns="http://schemas.openxmlformats.org/spreadsheetml/2006/main" id="5" name="ListCredentialTypes" displayName="ListCredentialTypes" ref="A30:C33" totalsRowShown="0">
  <autoFilter ref="A30:C33"/>
  <tableColumns count="3">
    <tableColumn id="1" name="name"/>
    <tableColumn id="2" name="Column1"/>
    <tableColumn id="3" name="URI"/>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5" dT="2019-11-13T14:25:57.84" personId="{FCCB893F-97EA-4CD9-A61B-C8A50A29ED53}" id="{97F6465A-D284-405D-80F4-DB16D93BAA7F}">
    <text>This is guidance information to the user. Should not be parsed by the converter.</text>
  </threadedComment>
  <threadedComment ref="A16" dT="2019-11-13T14:26:13.09" personId="{FCCB893F-97EA-4CD9-A61B-C8A50A29ED53}" id="{83C028A7-3C42-4A67-8240-42652E692DA1}">
    <text>This is guidance information to the user. Should not be parsed by the converter.</text>
  </threadedComment>
  <threadedComment ref="A17" dT="2019-11-13T14:26:17.85" personId="{FCCB893F-97EA-4CD9-A61B-C8A50A29ED53}" id="{01F7D9D0-9249-480C-8720-2980FF48477B}">
    <text>This is guidance information to the user. Should not be parsed by the converter.</text>
  </threadedComment>
  <threadedComment ref="A18" dT="2019-11-13T14:32:33.03" personId="{FCCB893F-97EA-4CD9-A61B-C8A50A29ED53}" id="{5E306851-821E-4E61-ABC5-37B04C442084}">
    <text>Data - each row should be parsed to create a new credential.</text>
  </threadedComment>
</ThreadedComments>
</file>

<file path=xl/threadedComments/threadedComment2.xml><?xml version="1.0" encoding="utf-8"?>
<ThreadedComments xmlns="http://schemas.microsoft.com/office/spreadsheetml/2018/threadedcomments" xmlns:x="http://schemas.openxmlformats.org/spreadsheetml/2006/main">
  <threadedComment ref="C6" dT="2019-11-13T14:08:19.97" personId="{FCCB893F-97EA-4CD9-A61B-C8A50A29ED53}" id="{767DB844-A440-4EE8-8FD8-C6F215F7B1C3}">
    <text>Where a range or Structure Data Type may contain several kinds of fields, this is the name of the field.</text>
  </threadedComment>
  <threadedComment ref="D7" dT="2019-11-13T14:09:09.88" personId="{FCCB893F-97EA-4CD9-A61B-C8A50A29ED53}" id="{91EBA963-BCCA-4561-8C9F-1ECB5B84963A}">
    <text>RangeRef indicates that the two range-properties with the same number are part of the same parent property.</text>
  </threadedComment>
  <threadedComment ref="E8" dT="2019-11-13T14:10:04.72" personId="{FCCB893F-97EA-4CD9-A61B-C8A50A29ED53}" id="{ACA6F61A-3373-4E65-A7EB-53736FE82272}">
    <text>Where a default value is included, this should be considered the default value of all rows below it.</text>
  </threadedComment>
</ThreadedComments>
</file>

<file path=xl/threadedComments/threadedComment3.xml><?xml version="1.0" encoding="utf-8"?>
<ThreadedComments xmlns="http://schemas.microsoft.com/office/spreadsheetml/2018/threadedcomments" xmlns:x="http://schemas.openxmlformats.org/spreadsheetml/2006/main">
  <threadedComment ref="D7" dT="2019-11-13T14:09:09.88" personId="{FCCB893F-97EA-4CD9-A61B-C8A50A29ED53}" id="{91EBA963-BCCA-4562-8C9F-1ECB5B84963A}">
    <text>RangeRef indicates that the two range-properties with the same number are part of the same parent property.</text>
  </threadedComment>
  <threadedComment ref="E8" dT="2019-11-13T14:10:04.72" personId="{FCCB893F-97EA-4CD9-A61B-C8A50A29ED53}" id="{ACA6F61A-3373-4E66-A7EB-53736FE82272}">
    <text>Where a default value is included, this should be considered the default value of all rows below it.</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test.image.com/" TargetMode="Externa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gessi.upc.edu/en/logosfooter-en/upc/view/++widget++form.widgets.image/@@download/UPC.gif" TargetMode="External"/><Relationship Id="rId1" Type="http://schemas.openxmlformats.org/officeDocument/2006/relationships/hyperlink" Target="https://oepass.eu/wp-content/uploads/sites/22/2019/03/OEPass_O1_A2_peerreview_report_v3.pdf" TargetMode="External"/><Relationship Id="rId5" Type="http://schemas.openxmlformats.org/officeDocument/2006/relationships/table" Target="../tables/table1.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hyperlink" Target="http://www.google.com/" TargetMode="External"/><Relationship Id="rId2" Type="http://schemas.openxmlformats.org/officeDocument/2006/relationships/hyperlink" Target="mailto:esayosll@everis.com" TargetMode="External"/><Relationship Id="rId1" Type="http://schemas.openxmlformats.org/officeDocument/2006/relationships/hyperlink" Target="mailto:enric.sayos.llorente@everis.com" TargetMode="External"/><Relationship Id="rId6" Type="http://schemas.openxmlformats.org/officeDocument/2006/relationships/table" Target="../tables/table2.xml"/><Relationship Id="rId5" Type="http://schemas.openxmlformats.org/officeDocument/2006/relationships/printerSettings" Target="../printerSettings/printerSettings3.bin"/><Relationship Id="rId4" Type="http://schemas.openxmlformats.org/officeDocument/2006/relationships/hyperlink" Target="http://www.yahoo.co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8" Type="http://schemas.openxmlformats.org/officeDocument/2006/relationships/hyperlink" Target="http://data.europa.eu/europass/credentialType/diplomaSupplement" TargetMode="External"/><Relationship Id="rId13" Type="http://schemas.openxmlformats.org/officeDocument/2006/relationships/table" Target="../tables/table5.xml"/><Relationship Id="rId3" Type="http://schemas.openxmlformats.org/officeDocument/2006/relationships/hyperlink" Target="http://publications.europa.eu/resource/authority/language/RON" TargetMode="External"/><Relationship Id="rId7" Type="http://schemas.openxmlformats.org/officeDocument/2006/relationships/hyperlink" Target="http://data.europa.eu/europass/credentialType/qualification" TargetMode="External"/><Relationship Id="rId12" Type="http://schemas.openxmlformats.org/officeDocument/2006/relationships/table" Target="../tables/table4.xml"/><Relationship Id="rId2" Type="http://schemas.openxmlformats.org/officeDocument/2006/relationships/hyperlink" Target="http://publications.europa.eu/resource/authority/language/MLT" TargetMode="External"/><Relationship Id="rId1" Type="http://schemas.openxmlformats.org/officeDocument/2006/relationships/hyperlink" Target="http://publications.europa.eu/resource/authority/language/CES" TargetMode="External"/><Relationship Id="rId6" Type="http://schemas.openxmlformats.org/officeDocument/2006/relationships/hyperlink" Target="http://data.europa.eu/europass/credentialType/generic" TargetMode="External"/><Relationship Id="rId11" Type="http://schemas.openxmlformats.org/officeDocument/2006/relationships/printerSettings" Target="../printerSettings/printerSettings5.bin"/><Relationship Id="rId5" Type="http://schemas.openxmlformats.org/officeDocument/2006/relationships/hyperlink" Target="http://publications.europa.eu/resource/authority/language/NOR" TargetMode="External"/><Relationship Id="rId10" Type="http://schemas.openxmlformats.org/officeDocument/2006/relationships/hyperlink" Target="http://publications.europa.eu/resource/authority/language/SPA" TargetMode="External"/><Relationship Id="rId4" Type="http://schemas.openxmlformats.org/officeDocument/2006/relationships/hyperlink" Target="http://publications.europa.eu/resource/authority/language/NLD" TargetMode="External"/><Relationship Id="rId9" Type="http://schemas.openxmlformats.org/officeDocument/2006/relationships/hyperlink" Target="http://publications.europa.eu/resource/authority/language/ENG" TargetMode="Externa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hyperlink" Target="https://everis.com/image.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5:V67"/>
  <sheetViews>
    <sheetView topLeftCell="A43" zoomScale="70" zoomScaleNormal="70" workbookViewId="0">
      <selection activeCell="M59" sqref="M59"/>
    </sheetView>
  </sheetViews>
  <sheetFormatPr baseColWidth="10" defaultColWidth="10.85546875" defaultRowHeight="15" x14ac:dyDescent="0.25"/>
  <cols>
    <col min="3" max="4" width="28.42578125" customWidth="1"/>
    <col min="5" max="5" width="19.7109375" customWidth="1"/>
    <col min="6" max="7" width="28.28515625" customWidth="1"/>
    <col min="8" max="8" width="17.42578125" customWidth="1"/>
    <col min="9" max="9" width="16.5703125" customWidth="1"/>
    <col min="12" max="12" width="18.5703125" customWidth="1"/>
    <col min="13" max="13" width="18.28515625" bestFit="1" customWidth="1"/>
    <col min="14" max="14" width="16.85546875" customWidth="1"/>
    <col min="15" max="15" width="18.28515625" bestFit="1" customWidth="1"/>
    <col min="21" max="21" width="20.42578125" customWidth="1"/>
    <col min="22" max="22" width="86" customWidth="1"/>
  </cols>
  <sheetData>
    <row r="5" spans="1:22" ht="31.5" customHeight="1" x14ac:dyDescent="0.35">
      <c r="C5" s="9" t="s">
        <v>0</v>
      </c>
      <c r="E5" s="9" t="s">
        <v>1</v>
      </c>
      <c r="F5" s="9"/>
      <c r="H5" s="9" t="s">
        <v>2</v>
      </c>
      <c r="I5" s="9"/>
      <c r="L5" s="9" t="s">
        <v>3</v>
      </c>
      <c r="Q5" s="152" t="s">
        <v>490</v>
      </c>
      <c r="R5" s="152"/>
      <c r="S5" s="152"/>
      <c r="T5" s="152"/>
      <c r="U5" s="153"/>
      <c r="V5" s="154" t="s">
        <v>491</v>
      </c>
    </row>
    <row r="6" spans="1:22" x14ac:dyDescent="0.25">
      <c r="E6" t="s">
        <v>4</v>
      </c>
    </row>
    <row r="7" spans="1:22" ht="15.75" thickBot="1" x14ac:dyDescent="0.3"/>
    <row r="8" spans="1:22" x14ac:dyDescent="0.25">
      <c r="A8" s="3" t="s">
        <v>5</v>
      </c>
      <c r="C8" s="39" t="s">
        <v>6</v>
      </c>
      <c r="E8" s="44" t="s">
        <v>6</v>
      </c>
      <c r="F8" s="45" t="s">
        <v>6</v>
      </c>
      <c r="H8" s="39" t="s">
        <v>7</v>
      </c>
      <c r="I8" s="44" t="s">
        <v>7</v>
      </c>
      <c r="J8" s="45" t="s">
        <v>7</v>
      </c>
      <c r="L8" s="44" t="s">
        <v>8</v>
      </c>
      <c r="M8" s="54" t="s">
        <v>8</v>
      </c>
      <c r="N8" s="45" t="s">
        <v>8</v>
      </c>
    </row>
    <row r="9" spans="1:22" x14ac:dyDescent="0.25">
      <c r="A9" s="3" t="s">
        <v>9</v>
      </c>
      <c r="C9" s="40" t="s">
        <v>10</v>
      </c>
      <c r="E9" s="46" t="s">
        <v>11</v>
      </c>
      <c r="F9" s="47" t="s">
        <v>11</v>
      </c>
      <c r="H9" s="40" t="s">
        <v>12</v>
      </c>
      <c r="I9" s="46" t="s">
        <v>13</v>
      </c>
      <c r="J9" s="47" t="s">
        <v>13</v>
      </c>
      <c r="L9" s="46" t="s">
        <v>14</v>
      </c>
      <c r="M9" s="7" t="s">
        <v>14</v>
      </c>
      <c r="N9" s="47" t="s">
        <v>14</v>
      </c>
    </row>
    <row r="10" spans="1:22" x14ac:dyDescent="0.25">
      <c r="A10" s="3" t="s">
        <v>15</v>
      </c>
      <c r="C10" s="40" t="s">
        <v>16</v>
      </c>
      <c r="E10" s="46" t="s">
        <v>16</v>
      </c>
      <c r="F10" s="47" t="s">
        <v>16</v>
      </c>
      <c r="H10" s="40" t="s">
        <v>16</v>
      </c>
      <c r="I10" s="46" t="s">
        <v>16</v>
      </c>
      <c r="J10" s="47" t="s">
        <v>16</v>
      </c>
      <c r="L10" s="59" t="s">
        <v>16</v>
      </c>
      <c r="M10" s="60" t="s">
        <v>16</v>
      </c>
      <c r="N10" s="61" t="s">
        <v>16</v>
      </c>
    </row>
    <row r="11" spans="1:22" s="69" customFormat="1" x14ac:dyDescent="0.25">
      <c r="A11" s="23" t="s">
        <v>17</v>
      </c>
      <c r="C11" s="70" t="s">
        <v>18</v>
      </c>
      <c r="E11" s="71" t="s">
        <v>18</v>
      </c>
      <c r="F11" s="72" t="s">
        <v>18</v>
      </c>
      <c r="H11" s="70" t="s">
        <v>19</v>
      </c>
      <c r="I11" s="71" t="s">
        <v>13</v>
      </c>
      <c r="J11" s="72" t="s">
        <v>13</v>
      </c>
      <c r="L11" s="73" t="s">
        <v>20</v>
      </c>
      <c r="M11" s="74" t="s">
        <v>20</v>
      </c>
      <c r="N11" s="75" t="s">
        <v>20</v>
      </c>
    </row>
    <row r="12" spans="1:22" x14ac:dyDescent="0.25">
      <c r="A12" s="3" t="s">
        <v>21</v>
      </c>
      <c r="C12" s="40"/>
      <c r="E12" s="46"/>
      <c r="F12" s="47"/>
      <c r="H12" s="40" t="s">
        <v>22</v>
      </c>
      <c r="I12" s="46" t="s">
        <v>23</v>
      </c>
      <c r="J12" s="47" t="s">
        <v>24</v>
      </c>
      <c r="L12" s="59" t="s">
        <v>24</v>
      </c>
      <c r="M12" s="60" t="s">
        <v>24</v>
      </c>
      <c r="N12" s="61" t="s">
        <v>24</v>
      </c>
    </row>
    <row r="13" spans="1:22" x14ac:dyDescent="0.25">
      <c r="A13" s="3" t="s">
        <v>25</v>
      </c>
      <c r="C13" s="40"/>
      <c r="E13" s="46">
        <v>1</v>
      </c>
      <c r="F13" s="47">
        <v>2</v>
      </c>
      <c r="H13" s="40"/>
      <c r="I13" s="46"/>
      <c r="J13" s="47"/>
      <c r="L13" s="46">
        <v>0</v>
      </c>
      <c r="M13" s="7">
        <v>1</v>
      </c>
      <c r="N13" s="47">
        <v>2</v>
      </c>
    </row>
    <row r="14" spans="1:22" x14ac:dyDescent="0.25">
      <c r="A14" s="3" t="s">
        <v>26</v>
      </c>
      <c r="C14" s="40"/>
      <c r="E14" s="46"/>
      <c r="F14" s="47"/>
      <c r="H14" s="40"/>
      <c r="I14" s="46"/>
      <c r="J14" s="47"/>
      <c r="L14" s="46"/>
      <c r="M14" s="7"/>
      <c r="N14" s="47"/>
    </row>
    <row r="15" spans="1:22" x14ac:dyDescent="0.25">
      <c r="A15" s="26" t="s">
        <v>27</v>
      </c>
      <c r="C15" s="41"/>
      <c r="E15" s="48"/>
      <c r="F15" s="49"/>
      <c r="H15" s="41"/>
      <c r="I15" s="48"/>
      <c r="J15" s="49"/>
      <c r="L15" s="62"/>
      <c r="M15" s="26"/>
      <c r="N15" s="63"/>
    </row>
    <row r="16" spans="1:22" x14ac:dyDescent="0.25">
      <c r="A16" s="28" t="s">
        <v>28</v>
      </c>
      <c r="C16" s="42"/>
      <c r="E16" s="50"/>
      <c r="F16" s="51"/>
      <c r="H16" s="42"/>
      <c r="I16" s="50"/>
      <c r="J16" s="51"/>
      <c r="L16" s="64"/>
      <c r="M16" s="65"/>
      <c r="N16" s="66"/>
    </row>
    <row r="17" spans="1:15" ht="15.75" thickBot="1" x14ac:dyDescent="0.3">
      <c r="A17" s="31" t="s">
        <v>26</v>
      </c>
      <c r="C17" s="43"/>
      <c r="E17" s="52"/>
      <c r="F17" s="53"/>
      <c r="H17" s="43"/>
      <c r="I17" s="52"/>
      <c r="J17" s="53"/>
      <c r="L17" s="67"/>
      <c r="M17" s="31"/>
      <c r="N17" s="68"/>
    </row>
    <row r="18" spans="1:15" x14ac:dyDescent="0.25">
      <c r="A18" s="7" t="s">
        <v>29</v>
      </c>
      <c r="C18" s="8">
        <v>43723</v>
      </c>
      <c r="E18" s="8">
        <v>43723</v>
      </c>
      <c r="F18" s="8">
        <v>43723</v>
      </c>
      <c r="H18" s="8" t="s">
        <v>30</v>
      </c>
      <c r="I18" s="8">
        <v>43806</v>
      </c>
      <c r="J18" s="8" t="s">
        <v>31</v>
      </c>
      <c r="L18" s="12" t="s">
        <v>32</v>
      </c>
      <c r="M18" s="12" t="s">
        <v>33</v>
      </c>
      <c r="N18" s="12" t="s">
        <v>34</v>
      </c>
    </row>
    <row r="22" spans="1:15" x14ac:dyDescent="0.25">
      <c r="C22" s="9" t="s">
        <v>35</v>
      </c>
      <c r="H22" s="9" t="s">
        <v>36</v>
      </c>
    </row>
    <row r="24" spans="1:15" ht="15.75" thickBot="1" x14ac:dyDescent="0.3"/>
    <row r="25" spans="1:15" x14ac:dyDescent="0.25">
      <c r="A25" s="3" t="s">
        <v>5</v>
      </c>
      <c r="C25" s="44" t="s">
        <v>37</v>
      </c>
      <c r="D25" s="54" t="s">
        <v>37</v>
      </c>
      <c r="E25" s="54" t="s">
        <v>37</v>
      </c>
      <c r="F25" s="45" t="s">
        <v>37</v>
      </c>
      <c r="H25" s="44" t="s">
        <v>7</v>
      </c>
      <c r="I25" s="54" t="s">
        <v>7</v>
      </c>
      <c r="J25" s="54" t="s">
        <v>7</v>
      </c>
      <c r="K25" s="54" t="s">
        <v>7</v>
      </c>
      <c r="L25" s="44" t="s">
        <v>7</v>
      </c>
      <c r="M25" s="54" t="s">
        <v>7</v>
      </c>
      <c r="N25" s="54" t="s">
        <v>7</v>
      </c>
      <c r="O25" s="45" t="s">
        <v>7</v>
      </c>
    </row>
    <row r="26" spans="1:15" x14ac:dyDescent="0.25">
      <c r="A26" s="3" t="s">
        <v>9</v>
      </c>
      <c r="C26" s="46" t="s">
        <v>38</v>
      </c>
      <c r="D26" s="7" t="s">
        <v>38</v>
      </c>
      <c r="E26" s="7" t="s">
        <v>38</v>
      </c>
      <c r="F26" s="47" t="s">
        <v>38</v>
      </c>
      <c r="H26" s="46" t="s">
        <v>39</v>
      </c>
      <c r="I26" s="7" t="s">
        <v>39</v>
      </c>
      <c r="J26" s="7" t="s">
        <v>39</v>
      </c>
      <c r="K26" s="7" t="s">
        <v>39</v>
      </c>
      <c r="L26" s="46" t="s">
        <v>39</v>
      </c>
      <c r="M26" s="7" t="s">
        <v>39</v>
      </c>
      <c r="N26" s="7" t="s">
        <v>39</v>
      </c>
      <c r="O26" s="47" t="s">
        <v>39</v>
      </c>
    </row>
    <row r="27" spans="1:15" x14ac:dyDescent="0.25">
      <c r="A27" s="3" t="s">
        <v>15</v>
      </c>
      <c r="C27" s="46" t="s">
        <v>16</v>
      </c>
      <c r="D27" s="7" t="s">
        <v>16</v>
      </c>
      <c r="E27" s="7" t="s">
        <v>16</v>
      </c>
      <c r="F27" s="47" t="s">
        <v>16</v>
      </c>
      <c r="H27" s="46" t="s">
        <v>16</v>
      </c>
      <c r="I27" s="7" t="s">
        <v>16</v>
      </c>
      <c r="J27" s="7" t="s">
        <v>16</v>
      </c>
      <c r="K27" s="7" t="s">
        <v>16</v>
      </c>
      <c r="L27" s="46" t="s">
        <v>16</v>
      </c>
      <c r="M27" s="7" t="s">
        <v>16</v>
      </c>
      <c r="N27" s="7" t="s">
        <v>16</v>
      </c>
      <c r="O27" s="47" t="s">
        <v>16</v>
      </c>
    </row>
    <row r="28" spans="1:15" s="69" customFormat="1" x14ac:dyDescent="0.25">
      <c r="A28" s="23" t="s">
        <v>17</v>
      </c>
      <c r="C28" s="71" t="s">
        <v>40</v>
      </c>
      <c r="D28" s="74" t="s">
        <v>40</v>
      </c>
      <c r="E28" s="76" t="s">
        <v>40</v>
      </c>
      <c r="F28" s="72" t="s">
        <v>40</v>
      </c>
      <c r="H28" s="71"/>
      <c r="I28" s="76"/>
      <c r="J28" s="76"/>
      <c r="K28" s="74"/>
      <c r="L28" s="73"/>
      <c r="M28" s="74"/>
      <c r="N28" s="74"/>
      <c r="O28" s="75"/>
    </row>
    <row r="29" spans="1:15" x14ac:dyDescent="0.25">
      <c r="A29" s="3" t="s">
        <v>21</v>
      </c>
      <c r="C29" s="46" t="s">
        <v>24</v>
      </c>
      <c r="D29" s="7" t="s">
        <v>41</v>
      </c>
      <c r="E29" s="7" t="s">
        <v>24</v>
      </c>
      <c r="F29" s="47" t="s">
        <v>41</v>
      </c>
      <c r="H29" s="46" t="s">
        <v>42</v>
      </c>
      <c r="I29" s="7" t="s">
        <v>24</v>
      </c>
      <c r="J29" s="7" t="s">
        <v>24</v>
      </c>
      <c r="K29" s="7" t="s">
        <v>24</v>
      </c>
      <c r="L29" s="46" t="s">
        <v>42</v>
      </c>
      <c r="M29" s="7" t="s">
        <v>24</v>
      </c>
      <c r="N29" s="7" t="s">
        <v>24</v>
      </c>
      <c r="O29" s="47" t="s">
        <v>24</v>
      </c>
    </row>
    <row r="30" spans="1:15" x14ac:dyDescent="0.25">
      <c r="A30" s="3" t="s">
        <v>25</v>
      </c>
      <c r="C30" s="46"/>
      <c r="D30" s="7"/>
      <c r="E30" s="7"/>
      <c r="F30" s="47"/>
      <c r="H30" s="46">
        <v>1</v>
      </c>
      <c r="I30" s="7">
        <v>1</v>
      </c>
      <c r="J30" s="7">
        <v>1</v>
      </c>
      <c r="K30" s="7">
        <v>1</v>
      </c>
      <c r="L30" s="46">
        <v>2</v>
      </c>
      <c r="M30" s="7">
        <v>2</v>
      </c>
      <c r="N30" s="7">
        <v>2</v>
      </c>
      <c r="O30" s="47">
        <v>2</v>
      </c>
    </row>
    <row r="31" spans="1:15" x14ac:dyDescent="0.25">
      <c r="A31" s="3" t="s">
        <v>26</v>
      </c>
      <c r="C31" s="46" t="s">
        <v>43</v>
      </c>
      <c r="D31" s="7" t="s">
        <v>43</v>
      </c>
      <c r="E31" s="7" t="s">
        <v>44</v>
      </c>
      <c r="F31" s="47" t="s">
        <v>44</v>
      </c>
      <c r="H31" s="46"/>
      <c r="I31" s="7" t="s">
        <v>43</v>
      </c>
      <c r="J31" s="7" t="s">
        <v>45</v>
      </c>
      <c r="K31" s="7" t="s">
        <v>46</v>
      </c>
      <c r="L31" s="46"/>
      <c r="M31" s="7" t="s">
        <v>43</v>
      </c>
      <c r="N31" s="7" t="s">
        <v>45</v>
      </c>
      <c r="O31" s="47" t="s">
        <v>46</v>
      </c>
    </row>
    <row r="32" spans="1:15" x14ac:dyDescent="0.25">
      <c r="A32" s="26" t="s">
        <v>27</v>
      </c>
      <c r="C32" s="55"/>
      <c r="D32" s="35"/>
      <c r="E32" s="35"/>
      <c r="F32" s="56"/>
      <c r="H32" s="55"/>
      <c r="I32" s="35"/>
      <c r="J32" s="35"/>
      <c r="K32" s="35"/>
      <c r="L32" s="55"/>
      <c r="M32" s="35"/>
      <c r="N32" s="35"/>
      <c r="O32" s="56"/>
    </row>
    <row r="33" spans="1:15" x14ac:dyDescent="0.25">
      <c r="A33" s="28" t="s">
        <v>28</v>
      </c>
      <c r="C33" s="55"/>
      <c r="D33" s="35"/>
      <c r="E33" s="35"/>
      <c r="F33" s="56"/>
      <c r="H33" s="55"/>
      <c r="I33" s="35"/>
      <c r="J33" s="35"/>
      <c r="K33" s="35"/>
      <c r="L33" s="55"/>
      <c r="M33" s="35"/>
      <c r="N33" s="35"/>
      <c r="O33" s="56"/>
    </row>
    <row r="34" spans="1:15" ht="15.75" thickBot="1" x14ac:dyDescent="0.3">
      <c r="A34" s="31" t="s">
        <v>26</v>
      </c>
      <c r="C34" s="57"/>
      <c r="D34" s="33"/>
      <c r="E34" s="33"/>
      <c r="F34" s="58"/>
      <c r="H34" s="57"/>
      <c r="I34" s="33"/>
      <c r="J34" s="33"/>
      <c r="K34" s="33"/>
      <c r="L34" s="57"/>
      <c r="M34" s="33"/>
      <c r="N34" s="33"/>
      <c r="O34" s="58"/>
    </row>
    <row r="35" spans="1:15" x14ac:dyDescent="0.25">
      <c r="A35" s="7" t="s">
        <v>29</v>
      </c>
      <c r="C35" s="4" t="s">
        <v>47</v>
      </c>
      <c r="D35" s="4"/>
      <c r="E35" s="4" t="s">
        <v>48</v>
      </c>
      <c r="F35" s="4"/>
      <c r="H35" s="4" t="s">
        <v>49</v>
      </c>
      <c r="I35" s="4" t="s">
        <v>50</v>
      </c>
      <c r="J35" s="4" t="s">
        <v>51</v>
      </c>
      <c r="K35" s="4" t="s">
        <v>52</v>
      </c>
      <c r="L35" s="4" t="s">
        <v>53</v>
      </c>
      <c r="M35" s="4" t="s">
        <v>54</v>
      </c>
      <c r="N35" s="4" t="s">
        <v>55</v>
      </c>
      <c r="O35" s="4" t="s">
        <v>56</v>
      </c>
    </row>
    <row r="38" spans="1:15" x14ac:dyDescent="0.25">
      <c r="C38" s="9" t="s">
        <v>57</v>
      </c>
      <c r="F38" s="9" t="s">
        <v>238</v>
      </c>
      <c r="K38" s="9" t="s">
        <v>240</v>
      </c>
    </row>
    <row r="39" spans="1:15" ht="30" x14ac:dyDescent="0.25">
      <c r="F39" t="s">
        <v>5</v>
      </c>
      <c r="G39" t="s">
        <v>311</v>
      </c>
      <c r="H39" t="s">
        <v>15</v>
      </c>
      <c r="I39" s="85" t="s">
        <v>347</v>
      </c>
      <c r="J39" t="s">
        <v>313</v>
      </c>
      <c r="K39" s="86" t="s">
        <v>310</v>
      </c>
      <c r="L39" s="86" t="s">
        <v>311</v>
      </c>
      <c r="M39" s="86" t="s">
        <v>15</v>
      </c>
      <c r="N39" s="87" t="s">
        <v>312</v>
      </c>
      <c r="O39" s="86" t="s">
        <v>313</v>
      </c>
    </row>
    <row r="40" spans="1:15" x14ac:dyDescent="0.25">
      <c r="K40" t="s">
        <v>174</v>
      </c>
      <c r="L40" t="s">
        <v>314</v>
      </c>
      <c r="M40" t="s">
        <v>315</v>
      </c>
      <c r="N40" t="s">
        <v>316</v>
      </c>
      <c r="O40" t="s">
        <v>317</v>
      </c>
    </row>
    <row r="42" spans="1:15" x14ac:dyDescent="0.25">
      <c r="A42" s="3" t="s">
        <v>5</v>
      </c>
      <c r="C42" s="3" t="s">
        <v>37</v>
      </c>
      <c r="D42" s="3" t="s">
        <v>37</v>
      </c>
      <c r="F42" s="3" t="s">
        <v>37</v>
      </c>
      <c r="G42" s="3" t="s">
        <v>37</v>
      </c>
      <c r="H42" s="3" t="s">
        <v>37</v>
      </c>
      <c r="I42" s="3" t="s">
        <v>37</v>
      </c>
      <c r="K42" s="3" t="s">
        <v>37</v>
      </c>
      <c r="L42" s="3" t="s">
        <v>37</v>
      </c>
      <c r="M42" s="3" t="s">
        <v>37</v>
      </c>
      <c r="N42" s="3" t="s">
        <v>37</v>
      </c>
      <c r="O42" s="3" t="s">
        <v>37</v>
      </c>
    </row>
    <row r="43" spans="1:15" x14ac:dyDescent="0.25">
      <c r="A43" s="3" t="s">
        <v>9</v>
      </c>
      <c r="C43" s="3" t="s">
        <v>58</v>
      </c>
      <c r="D43" s="3" t="s">
        <v>58</v>
      </c>
      <c r="F43" s="3" t="s">
        <v>239</v>
      </c>
      <c r="G43" s="3" t="s">
        <v>239</v>
      </c>
      <c r="H43" s="3" t="s">
        <v>239</v>
      </c>
      <c r="I43" s="3" t="s">
        <v>239</v>
      </c>
      <c r="K43" s="9" t="s">
        <v>13</v>
      </c>
      <c r="L43" s="9" t="s">
        <v>13</v>
      </c>
      <c r="M43" s="9" t="s">
        <v>13</v>
      </c>
      <c r="N43" s="9" t="s">
        <v>13</v>
      </c>
      <c r="O43" s="9" t="s">
        <v>13</v>
      </c>
    </row>
    <row r="44" spans="1:15" x14ac:dyDescent="0.25">
      <c r="A44" s="3" t="s">
        <v>15</v>
      </c>
      <c r="C44" s="3" t="s">
        <v>59</v>
      </c>
      <c r="D44" s="3" t="s">
        <v>60</v>
      </c>
      <c r="F44" s="3" t="s">
        <v>59</v>
      </c>
      <c r="G44" s="3" t="s">
        <v>60</v>
      </c>
      <c r="H44" s="3" t="s">
        <v>59</v>
      </c>
      <c r="I44" s="3" t="s">
        <v>60</v>
      </c>
      <c r="K44" s="9" t="s">
        <v>16</v>
      </c>
      <c r="L44" s="9" t="s">
        <v>16</v>
      </c>
      <c r="M44" s="9" t="s">
        <v>16</v>
      </c>
      <c r="N44" s="9" t="s">
        <v>16</v>
      </c>
      <c r="O44" s="9" t="s">
        <v>16</v>
      </c>
    </row>
    <row r="45" spans="1:15" x14ac:dyDescent="0.25">
      <c r="A45" s="23" t="s">
        <v>17</v>
      </c>
      <c r="B45" s="23"/>
      <c r="C45" s="23"/>
      <c r="D45" s="23"/>
      <c r="F45" s="23"/>
      <c r="G45" s="23"/>
      <c r="H45" s="23"/>
      <c r="I45" s="23"/>
    </row>
    <row r="46" spans="1:15" x14ac:dyDescent="0.25">
      <c r="A46" s="3" t="s">
        <v>21</v>
      </c>
      <c r="C46" s="3" t="s">
        <v>7</v>
      </c>
      <c r="D46" s="3" t="s">
        <v>7</v>
      </c>
      <c r="F46" s="3" t="s">
        <v>7</v>
      </c>
      <c r="G46" s="3" t="s">
        <v>7</v>
      </c>
      <c r="H46" s="3" t="s">
        <v>7</v>
      </c>
      <c r="I46" s="3" t="s">
        <v>7</v>
      </c>
      <c r="K46" s="9" t="s">
        <v>24</v>
      </c>
      <c r="L46" s="9" t="s">
        <v>23</v>
      </c>
      <c r="M46" s="84" t="s">
        <v>299</v>
      </c>
      <c r="N46" s="84" t="s">
        <v>299</v>
      </c>
      <c r="O46" s="9" t="s">
        <v>24</v>
      </c>
    </row>
    <row r="47" spans="1:15" x14ac:dyDescent="0.25">
      <c r="A47" s="3" t="s">
        <v>25</v>
      </c>
      <c r="D47" s="3"/>
      <c r="F47" s="9">
        <v>1</v>
      </c>
      <c r="G47" s="3">
        <v>1</v>
      </c>
      <c r="H47" s="9">
        <v>2</v>
      </c>
      <c r="I47" s="3">
        <v>2</v>
      </c>
      <c r="K47" s="9">
        <v>1</v>
      </c>
      <c r="L47" s="9">
        <v>1</v>
      </c>
      <c r="M47" s="84">
        <v>1</v>
      </c>
      <c r="N47" s="84">
        <v>1</v>
      </c>
      <c r="O47" s="9">
        <v>2</v>
      </c>
    </row>
    <row r="48" spans="1:15" x14ac:dyDescent="0.25">
      <c r="A48" s="3" t="s">
        <v>26</v>
      </c>
      <c r="C48" s="3"/>
      <c r="D48" s="3"/>
      <c r="F48" s="3"/>
      <c r="G48" s="3"/>
      <c r="H48" s="3"/>
      <c r="I48" s="3"/>
      <c r="K48" s="3"/>
      <c r="L48" s="3"/>
      <c r="M48" s="3"/>
      <c r="N48" s="3"/>
      <c r="O48" s="3"/>
    </row>
    <row r="49" spans="1:15" x14ac:dyDescent="0.25">
      <c r="A49" s="26" t="s">
        <v>27</v>
      </c>
      <c r="C49" s="27"/>
      <c r="D49" s="27"/>
      <c r="F49" s="27"/>
      <c r="G49" s="27"/>
      <c r="H49" s="27"/>
      <c r="I49" s="27"/>
      <c r="K49" s="27"/>
      <c r="L49" s="27"/>
      <c r="M49" s="27"/>
      <c r="N49" s="27"/>
      <c r="O49" s="27"/>
    </row>
    <row r="50" spans="1:15" x14ac:dyDescent="0.25">
      <c r="A50" s="28" t="s">
        <v>28</v>
      </c>
      <c r="C50" s="30"/>
      <c r="D50" s="30"/>
      <c r="F50" s="30"/>
      <c r="G50" s="30"/>
      <c r="H50" s="30"/>
      <c r="I50" s="30"/>
      <c r="K50" s="30"/>
      <c r="L50" s="30"/>
      <c r="M50" s="30"/>
      <c r="N50" s="30"/>
      <c r="O50" s="30"/>
    </row>
    <row r="51" spans="1:15" ht="15.75" thickBot="1" x14ac:dyDescent="0.3">
      <c r="A51" s="31" t="s">
        <v>26</v>
      </c>
      <c r="C51" s="33"/>
      <c r="D51" s="33"/>
      <c r="F51" s="33"/>
      <c r="G51" s="33"/>
      <c r="H51" s="33"/>
      <c r="I51" s="33"/>
      <c r="K51" s="33"/>
      <c r="L51" s="33"/>
      <c r="M51" s="33"/>
      <c r="N51" s="33"/>
      <c r="O51" s="33"/>
    </row>
    <row r="52" spans="1:15" x14ac:dyDescent="0.25">
      <c r="A52" s="7" t="s">
        <v>29</v>
      </c>
      <c r="C52" s="4" t="s">
        <v>61</v>
      </c>
      <c r="D52" s="3">
        <v>12</v>
      </c>
      <c r="F52" s="4" t="s">
        <v>61</v>
      </c>
      <c r="G52" s="83">
        <v>12</v>
      </c>
      <c r="H52" s="4" t="s">
        <v>61</v>
      </c>
      <c r="I52" s="83">
        <v>12</v>
      </c>
      <c r="K52" t="s">
        <v>300</v>
      </c>
      <c r="L52" t="s">
        <v>303</v>
      </c>
      <c r="M52" s="82" t="s">
        <v>301</v>
      </c>
      <c r="N52" s="82" t="s">
        <v>302</v>
      </c>
      <c r="O52" t="s">
        <v>304</v>
      </c>
    </row>
    <row r="53" spans="1:15" x14ac:dyDescent="0.25">
      <c r="C53" t="s">
        <v>62</v>
      </c>
      <c r="D53">
        <v>13</v>
      </c>
      <c r="F53" t="s">
        <v>62</v>
      </c>
      <c r="G53">
        <v>13</v>
      </c>
      <c r="H53" t="s">
        <v>62</v>
      </c>
      <c r="I53">
        <v>13</v>
      </c>
      <c r="K53" t="s">
        <v>305</v>
      </c>
      <c r="L53" t="s">
        <v>306</v>
      </c>
      <c r="M53" t="s">
        <v>307</v>
      </c>
      <c r="N53" t="s">
        <v>308</v>
      </c>
      <c r="O53" t="s">
        <v>309</v>
      </c>
    </row>
    <row r="56" spans="1:15" x14ac:dyDescent="0.25">
      <c r="C56" s="9" t="s">
        <v>488</v>
      </c>
      <c r="F56" s="9" t="s">
        <v>489</v>
      </c>
    </row>
    <row r="57" spans="1:15" ht="30" x14ac:dyDescent="0.25">
      <c r="A57" s="3" t="s">
        <v>5</v>
      </c>
      <c r="C57" s="150" t="s">
        <v>486</v>
      </c>
      <c r="D57" s="150" t="s">
        <v>486</v>
      </c>
      <c r="F57" s="103" t="s">
        <v>37</v>
      </c>
      <c r="G57" s="103" t="s">
        <v>37</v>
      </c>
    </row>
    <row r="58" spans="1:15" ht="17.25" customHeight="1" x14ac:dyDescent="0.25">
      <c r="A58" s="3" t="s">
        <v>9</v>
      </c>
      <c r="C58" s="100" t="s">
        <v>24</v>
      </c>
      <c r="D58" s="100" t="s">
        <v>485</v>
      </c>
      <c r="F58" s="100" t="s">
        <v>479</v>
      </c>
      <c r="G58" s="100" t="s">
        <v>479</v>
      </c>
    </row>
    <row r="59" spans="1:15" x14ac:dyDescent="0.25">
      <c r="A59" s="3" t="s">
        <v>15</v>
      </c>
      <c r="C59" s="100" t="s">
        <v>482</v>
      </c>
      <c r="D59" s="100" t="s">
        <v>482</v>
      </c>
      <c r="F59" s="100" t="s">
        <v>59</v>
      </c>
      <c r="G59" s="100" t="s">
        <v>480</v>
      </c>
    </row>
    <row r="60" spans="1:15" x14ac:dyDescent="0.25">
      <c r="A60" s="23" t="s">
        <v>17</v>
      </c>
      <c r="C60" s="100"/>
      <c r="F60" s="100" t="s">
        <v>173</v>
      </c>
      <c r="G60" s="100" t="s">
        <v>173</v>
      </c>
    </row>
    <row r="61" spans="1:15" x14ac:dyDescent="0.25">
      <c r="A61" s="3" t="s">
        <v>21</v>
      </c>
      <c r="C61" s="100"/>
      <c r="D61" s="100" t="s">
        <v>211</v>
      </c>
      <c r="F61" s="100"/>
      <c r="G61" s="100">
        <v>13</v>
      </c>
    </row>
    <row r="62" spans="1:15" x14ac:dyDescent="0.25">
      <c r="A62" s="3" t="s">
        <v>25</v>
      </c>
      <c r="C62" s="100"/>
      <c r="D62" s="100"/>
      <c r="F62" s="100"/>
      <c r="G62" s="100"/>
    </row>
    <row r="63" spans="1:15" x14ac:dyDescent="0.25">
      <c r="A63" s="3" t="s">
        <v>26</v>
      </c>
      <c r="C63" s="105"/>
      <c r="D63" s="105"/>
      <c r="F63" s="105"/>
      <c r="G63" s="105"/>
    </row>
    <row r="64" spans="1:15" x14ac:dyDescent="0.25">
      <c r="A64" s="26" t="s">
        <v>27</v>
      </c>
      <c r="C64" s="108"/>
      <c r="D64" s="108"/>
      <c r="F64" s="108"/>
      <c r="G64" s="108"/>
    </row>
    <row r="65" spans="1:7" ht="15.75" thickBot="1" x14ac:dyDescent="0.3">
      <c r="A65" s="28" t="s">
        <v>28</v>
      </c>
      <c r="C65" s="111"/>
      <c r="D65" s="111"/>
      <c r="F65" s="111"/>
      <c r="G65" s="111"/>
    </row>
    <row r="66" spans="1:7" ht="15.75" thickBot="1" x14ac:dyDescent="0.3">
      <c r="A66" s="31" t="s">
        <v>26</v>
      </c>
      <c r="C66" s="114"/>
      <c r="D66" s="114"/>
      <c r="F66" s="114"/>
      <c r="G66" s="114"/>
    </row>
    <row r="67" spans="1:7" ht="60" x14ac:dyDescent="0.25">
      <c r="A67" s="7" t="s">
        <v>29</v>
      </c>
      <c r="C67" s="151" t="s">
        <v>483</v>
      </c>
      <c r="D67" s="151" t="s">
        <v>487</v>
      </c>
      <c r="F67" s="118" t="s">
        <v>478</v>
      </c>
      <c r="G67" s="100">
        <v>13</v>
      </c>
    </row>
  </sheetData>
  <hyperlinks>
    <hyperlink ref="C67" r:id="rId1"/>
  </hyperlinks>
  <pageMargins left="0.7" right="0.7" top="0.75" bottom="0.75" header="0.3" footer="0.3"/>
  <pageSetup paperSize="9" orientation="portrait" horizontalDpi="300" verticalDpi="300"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4"/>
  <sheetViews>
    <sheetView showGridLines="0" workbookViewId="0">
      <selection activeCell="D4" sqref="D4"/>
    </sheetView>
  </sheetViews>
  <sheetFormatPr baseColWidth="10" defaultColWidth="9.140625" defaultRowHeight="15" x14ac:dyDescent="0.25"/>
  <cols>
    <col min="1" max="1" width="31.140625" bestFit="1" customWidth="1"/>
    <col min="2" max="2" width="14.42578125" customWidth="1"/>
    <col min="6" max="6" width="14.5703125" customWidth="1"/>
  </cols>
  <sheetData>
    <row r="1" spans="1:4" x14ac:dyDescent="0.25">
      <c r="A1" s="9"/>
    </row>
    <row r="2" spans="1:4" s="123" customFormat="1" ht="18.75" x14ac:dyDescent="0.3">
      <c r="A2" s="122" t="s">
        <v>349</v>
      </c>
      <c r="C2" s="123" t="s">
        <v>43</v>
      </c>
      <c r="D2" s="123" t="s">
        <v>95</v>
      </c>
    </row>
    <row r="4" spans="1:4" s="125" customFormat="1" ht="27" customHeight="1" x14ac:dyDescent="0.25">
      <c r="A4" s="124" t="s">
        <v>350</v>
      </c>
      <c r="C4" s="125" t="str">
        <f>VLOOKUP(D4,MDR_Languages[],2,FALSE)</f>
        <v>en</v>
      </c>
      <c r="D4" s="125" t="s">
        <v>95</v>
      </c>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References!$A$2:$A$27</xm:f>
          </x14:formula1>
          <xm:sqref>D4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S13"/>
  <sheetViews>
    <sheetView showGridLines="0" showZeros="0" topLeftCell="BG1" zoomScale="70" zoomScaleNormal="70" workbookViewId="0">
      <selection activeCell="BP23" sqref="BP23"/>
    </sheetView>
  </sheetViews>
  <sheetFormatPr baseColWidth="10" defaultColWidth="8.7109375" defaultRowHeight="15" x14ac:dyDescent="0.25"/>
  <cols>
    <col min="1" max="1" width="17.140625" style="100" bestFit="1" customWidth="1"/>
    <col min="2" max="2" width="28.5703125" style="100" customWidth="1"/>
    <col min="3" max="13" width="28.5703125" style="100" hidden="1" customWidth="1"/>
    <col min="14" max="14" width="28.5703125" style="100" customWidth="1"/>
    <col min="15" max="27" width="28.5703125" style="100" hidden="1" customWidth="1"/>
    <col min="28" max="28" width="31.85546875" style="100" customWidth="1"/>
    <col min="29" max="39" width="31.85546875" style="100" hidden="1" customWidth="1"/>
    <col min="40" max="40" width="31.85546875" style="100" customWidth="1"/>
    <col min="41" max="53" width="31.85546875" style="100" hidden="1" customWidth="1"/>
    <col min="54" max="54" width="17.5703125" style="100" bestFit="1" customWidth="1"/>
    <col min="55" max="55" width="25.28515625" style="100" customWidth="1"/>
    <col min="56" max="56" width="30.140625" style="100" bestFit="1" customWidth="1"/>
    <col min="57" max="57" width="30.140625" style="100" customWidth="1"/>
    <col min="58" max="58" width="32.42578125" style="100" bestFit="1" customWidth="1"/>
    <col min="59" max="59" width="33.42578125" style="100" customWidth="1"/>
    <col min="60" max="60" width="30.85546875" style="117" bestFit="1" customWidth="1"/>
    <col min="61" max="61" width="31" style="117" bestFit="1" customWidth="1"/>
    <col min="62" max="67" width="31" style="117" customWidth="1"/>
    <col min="68" max="68" width="17.5703125" style="100" bestFit="1" customWidth="1"/>
    <col min="69" max="69" width="19.85546875" style="100" bestFit="1" customWidth="1"/>
    <col min="70" max="70" width="17.5703125" style="100" bestFit="1" customWidth="1"/>
    <col min="71" max="71" width="25.42578125" style="100" bestFit="1" customWidth="1"/>
    <col min="72" max="16384" width="8.7109375" style="100"/>
  </cols>
  <sheetData>
    <row r="1" spans="1:71" ht="23.25" x14ac:dyDescent="0.25">
      <c r="A1" s="94" t="s">
        <v>63</v>
      </c>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95"/>
      <c r="BD1" s="96"/>
      <c r="BE1" s="96"/>
      <c r="BF1" s="96"/>
      <c r="BG1" s="96"/>
      <c r="BH1" s="97"/>
      <c r="BI1" s="98"/>
      <c r="BJ1" s="98"/>
      <c r="BK1" s="98"/>
      <c r="BL1" s="98"/>
      <c r="BM1" s="98"/>
      <c r="BN1" s="98"/>
      <c r="BO1" s="98"/>
      <c r="BP1" s="98"/>
      <c r="BQ1" s="99"/>
      <c r="BR1" s="96"/>
    </row>
    <row r="2" spans="1:71" s="104" customFormat="1" ht="30" x14ac:dyDescent="0.25">
      <c r="A2" s="101" t="s">
        <v>5</v>
      </c>
      <c r="B2" s="101" t="s">
        <v>37</v>
      </c>
      <c r="C2" s="101" t="s">
        <v>37</v>
      </c>
      <c r="D2" s="101" t="s">
        <v>37</v>
      </c>
      <c r="E2" s="101" t="s">
        <v>37</v>
      </c>
      <c r="F2" s="101" t="s">
        <v>37</v>
      </c>
      <c r="G2" s="101" t="s">
        <v>37</v>
      </c>
      <c r="H2" s="101" t="s">
        <v>37</v>
      </c>
      <c r="I2" s="101" t="s">
        <v>37</v>
      </c>
      <c r="J2" s="101" t="s">
        <v>37</v>
      </c>
      <c r="K2" s="101" t="s">
        <v>37</v>
      </c>
      <c r="L2" s="101" t="s">
        <v>37</v>
      </c>
      <c r="M2" s="101" t="s">
        <v>37</v>
      </c>
      <c r="N2" s="101" t="s">
        <v>37</v>
      </c>
      <c r="O2" s="101" t="s">
        <v>37</v>
      </c>
      <c r="P2" s="101" t="s">
        <v>37</v>
      </c>
      <c r="Q2" s="101" t="s">
        <v>37</v>
      </c>
      <c r="R2" s="101" t="s">
        <v>37</v>
      </c>
      <c r="S2" s="101" t="s">
        <v>37</v>
      </c>
      <c r="T2" s="101" t="s">
        <v>37</v>
      </c>
      <c r="U2" s="101" t="s">
        <v>37</v>
      </c>
      <c r="V2" s="101" t="s">
        <v>37</v>
      </c>
      <c r="W2" s="101" t="s">
        <v>37</v>
      </c>
      <c r="X2" s="101" t="s">
        <v>37</v>
      </c>
      <c r="Y2" s="101" t="s">
        <v>37</v>
      </c>
      <c r="Z2" s="101" t="s">
        <v>37</v>
      </c>
      <c r="AA2" s="101" t="s">
        <v>37</v>
      </c>
      <c r="AB2" s="101" t="s">
        <v>37</v>
      </c>
      <c r="AC2" s="101" t="s">
        <v>37</v>
      </c>
      <c r="AD2" s="101" t="s">
        <v>37</v>
      </c>
      <c r="AE2" s="101" t="s">
        <v>37</v>
      </c>
      <c r="AF2" s="101" t="s">
        <v>37</v>
      </c>
      <c r="AG2" s="101" t="s">
        <v>37</v>
      </c>
      <c r="AH2" s="101" t="s">
        <v>37</v>
      </c>
      <c r="AI2" s="101" t="s">
        <v>37</v>
      </c>
      <c r="AJ2" s="101" t="s">
        <v>37</v>
      </c>
      <c r="AK2" s="101" t="s">
        <v>37</v>
      </c>
      <c r="AL2" s="101" t="s">
        <v>37</v>
      </c>
      <c r="AM2" s="101" t="s">
        <v>37</v>
      </c>
      <c r="AN2" s="101" t="s">
        <v>37</v>
      </c>
      <c r="AO2" s="101" t="s">
        <v>37</v>
      </c>
      <c r="AP2" s="101" t="s">
        <v>37</v>
      </c>
      <c r="AQ2" s="101" t="s">
        <v>37</v>
      </c>
      <c r="AR2" s="101" t="s">
        <v>37</v>
      </c>
      <c r="AS2" s="101" t="s">
        <v>37</v>
      </c>
      <c r="AT2" s="101" t="s">
        <v>37</v>
      </c>
      <c r="AU2" s="101" t="s">
        <v>37</v>
      </c>
      <c r="AV2" s="101" t="s">
        <v>37</v>
      </c>
      <c r="AW2" s="101" t="s">
        <v>37</v>
      </c>
      <c r="AX2" s="101" t="s">
        <v>37</v>
      </c>
      <c r="AY2" s="101" t="s">
        <v>37</v>
      </c>
      <c r="AZ2" s="101" t="s">
        <v>37</v>
      </c>
      <c r="BA2" s="101" t="s">
        <v>37</v>
      </c>
      <c r="BB2" s="101" t="s">
        <v>37</v>
      </c>
      <c r="BC2" s="101" t="s">
        <v>37</v>
      </c>
      <c r="BD2" s="101" t="s">
        <v>37</v>
      </c>
      <c r="BE2" s="101" t="s">
        <v>37</v>
      </c>
      <c r="BF2" s="101" t="s">
        <v>37</v>
      </c>
      <c r="BG2" s="101" t="s">
        <v>37</v>
      </c>
      <c r="BH2" s="102" t="s">
        <v>6</v>
      </c>
      <c r="BI2" s="102" t="s">
        <v>6</v>
      </c>
      <c r="BJ2" s="103" t="s">
        <v>37</v>
      </c>
      <c r="BK2" s="103" t="s">
        <v>37</v>
      </c>
      <c r="BL2" s="150" t="s">
        <v>665</v>
      </c>
      <c r="BM2" s="150" t="s">
        <v>486</v>
      </c>
      <c r="BN2" s="150" t="s">
        <v>665</v>
      </c>
      <c r="BO2" s="150" t="s">
        <v>494</v>
      </c>
      <c r="BP2" s="102" t="s">
        <v>37</v>
      </c>
      <c r="BQ2" s="103" t="s">
        <v>37</v>
      </c>
      <c r="BR2" s="103" t="s">
        <v>37</v>
      </c>
      <c r="BS2" s="103" t="s">
        <v>37</v>
      </c>
    </row>
    <row r="3" spans="1:71" x14ac:dyDescent="0.25">
      <c r="A3" s="101" t="s">
        <v>9</v>
      </c>
      <c r="B3" s="101" t="s">
        <v>38</v>
      </c>
      <c r="C3" s="101" t="s">
        <v>38</v>
      </c>
      <c r="D3" s="101" t="s">
        <v>38</v>
      </c>
      <c r="E3" s="101" t="s">
        <v>38</v>
      </c>
      <c r="F3" s="101" t="s">
        <v>38</v>
      </c>
      <c r="G3" s="101" t="s">
        <v>38</v>
      </c>
      <c r="H3" s="101" t="s">
        <v>38</v>
      </c>
      <c r="I3" s="101" t="s">
        <v>38</v>
      </c>
      <c r="J3" s="101" t="s">
        <v>38</v>
      </c>
      <c r="K3" s="101" t="s">
        <v>38</v>
      </c>
      <c r="L3" s="101" t="s">
        <v>38</v>
      </c>
      <c r="M3" s="101" t="s">
        <v>38</v>
      </c>
      <c r="N3" s="101" t="s">
        <v>38</v>
      </c>
      <c r="O3" s="101" t="s">
        <v>38</v>
      </c>
      <c r="P3" s="101" t="s">
        <v>38</v>
      </c>
      <c r="Q3" s="101" t="s">
        <v>38</v>
      </c>
      <c r="R3" s="101" t="s">
        <v>38</v>
      </c>
      <c r="S3" s="101" t="s">
        <v>38</v>
      </c>
      <c r="T3" s="101" t="s">
        <v>38</v>
      </c>
      <c r="U3" s="101" t="s">
        <v>38</v>
      </c>
      <c r="V3" s="101" t="s">
        <v>38</v>
      </c>
      <c r="W3" s="101" t="s">
        <v>38</v>
      </c>
      <c r="X3" s="101" t="s">
        <v>38</v>
      </c>
      <c r="Y3" s="101" t="s">
        <v>38</v>
      </c>
      <c r="Z3" s="101" t="s">
        <v>38</v>
      </c>
      <c r="AA3" s="101" t="s">
        <v>38</v>
      </c>
      <c r="AB3" s="101" t="s">
        <v>64</v>
      </c>
      <c r="AC3" s="101" t="s">
        <v>64</v>
      </c>
      <c r="AD3" s="101" t="s">
        <v>64</v>
      </c>
      <c r="AE3" s="101" t="s">
        <v>64</v>
      </c>
      <c r="AF3" s="101" t="s">
        <v>64</v>
      </c>
      <c r="AG3" s="101" t="s">
        <v>64</v>
      </c>
      <c r="AH3" s="101" t="s">
        <v>64</v>
      </c>
      <c r="AI3" s="101" t="s">
        <v>64</v>
      </c>
      <c r="AJ3" s="101" t="s">
        <v>64</v>
      </c>
      <c r="AK3" s="101" t="s">
        <v>64</v>
      </c>
      <c r="AL3" s="101" t="s">
        <v>64</v>
      </c>
      <c r="AM3" s="101" t="s">
        <v>64</v>
      </c>
      <c r="AN3" s="101" t="s">
        <v>64</v>
      </c>
      <c r="AO3" s="101" t="s">
        <v>64</v>
      </c>
      <c r="AP3" s="101" t="s">
        <v>64</v>
      </c>
      <c r="AQ3" s="101" t="s">
        <v>64</v>
      </c>
      <c r="AR3" s="101" t="s">
        <v>64</v>
      </c>
      <c r="AS3" s="101" t="s">
        <v>64</v>
      </c>
      <c r="AT3" s="101" t="s">
        <v>64</v>
      </c>
      <c r="AU3" s="101" t="s">
        <v>64</v>
      </c>
      <c r="AV3" s="101" t="s">
        <v>64</v>
      </c>
      <c r="AW3" s="101" t="s">
        <v>64</v>
      </c>
      <c r="AX3" s="101" t="s">
        <v>64</v>
      </c>
      <c r="AY3" s="101" t="s">
        <v>64</v>
      </c>
      <c r="AZ3" s="101" t="s">
        <v>64</v>
      </c>
      <c r="BA3" s="101" t="s">
        <v>64</v>
      </c>
      <c r="BB3" s="101" t="s">
        <v>351</v>
      </c>
      <c r="BC3" s="101" t="s">
        <v>351</v>
      </c>
      <c r="BD3" s="101" t="s">
        <v>65</v>
      </c>
      <c r="BE3" s="101" t="s">
        <v>65</v>
      </c>
      <c r="BF3" s="101" t="s">
        <v>58</v>
      </c>
      <c r="BG3" s="101" t="s">
        <v>58</v>
      </c>
      <c r="BH3" s="102" t="s">
        <v>10</v>
      </c>
      <c r="BI3" s="102" t="s">
        <v>66</v>
      </c>
      <c r="BJ3" s="100" t="s">
        <v>479</v>
      </c>
      <c r="BK3" s="100" t="s">
        <v>479</v>
      </c>
      <c r="BL3" s="117" t="s">
        <v>667</v>
      </c>
      <c r="BM3" s="100" t="s">
        <v>485</v>
      </c>
      <c r="BN3" s="117" t="s">
        <v>666</v>
      </c>
      <c r="BO3" s="100" t="s">
        <v>485</v>
      </c>
      <c r="BP3" s="101" t="s">
        <v>239</v>
      </c>
      <c r="BQ3" s="101" t="s">
        <v>360</v>
      </c>
      <c r="BR3" s="101" t="s">
        <v>366</v>
      </c>
      <c r="BS3" s="101" t="s">
        <v>366</v>
      </c>
    </row>
    <row r="4" spans="1:71" x14ac:dyDescent="0.25">
      <c r="A4" s="101" t="s">
        <v>15</v>
      </c>
      <c r="B4" s="101" t="s">
        <v>16</v>
      </c>
      <c r="C4" s="101" t="s">
        <v>16</v>
      </c>
      <c r="D4" s="101" t="s">
        <v>16</v>
      </c>
      <c r="E4" s="101" t="s">
        <v>16</v>
      </c>
      <c r="F4" s="101" t="s">
        <v>16</v>
      </c>
      <c r="G4" s="101" t="s">
        <v>16</v>
      </c>
      <c r="H4" s="101" t="s">
        <v>16</v>
      </c>
      <c r="I4" s="101" t="s">
        <v>16</v>
      </c>
      <c r="J4" s="101" t="s">
        <v>16</v>
      </c>
      <c r="K4" s="101" t="s">
        <v>16</v>
      </c>
      <c r="L4" s="101" t="s">
        <v>16</v>
      </c>
      <c r="M4" s="101" t="s">
        <v>16</v>
      </c>
      <c r="N4" s="101" t="s">
        <v>16</v>
      </c>
      <c r="O4" s="101" t="s">
        <v>16</v>
      </c>
      <c r="P4" s="101" t="s">
        <v>16</v>
      </c>
      <c r="Q4" s="101" t="s">
        <v>16</v>
      </c>
      <c r="R4" s="101" t="s">
        <v>16</v>
      </c>
      <c r="S4" s="101" t="s">
        <v>16</v>
      </c>
      <c r="T4" s="101" t="s">
        <v>16</v>
      </c>
      <c r="U4" s="101" t="s">
        <v>16</v>
      </c>
      <c r="V4" s="101" t="s">
        <v>16</v>
      </c>
      <c r="W4" s="101" t="s">
        <v>16</v>
      </c>
      <c r="X4" s="101" t="s">
        <v>16</v>
      </c>
      <c r="Y4" s="101" t="s">
        <v>16</v>
      </c>
      <c r="Z4" s="101" t="s">
        <v>16</v>
      </c>
      <c r="AA4" s="101" t="s">
        <v>16</v>
      </c>
      <c r="AB4" s="101" t="s">
        <v>16</v>
      </c>
      <c r="AC4" s="101" t="s">
        <v>16</v>
      </c>
      <c r="AD4" s="101" t="s">
        <v>16</v>
      </c>
      <c r="AE4" s="101" t="s">
        <v>16</v>
      </c>
      <c r="AF4" s="101" t="s">
        <v>16</v>
      </c>
      <c r="AG4" s="101" t="s">
        <v>16</v>
      </c>
      <c r="AH4" s="101" t="s">
        <v>16</v>
      </c>
      <c r="AI4" s="101" t="s">
        <v>16</v>
      </c>
      <c r="AJ4" s="101" t="s">
        <v>16</v>
      </c>
      <c r="AK4" s="101" t="s">
        <v>16</v>
      </c>
      <c r="AL4" s="101" t="s">
        <v>16</v>
      </c>
      <c r="AM4" s="101" t="s">
        <v>16</v>
      </c>
      <c r="AN4" s="101" t="s">
        <v>16</v>
      </c>
      <c r="AO4" s="101" t="s">
        <v>16</v>
      </c>
      <c r="AP4" s="101" t="s">
        <v>16</v>
      </c>
      <c r="AQ4" s="101" t="s">
        <v>16</v>
      </c>
      <c r="AR4" s="101" t="s">
        <v>16</v>
      </c>
      <c r="AS4" s="101" t="s">
        <v>16</v>
      </c>
      <c r="AT4" s="101" t="s">
        <v>16</v>
      </c>
      <c r="AU4" s="101" t="s">
        <v>16</v>
      </c>
      <c r="AV4" s="101" t="s">
        <v>16</v>
      </c>
      <c r="AW4" s="101" t="s">
        <v>16</v>
      </c>
      <c r="AX4" s="101" t="s">
        <v>16</v>
      </c>
      <c r="AY4" s="101" t="s">
        <v>16</v>
      </c>
      <c r="AZ4" s="101" t="s">
        <v>16</v>
      </c>
      <c r="BA4" s="101" t="s">
        <v>16</v>
      </c>
      <c r="BB4" s="101" t="s">
        <v>16</v>
      </c>
      <c r="BC4" s="101" t="s">
        <v>16</v>
      </c>
      <c r="BD4" s="101" t="s">
        <v>59</v>
      </c>
      <c r="BE4" s="101" t="s">
        <v>60</v>
      </c>
      <c r="BF4" s="101" t="s">
        <v>59</v>
      </c>
      <c r="BG4" s="101" t="s">
        <v>60</v>
      </c>
      <c r="BH4" s="102" t="s">
        <v>16</v>
      </c>
      <c r="BI4" s="102" t="s">
        <v>16</v>
      </c>
      <c r="BJ4" s="100" t="s">
        <v>59</v>
      </c>
      <c r="BK4" s="100" t="s">
        <v>480</v>
      </c>
      <c r="BL4" s="100" t="s">
        <v>482</v>
      </c>
      <c r="BM4" s="100" t="s">
        <v>482</v>
      </c>
      <c r="BN4" s="100" t="s">
        <v>482</v>
      </c>
      <c r="BO4" s="100" t="s">
        <v>482</v>
      </c>
      <c r="BP4" s="132" t="s">
        <v>396</v>
      </c>
      <c r="BQ4" s="132" t="s">
        <v>396</v>
      </c>
      <c r="BR4" s="132" t="s">
        <v>396</v>
      </c>
      <c r="BS4" s="132" t="s">
        <v>396</v>
      </c>
    </row>
    <row r="5" spans="1:71" x14ac:dyDescent="0.25">
      <c r="A5" s="101" t="s">
        <v>21</v>
      </c>
      <c r="B5" s="101" t="s">
        <v>24</v>
      </c>
      <c r="C5" s="101" t="s">
        <v>24</v>
      </c>
      <c r="D5" s="101" t="s">
        <v>24</v>
      </c>
      <c r="E5" s="101" t="s">
        <v>24</v>
      </c>
      <c r="F5" s="101" t="s">
        <v>24</v>
      </c>
      <c r="G5" s="101" t="s">
        <v>24</v>
      </c>
      <c r="H5" s="101" t="s">
        <v>24</v>
      </c>
      <c r="I5" s="101" t="s">
        <v>24</v>
      </c>
      <c r="J5" s="101" t="s">
        <v>24</v>
      </c>
      <c r="K5" s="101" t="s">
        <v>24</v>
      </c>
      <c r="L5" s="101" t="s">
        <v>24</v>
      </c>
      <c r="M5" s="101" t="s">
        <v>24</v>
      </c>
      <c r="N5" s="101" t="s">
        <v>24</v>
      </c>
      <c r="O5" s="101" t="s">
        <v>24</v>
      </c>
      <c r="P5" s="101" t="s">
        <v>24</v>
      </c>
      <c r="Q5" s="101" t="s">
        <v>24</v>
      </c>
      <c r="R5" s="101" t="s">
        <v>24</v>
      </c>
      <c r="S5" s="101" t="s">
        <v>24</v>
      </c>
      <c r="T5" s="101" t="s">
        <v>24</v>
      </c>
      <c r="U5" s="101" t="s">
        <v>24</v>
      </c>
      <c r="V5" s="101" t="s">
        <v>24</v>
      </c>
      <c r="W5" s="101" t="s">
        <v>24</v>
      </c>
      <c r="X5" s="101" t="s">
        <v>24</v>
      </c>
      <c r="Y5" s="101" t="s">
        <v>24</v>
      </c>
      <c r="Z5" s="101" t="s">
        <v>24</v>
      </c>
      <c r="AA5" s="101" t="s">
        <v>24</v>
      </c>
      <c r="AB5" s="101" t="s">
        <v>24</v>
      </c>
      <c r="AC5" s="101" t="s">
        <v>24</v>
      </c>
      <c r="AD5" s="101" t="s">
        <v>24</v>
      </c>
      <c r="AE5" s="101" t="s">
        <v>24</v>
      </c>
      <c r="AF5" s="101" t="s">
        <v>24</v>
      </c>
      <c r="AG5" s="101" t="s">
        <v>24</v>
      </c>
      <c r="AH5" s="101" t="s">
        <v>24</v>
      </c>
      <c r="AI5" s="101" t="s">
        <v>24</v>
      </c>
      <c r="AJ5" s="101" t="s">
        <v>24</v>
      </c>
      <c r="AK5" s="101" t="s">
        <v>24</v>
      </c>
      <c r="AL5" s="101" t="s">
        <v>24</v>
      </c>
      <c r="AM5" s="101" t="s">
        <v>24</v>
      </c>
      <c r="AN5" s="101" t="s">
        <v>24</v>
      </c>
      <c r="AO5" s="101" t="s">
        <v>24</v>
      </c>
      <c r="AP5" s="101" t="s">
        <v>24</v>
      </c>
      <c r="AQ5" s="101" t="s">
        <v>24</v>
      </c>
      <c r="AR5" s="101" t="s">
        <v>24</v>
      </c>
      <c r="AS5" s="101" t="s">
        <v>24</v>
      </c>
      <c r="AT5" s="101" t="s">
        <v>24</v>
      </c>
      <c r="AU5" s="101" t="s">
        <v>24</v>
      </c>
      <c r="AV5" s="101" t="s">
        <v>24</v>
      </c>
      <c r="AW5" s="101" t="s">
        <v>24</v>
      </c>
      <c r="AX5" s="101" t="s">
        <v>24</v>
      </c>
      <c r="AY5" s="101" t="s">
        <v>24</v>
      </c>
      <c r="AZ5" s="101" t="s">
        <v>24</v>
      </c>
      <c r="BA5" s="101" t="s">
        <v>24</v>
      </c>
      <c r="BB5" s="101" t="s">
        <v>24</v>
      </c>
      <c r="BC5" s="133" t="s">
        <v>142</v>
      </c>
      <c r="BD5" s="101" t="s">
        <v>67</v>
      </c>
      <c r="BE5" s="101" t="s">
        <v>67</v>
      </c>
      <c r="BF5" s="101" t="s">
        <v>7</v>
      </c>
      <c r="BG5" s="101" t="s">
        <v>7</v>
      </c>
      <c r="BH5" s="102"/>
      <c r="BI5" s="102"/>
      <c r="BJ5" s="100" t="s">
        <v>173</v>
      </c>
      <c r="BK5" s="100" t="s">
        <v>173</v>
      </c>
      <c r="BL5" s="100" t="s">
        <v>398</v>
      </c>
      <c r="BM5" s="100" t="s">
        <v>211</v>
      </c>
      <c r="BN5" s="100" t="s">
        <v>398</v>
      </c>
      <c r="BO5" s="100" t="s">
        <v>211</v>
      </c>
      <c r="BP5" s="101" t="s">
        <v>370</v>
      </c>
      <c r="BQ5" s="101" t="s">
        <v>361</v>
      </c>
      <c r="BR5" s="101" t="s">
        <v>367</v>
      </c>
      <c r="BS5" s="101" t="s">
        <v>368</v>
      </c>
    </row>
    <row r="6" spans="1:71" x14ac:dyDescent="0.25">
      <c r="A6" s="101" t="s">
        <v>25</v>
      </c>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101"/>
      <c r="AN6" s="101"/>
      <c r="AO6" s="101"/>
      <c r="AP6" s="101"/>
      <c r="AQ6" s="101"/>
      <c r="AR6" s="101"/>
      <c r="AS6" s="101"/>
      <c r="AT6" s="101"/>
      <c r="AU6" s="101"/>
      <c r="AV6" s="101"/>
      <c r="AW6" s="101"/>
      <c r="AX6" s="101"/>
      <c r="AY6" s="101"/>
      <c r="AZ6" s="101"/>
      <c r="BA6" s="101"/>
      <c r="BB6" s="101"/>
      <c r="BC6" s="101"/>
      <c r="BD6" s="101"/>
      <c r="BE6" s="101"/>
      <c r="BF6" s="101"/>
      <c r="BG6" s="101"/>
      <c r="BH6" s="102"/>
      <c r="BI6" s="102"/>
      <c r="BJ6" s="100"/>
      <c r="BK6" s="100">
        <v>13</v>
      </c>
      <c r="BL6" s="100"/>
      <c r="BM6" s="100"/>
      <c r="BN6" s="100"/>
      <c r="BO6" s="100"/>
    </row>
    <row r="7" spans="1:71" x14ac:dyDescent="0.25">
      <c r="A7" s="101" t="s">
        <v>26</v>
      </c>
      <c r="B7" s="101" t="s">
        <v>43</v>
      </c>
      <c r="C7" s="101" t="s">
        <v>68</v>
      </c>
      <c r="D7" s="101" t="s">
        <v>69</v>
      </c>
      <c r="E7" s="101" t="s">
        <v>70</v>
      </c>
      <c r="F7" s="101" t="s">
        <v>71</v>
      </c>
      <c r="G7" s="101" t="s">
        <v>72</v>
      </c>
      <c r="H7" s="101" t="s">
        <v>46</v>
      </c>
      <c r="I7" s="101" t="s">
        <v>73</v>
      </c>
      <c r="J7" s="101" t="s">
        <v>74</v>
      </c>
      <c r="K7" s="101" t="s">
        <v>75</v>
      </c>
      <c r="L7" s="101" t="s">
        <v>76</v>
      </c>
      <c r="M7" s="101" t="s">
        <v>77</v>
      </c>
      <c r="N7" s="101" t="s">
        <v>78</v>
      </c>
      <c r="O7" s="101" t="s">
        <v>79</v>
      </c>
      <c r="P7" s="101" t="s">
        <v>80</v>
      </c>
      <c r="Q7" s="101" t="s">
        <v>81</v>
      </c>
      <c r="R7" s="101" t="s">
        <v>82</v>
      </c>
      <c r="S7" s="101" t="s">
        <v>44</v>
      </c>
      <c r="T7" s="101" t="s">
        <v>83</v>
      </c>
      <c r="U7" s="101" t="s">
        <v>84</v>
      </c>
      <c r="V7" s="101" t="s">
        <v>85</v>
      </c>
      <c r="W7" s="101" t="s">
        <v>86</v>
      </c>
      <c r="X7" s="101" t="s">
        <v>87</v>
      </c>
      <c r="Y7" s="101" t="s">
        <v>88</v>
      </c>
      <c r="Z7" s="101" t="s">
        <v>89</v>
      </c>
      <c r="AA7" s="101" t="s">
        <v>90</v>
      </c>
      <c r="AB7" s="101" t="s">
        <v>43</v>
      </c>
      <c r="AC7" s="101" t="s">
        <v>68</v>
      </c>
      <c r="AD7" s="101" t="s">
        <v>69</v>
      </c>
      <c r="AE7" s="101" t="s">
        <v>70</v>
      </c>
      <c r="AF7" s="101" t="s">
        <v>71</v>
      </c>
      <c r="AG7" s="101" t="s">
        <v>72</v>
      </c>
      <c r="AH7" s="101" t="s">
        <v>46</v>
      </c>
      <c r="AI7" s="101" t="s">
        <v>73</v>
      </c>
      <c r="AJ7" s="101" t="s">
        <v>74</v>
      </c>
      <c r="AK7" s="101" t="s">
        <v>75</v>
      </c>
      <c r="AL7" s="101" t="s">
        <v>76</v>
      </c>
      <c r="AM7" s="101" t="s">
        <v>77</v>
      </c>
      <c r="AN7" s="101" t="s">
        <v>78</v>
      </c>
      <c r="AO7" s="101" t="s">
        <v>79</v>
      </c>
      <c r="AP7" s="101" t="s">
        <v>80</v>
      </c>
      <c r="AQ7" s="101" t="s">
        <v>81</v>
      </c>
      <c r="AR7" s="101" t="s">
        <v>82</v>
      </c>
      <c r="AS7" s="101" t="s">
        <v>44</v>
      </c>
      <c r="AT7" s="101" t="s">
        <v>83</v>
      </c>
      <c r="AU7" s="101" t="s">
        <v>84</v>
      </c>
      <c r="AV7" s="101" t="s">
        <v>85</v>
      </c>
      <c r="AW7" s="101" t="s">
        <v>86</v>
      </c>
      <c r="AX7" s="101" t="s">
        <v>87</v>
      </c>
      <c r="AY7" s="101" t="s">
        <v>88</v>
      </c>
      <c r="AZ7" s="101" t="s">
        <v>89</v>
      </c>
      <c r="BA7" s="101" t="s">
        <v>90</v>
      </c>
      <c r="BB7" s="101"/>
      <c r="BC7" s="101"/>
      <c r="BD7" s="101"/>
      <c r="BE7" s="101"/>
      <c r="BF7" s="101"/>
      <c r="BG7" s="101"/>
      <c r="BH7" s="102"/>
      <c r="BI7" s="102"/>
      <c r="BJ7" s="100"/>
      <c r="BK7" s="100"/>
      <c r="BL7" s="100"/>
      <c r="BM7" s="100"/>
      <c r="BN7" s="100"/>
      <c r="BO7" s="100"/>
    </row>
    <row r="8" spans="1:71" s="105" customFormat="1" x14ac:dyDescent="0.25">
      <c r="A8" s="105" t="s">
        <v>27</v>
      </c>
      <c r="B8" s="105" t="s">
        <v>378</v>
      </c>
      <c r="AB8" s="105" t="s">
        <v>28</v>
      </c>
      <c r="BB8" s="105" t="s">
        <v>15</v>
      </c>
      <c r="BD8" s="105" t="s">
        <v>373</v>
      </c>
      <c r="BF8" s="105" t="s">
        <v>375</v>
      </c>
      <c r="BH8" s="106" t="s">
        <v>91</v>
      </c>
      <c r="BI8" s="106" t="s">
        <v>92</v>
      </c>
      <c r="BP8" s="105" t="s">
        <v>359</v>
      </c>
      <c r="BQ8" s="105" t="s">
        <v>362</v>
      </c>
    </row>
    <row r="9" spans="1:71" s="108" customFormat="1" ht="210" x14ac:dyDescent="0.25">
      <c r="A9" s="107" t="s">
        <v>28</v>
      </c>
      <c r="B9" s="108" t="s">
        <v>376</v>
      </c>
      <c r="AB9" s="108" t="s">
        <v>377</v>
      </c>
      <c r="BD9" s="108" t="s">
        <v>372</v>
      </c>
      <c r="BF9" s="108" t="s">
        <v>374</v>
      </c>
      <c r="BH9" s="109" t="s">
        <v>93</v>
      </c>
      <c r="BI9" s="109" t="s">
        <v>94</v>
      </c>
      <c r="BP9" s="108" t="s">
        <v>371</v>
      </c>
      <c r="BQ9" s="108" t="s">
        <v>364</v>
      </c>
    </row>
    <row r="10" spans="1:71" s="111" customFormat="1" ht="15.75" thickBot="1" x14ac:dyDescent="0.3">
      <c r="A10" s="110" t="s">
        <v>26</v>
      </c>
      <c r="B10" s="111" t="s">
        <v>95</v>
      </c>
      <c r="C10" s="111" t="s">
        <v>96</v>
      </c>
      <c r="D10" s="111" t="s">
        <v>97</v>
      </c>
      <c r="E10" s="111" t="s">
        <v>98</v>
      </c>
      <c r="F10" s="111" t="s">
        <v>99</v>
      </c>
      <c r="G10" s="111" t="s">
        <v>100</v>
      </c>
      <c r="H10" s="111" t="s">
        <v>101</v>
      </c>
      <c r="I10" s="111" t="s">
        <v>102</v>
      </c>
      <c r="J10" s="111" t="s">
        <v>103</v>
      </c>
      <c r="K10" s="111" t="s">
        <v>104</v>
      </c>
      <c r="L10" s="111" t="s">
        <v>105</v>
      </c>
      <c r="M10" s="111" t="s">
        <v>106</v>
      </c>
      <c r="N10" s="111" t="s">
        <v>107</v>
      </c>
      <c r="O10" s="111" t="s">
        <v>108</v>
      </c>
      <c r="P10" s="111" t="s">
        <v>109</v>
      </c>
      <c r="Q10" s="111" t="s">
        <v>110</v>
      </c>
      <c r="R10" s="111" t="s">
        <v>111</v>
      </c>
      <c r="S10" s="111" t="s">
        <v>112</v>
      </c>
      <c r="T10" s="111" t="s">
        <v>113</v>
      </c>
      <c r="U10" s="111" t="s">
        <v>114</v>
      </c>
      <c r="V10" s="111" t="s">
        <v>115</v>
      </c>
      <c r="W10" s="111" t="s">
        <v>116</v>
      </c>
      <c r="X10" s="111" t="s">
        <v>117</v>
      </c>
      <c r="Y10" s="111" t="s">
        <v>118</v>
      </c>
      <c r="Z10" s="111" t="s">
        <v>119</v>
      </c>
      <c r="AA10" s="111" t="s">
        <v>120</v>
      </c>
      <c r="AB10" s="111" t="s">
        <v>95</v>
      </c>
      <c r="AC10" s="111" t="s">
        <v>96</v>
      </c>
      <c r="AD10" s="111" t="s">
        <v>97</v>
      </c>
      <c r="AE10" s="111" t="s">
        <v>98</v>
      </c>
      <c r="AF10" s="111" t="s">
        <v>99</v>
      </c>
      <c r="AG10" s="111" t="s">
        <v>100</v>
      </c>
      <c r="AH10" s="111" t="s">
        <v>101</v>
      </c>
      <c r="AI10" s="111" t="s">
        <v>102</v>
      </c>
      <c r="AJ10" s="111" t="s">
        <v>103</v>
      </c>
      <c r="AK10" s="111" t="s">
        <v>104</v>
      </c>
      <c r="AL10" s="111" t="s">
        <v>105</v>
      </c>
      <c r="AM10" s="111" t="s">
        <v>106</v>
      </c>
      <c r="AN10" s="111" t="s">
        <v>107</v>
      </c>
      <c r="AO10" s="111" t="s">
        <v>108</v>
      </c>
      <c r="AP10" s="111" t="s">
        <v>109</v>
      </c>
      <c r="AQ10" s="111" t="s">
        <v>110</v>
      </c>
      <c r="AR10" s="111" t="s">
        <v>111</v>
      </c>
      <c r="AS10" s="111" t="s">
        <v>112</v>
      </c>
      <c r="AT10" s="111" t="s">
        <v>113</v>
      </c>
      <c r="AU10" s="111" t="s">
        <v>114</v>
      </c>
      <c r="AV10" s="111" t="s">
        <v>115</v>
      </c>
      <c r="AW10" s="111" t="s">
        <v>116</v>
      </c>
      <c r="AX10" s="111" t="s">
        <v>117</v>
      </c>
      <c r="AY10" s="111" t="s">
        <v>118</v>
      </c>
      <c r="AZ10" s="111" t="s">
        <v>119</v>
      </c>
      <c r="BA10" s="111" t="s">
        <v>120</v>
      </c>
      <c r="BH10" s="112"/>
      <c r="BI10" s="112"/>
      <c r="BR10" s="111">
        <f>'Credential Designer'!B1</f>
        <v>0</v>
      </c>
    </row>
    <row r="11" spans="1:71" s="114" customFormat="1" ht="45" x14ac:dyDescent="0.25">
      <c r="A11" s="113" t="s">
        <v>121</v>
      </c>
      <c r="B11" s="91" t="s">
        <v>382</v>
      </c>
      <c r="C11" s="91"/>
      <c r="D11" s="91"/>
      <c r="E11" s="91"/>
      <c r="F11" s="91"/>
      <c r="G11" s="91"/>
      <c r="H11" s="91"/>
      <c r="I11" s="91"/>
      <c r="J11" s="91"/>
      <c r="K11" s="91"/>
      <c r="L11" s="91"/>
      <c r="M11" s="91"/>
      <c r="N11" s="91" t="s">
        <v>383</v>
      </c>
      <c r="O11" s="91"/>
      <c r="P11" s="91"/>
      <c r="Q11" s="91"/>
      <c r="R11" s="91"/>
      <c r="S11" s="91"/>
      <c r="T11" s="91"/>
      <c r="U11" s="91"/>
      <c r="V11" s="91"/>
      <c r="W11" s="91"/>
      <c r="X11" s="91"/>
      <c r="Y11" s="91"/>
      <c r="Z11" s="91"/>
      <c r="AA11" s="91"/>
      <c r="AB11" s="91" t="s">
        <v>384</v>
      </c>
      <c r="AC11" s="91"/>
      <c r="AD11" s="91"/>
      <c r="AE11" s="91"/>
      <c r="AF11" s="91"/>
      <c r="AG11" s="91"/>
      <c r="AH11" s="91"/>
      <c r="AI11" s="91"/>
      <c r="AJ11" s="91"/>
      <c r="AK11" s="91"/>
      <c r="AL11" s="91"/>
      <c r="AM11" s="91"/>
      <c r="AN11" s="91" t="s">
        <v>385</v>
      </c>
      <c r="AO11" s="91"/>
      <c r="AP11" s="91" t="s">
        <v>379</v>
      </c>
      <c r="AQ11" s="91"/>
      <c r="AR11" s="91"/>
      <c r="AS11" s="91"/>
      <c r="AT11" s="91"/>
      <c r="AU11" s="91"/>
      <c r="AV11" s="91"/>
      <c r="AW11" s="91"/>
      <c r="AX11" s="91"/>
      <c r="AY11" s="91"/>
      <c r="AZ11" s="91"/>
      <c r="BA11" s="91"/>
      <c r="BB11" s="91" t="s">
        <v>353</v>
      </c>
      <c r="BC11" s="91" t="str">
        <f>VLOOKUP(BB11,ListCredentialTypes[],3,FALSE)</f>
        <v>http://data.europa.eu/europass/credentialType/generic</v>
      </c>
      <c r="BD11" s="115" t="s">
        <v>386</v>
      </c>
      <c r="BE11" s="92" t="e">
        <f>MATCH(BD11,Organization!C:C,0)</f>
        <v>#N/A</v>
      </c>
      <c r="BF11" s="116"/>
      <c r="BG11" s="116"/>
      <c r="BH11" s="93">
        <v>43478</v>
      </c>
      <c r="BI11" s="93">
        <v>47484</v>
      </c>
      <c r="BP11" s="116"/>
      <c r="BQ11" s="116"/>
      <c r="BR11" s="91"/>
      <c r="BS11" s="91" t="str">
        <f>'Credential Designer'!B2</f>
        <v>https://everis.com/image.jpg</v>
      </c>
    </row>
    <row r="12" spans="1:71" ht="30" x14ac:dyDescent="0.25">
      <c r="B12" s="100" t="s">
        <v>241</v>
      </c>
      <c r="C12" s="100" t="s">
        <v>242</v>
      </c>
      <c r="D12" s="100" t="s">
        <v>243</v>
      </c>
      <c r="E12" s="100" t="s">
        <v>244</v>
      </c>
      <c r="F12" s="100" t="s">
        <v>245</v>
      </c>
      <c r="G12" s="100" t="s">
        <v>246</v>
      </c>
      <c r="H12" s="100" t="s">
        <v>247</v>
      </c>
      <c r="I12" s="100" t="s">
        <v>248</v>
      </c>
      <c r="J12" s="100" t="s">
        <v>249</v>
      </c>
      <c r="K12" s="100" t="s">
        <v>250</v>
      </c>
      <c r="L12" s="100" t="s">
        <v>251</v>
      </c>
      <c r="M12" s="100" t="s">
        <v>252</v>
      </c>
      <c r="N12" s="100" t="s">
        <v>253</v>
      </c>
      <c r="O12" s="100" t="s">
        <v>254</v>
      </c>
      <c r="P12" s="100" t="s">
        <v>255</v>
      </c>
      <c r="Q12" s="100" t="s">
        <v>256</v>
      </c>
      <c r="R12" s="100" t="s">
        <v>257</v>
      </c>
      <c r="S12" s="100" t="s">
        <v>258</v>
      </c>
      <c r="T12" s="100" t="s">
        <v>259</v>
      </c>
      <c r="U12" s="100" t="s">
        <v>260</v>
      </c>
      <c r="V12" s="100" t="s">
        <v>261</v>
      </c>
      <c r="W12" s="100" t="s">
        <v>262</v>
      </c>
      <c r="X12" s="100" t="s">
        <v>263</v>
      </c>
      <c r="Y12" s="100" t="s">
        <v>264</v>
      </c>
      <c r="Z12" s="100" t="s">
        <v>265</v>
      </c>
      <c r="AA12" s="100" t="s">
        <v>266</v>
      </c>
      <c r="AB12" s="100" t="s">
        <v>267</v>
      </c>
      <c r="AC12" s="100" t="s">
        <v>268</v>
      </c>
      <c r="AD12" s="100" t="s">
        <v>269</v>
      </c>
      <c r="AE12" s="100" t="s">
        <v>270</v>
      </c>
      <c r="AF12" s="100" t="s">
        <v>271</v>
      </c>
      <c r="AG12" s="100" t="s">
        <v>272</v>
      </c>
      <c r="AH12" s="100" t="s">
        <v>273</v>
      </c>
      <c r="AI12" s="100" t="s">
        <v>274</v>
      </c>
      <c r="AJ12" s="100" t="s">
        <v>275</v>
      </c>
      <c r="AK12" s="100" t="s">
        <v>276</v>
      </c>
      <c r="AL12" s="100" t="s">
        <v>277</v>
      </c>
      <c r="AM12" s="100" t="s">
        <v>278</v>
      </c>
      <c r="AN12" s="100" t="s">
        <v>279</v>
      </c>
      <c r="AO12" s="100" t="s">
        <v>280</v>
      </c>
      <c r="AP12" s="100" t="s">
        <v>281</v>
      </c>
      <c r="AQ12" s="100" t="s">
        <v>282</v>
      </c>
      <c r="AR12" s="100" t="s">
        <v>283</v>
      </c>
      <c r="AS12" s="100" t="s">
        <v>284</v>
      </c>
      <c r="AT12" s="100" t="s">
        <v>285</v>
      </c>
      <c r="AU12" s="100" t="s">
        <v>286</v>
      </c>
      <c r="AV12" s="100" t="s">
        <v>287</v>
      </c>
      <c r="AW12" s="100" t="s">
        <v>288</v>
      </c>
      <c r="AX12" s="100" t="s">
        <v>289</v>
      </c>
      <c r="AY12" s="100" t="s">
        <v>290</v>
      </c>
      <c r="AZ12" s="100" t="s">
        <v>291</v>
      </c>
      <c r="BA12" s="100" t="s">
        <v>292</v>
      </c>
      <c r="BB12" s="100" t="s">
        <v>122</v>
      </c>
      <c r="BC12" s="100" t="s">
        <v>123</v>
      </c>
      <c r="BD12" s="100" t="s">
        <v>293</v>
      </c>
      <c r="BE12" s="100" t="s">
        <v>294</v>
      </c>
      <c r="BF12" s="100" t="s">
        <v>295</v>
      </c>
      <c r="BG12" s="100" t="s">
        <v>296</v>
      </c>
      <c r="BH12" s="117" t="s">
        <v>297</v>
      </c>
      <c r="BI12" s="117" t="s">
        <v>298</v>
      </c>
      <c r="BJ12" s="100" t="s">
        <v>476</v>
      </c>
      <c r="BK12" s="100" t="s">
        <v>477</v>
      </c>
      <c r="BL12" s="100" t="s">
        <v>481</v>
      </c>
      <c r="BM12" s="100" t="s">
        <v>484</v>
      </c>
      <c r="BN12" s="100" t="s">
        <v>492</v>
      </c>
      <c r="BO12" s="100" t="s">
        <v>493</v>
      </c>
      <c r="BP12" s="100" t="s">
        <v>124</v>
      </c>
      <c r="BQ12" s="100" t="s">
        <v>125</v>
      </c>
      <c r="BR12" s="100" t="s">
        <v>126</v>
      </c>
      <c r="BS12" s="100" t="s">
        <v>127</v>
      </c>
    </row>
    <row r="13" spans="1:71" ht="90" x14ac:dyDescent="0.25">
      <c r="B13" s="118" t="str">
        <f t="shared" ref="B13" si="0">B$11</f>
        <v>Certificate of Testing</v>
      </c>
      <c r="C13" s="118">
        <f t="shared" ref="C13:BD13" si="1">C$11</f>
        <v>0</v>
      </c>
      <c r="D13" s="118">
        <f t="shared" si="1"/>
        <v>0</v>
      </c>
      <c r="E13" s="118">
        <f t="shared" si="1"/>
        <v>0</v>
      </c>
      <c r="F13" s="118">
        <f t="shared" si="1"/>
        <v>0</v>
      </c>
      <c r="G13" s="118">
        <f t="shared" si="1"/>
        <v>0</v>
      </c>
      <c r="H13" s="118">
        <f t="shared" si="1"/>
        <v>0</v>
      </c>
      <c r="I13" s="118">
        <f t="shared" si="1"/>
        <v>0</v>
      </c>
      <c r="J13" s="118">
        <f t="shared" si="1"/>
        <v>0</v>
      </c>
      <c r="K13" s="118">
        <f t="shared" si="1"/>
        <v>0</v>
      </c>
      <c r="L13" s="118">
        <f t="shared" si="1"/>
        <v>0</v>
      </c>
      <c r="M13" s="118">
        <f t="shared" si="1"/>
        <v>0</v>
      </c>
      <c r="N13" s="118" t="str">
        <f t="shared" si="1"/>
        <v>Próba Oklevél</v>
      </c>
      <c r="O13" s="118">
        <f t="shared" si="1"/>
        <v>0</v>
      </c>
      <c r="P13" s="118">
        <f t="shared" si="1"/>
        <v>0</v>
      </c>
      <c r="Q13" s="118">
        <f t="shared" si="1"/>
        <v>0</v>
      </c>
      <c r="R13" s="118">
        <f t="shared" si="1"/>
        <v>0</v>
      </c>
      <c r="S13" s="118">
        <f t="shared" si="1"/>
        <v>0</v>
      </c>
      <c r="T13" s="118">
        <f t="shared" si="1"/>
        <v>0</v>
      </c>
      <c r="U13" s="118">
        <f t="shared" si="1"/>
        <v>0</v>
      </c>
      <c r="V13" s="118">
        <f t="shared" si="1"/>
        <v>0</v>
      </c>
      <c r="W13" s="118">
        <f t="shared" si="1"/>
        <v>0</v>
      </c>
      <c r="X13" s="118">
        <f t="shared" si="1"/>
        <v>0</v>
      </c>
      <c r="Y13" s="118">
        <f t="shared" si="1"/>
        <v>0</v>
      </c>
      <c r="Z13" s="118">
        <f t="shared" si="1"/>
        <v>0</v>
      </c>
      <c r="AA13" s="118">
        <f t="shared" si="1"/>
        <v>0</v>
      </c>
      <c r="AB13" s="118" t="str">
        <f t="shared" si="1"/>
        <v>Let's see where this credential description will be displayed in the Viewer</v>
      </c>
      <c r="AC13" s="118">
        <f t="shared" si="1"/>
        <v>0</v>
      </c>
      <c r="AD13" s="118">
        <f t="shared" si="1"/>
        <v>0</v>
      </c>
      <c r="AE13" s="118">
        <f t="shared" si="1"/>
        <v>0</v>
      </c>
      <c r="AF13" s="118">
        <f t="shared" si="1"/>
        <v>0</v>
      </c>
      <c r="AG13" s="118">
        <f t="shared" si="1"/>
        <v>0</v>
      </c>
      <c r="AH13" s="118">
        <f t="shared" si="1"/>
        <v>0</v>
      </c>
      <c r="AI13" s="118">
        <f t="shared" si="1"/>
        <v>0</v>
      </c>
      <c r="AJ13" s="118">
        <f t="shared" si="1"/>
        <v>0</v>
      </c>
      <c r="AK13" s="118">
        <f t="shared" si="1"/>
        <v>0</v>
      </c>
      <c r="AL13" s="118">
        <f t="shared" si="1"/>
        <v>0</v>
      </c>
      <c r="AM13" s="118">
        <f t="shared" si="1"/>
        <v>0</v>
      </c>
      <c r="AN13" s="118" t="str">
        <f t="shared" si="1"/>
        <v>Meglátjuk hol jelenik meg ez a magyar oklevél leírás</v>
      </c>
      <c r="AO13" s="118">
        <f t="shared" si="1"/>
        <v>0</v>
      </c>
      <c r="AP13" s="118" t="str">
        <f t="shared" si="1"/>
        <v>Long Description</v>
      </c>
      <c r="AQ13" s="118">
        <f t="shared" si="1"/>
        <v>0</v>
      </c>
      <c r="AR13" s="118">
        <f t="shared" si="1"/>
        <v>0</v>
      </c>
      <c r="AS13" s="118">
        <f t="shared" si="1"/>
        <v>0</v>
      </c>
      <c r="AT13" s="118">
        <f t="shared" si="1"/>
        <v>0</v>
      </c>
      <c r="AU13" s="118">
        <f t="shared" si="1"/>
        <v>0</v>
      </c>
      <c r="AV13" s="118">
        <f t="shared" si="1"/>
        <v>0</v>
      </c>
      <c r="AW13" s="118">
        <f t="shared" si="1"/>
        <v>0</v>
      </c>
      <c r="AX13" s="118">
        <f t="shared" si="1"/>
        <v>0</v>
      </c>
      <c r="AY13" s="118">
        <f t="shared" ref="AY13" si="2">AY$11</f>
        <v>0</v>
      </c>
      <c r="AZ13" s="118">
        <f t="shared" si="1"/>
        <v>0</v>
      </c>
      <c r="BA13" s="118">
        <f t="shared" si="1"/>
        <v>0</v>
      </c>
      <c r="BB13" s="118" t="str">
        <f t="shared" ref="BB13:BC13" si="3">BB$11</f>
        <v>generic</v>
      </c>
      <c r="BC13" s="118" t="str">
        <f t="shared" si="3"/>
        <v>http://data.europa.eu/europass/credentialType/generic</v>
      </c>
      <c r="BD13" s="118" t="str">
        <f t="shared" si="1"/>
        <v>Issuer - Should come from drop-down</v>
      </c>
      <c r="BE13" s="118">
        <v>13</v>
      </c>
      <c r="BF13" s="118" t="str">
        <f>Persons[[#This Row],[Person.fullName.Property.Text.content..ca.]]</f>
        <v>Jordi Castillo</v>
      </c>
      <c r="BG13" s="118">
        <f>MATCH(Credentials[[#This Row],[EuropassCredential.credentialSubject.Association..Person.4.]],Person!BV:BV,0)</f>
        <v>13</v>
      </c>
      <c r="BH13" s="119">
        <f t="shared" ref="BH13:BI13" si="4">BH$11</f>
        <v>43478</v>
      </c>
      <c r="BI13" s="119">
        <f t="shared" si="4"/>
        <v>47484</v>
      </c>
      <c r="BJ13" s="118" t="s">
        <v>478</v>
      </c>
      <c r="BK13" s="100">
        <v>13</v>
      </c>
      <c r="BL13" s="90" t="s">
        <v>510</v>
      </c>
      <c r="BM13" s="151" t="s">
        <v>487</v>
      </c>
      <c r="BN13" s="90" t="s">
        <v>511</v>
      </c>
      <c r="BO13" s="151" t="s">
        <v>487</v>
      </c>
      <c r="BP13" s="121"/>
      <c r="BQ13" s="121" t="s">
        <v>363</v>
      </c>
      <c r="BR13" s="118">
        <f t="shared" ref="BR13:BS13" si="5">BR$11</f>
        <v>0</v>
      </c>
      <c r="BS13" s="120" t="str">
        <f t="shared" si="5"/>
        <v>https://everis.com/image.jpg</v>
      </c>
    </row>
  </sheetData>
  <phoneticPr fontId="10" type="noConversion"/>
  <hyperlinks>
    <hyperlink ref="BQ13" r:id="rId1"/>
    <hyperlink ref="BL13" r:id="rId2"/>
  </hyperlinks>
  <pageMargins left="0.7" right="0.7" top="0.75" bottom="0.75" header="0.3" footer="0.3"/>
  <pageSetup paperSize="9" orientation="portrait" r:id="rId3"/>
  <drawing r:id="rId4"/>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References!$A$31:$A$33</xm:f>
          </x14:formula1>
          <xm:sqref>BB11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A15"/>
  <sheetViews>
    <sheetView topLeftCell="CM1" zoomScale="85" zoomScaleNormal="85" workbookViewId="0">
      <selection activeCell="CN10" sqref="CN10"/>
    </sheetView>
  </sheetViews>
  <sheetFormatPr baseColWidth="10" defaultColWidth="9.140625" defaultRowHeight="15" x14ac:dyDescent="0.25"/>
  <cols>
    <col min="1" max="1" width="16.7109375" bestFit="1" customWidth="1"/>
    <col min="2" max="3" width="17.5703125" bestFit="1" customWidth="1"/>
    <col min="4" max="4" width="17.5703125" customWidth="1"/>
    <col min="5" max="5" width="17.28515625" bestFit="1" customWidth="1"/>
    <col min="6" max="6" width="17.5703125" customWidth="1"/>
    <col min="7" max="7" width="17.28515625" bestFit="1" customWidth="1"/>
    <col min="8" max="10" width="17.28515625" customWidth="1"/>
    <col min="11" max="11" width="17.28515625" hidden="1" customWidth="1"/>
    <col min="12" max="15" width="17.28515625" customWidth="1"/>
    <col min="16" max="16" width="26.85546875" customWidth="1"/>
    <col min="17" max="17" width="17.28515625" customWidth="1"/>
    <col min="18" max="18" width="23.7109375" customWidth="1"/>
    <col min="19" max="26" width="17.28515625" customWidth="1"/>
    <col min="27" max="29" width="27.42578125" customWidth="1"/>
    <col min="30" max="33" width="19.42578125" customWidth="1"/>
    <col min="34" max="61" width="20" customWidth="1"/>
    <col min="62" max="73" width="17.28515625" customWidth="1"/>
    <col min="74" max="74" width="10.85546875" customWidth="1"/>
    <col min="75" max="75" width="16" customWidth="1"/>
    <col min="76" max="97" width="10.85546875" customWidth="1"/>
    <col min="98" max="98" width="27.7109375" customWidth="1"/>
    <col min="99" max="99" width="10.85546875" customWidth="1"/>
    <col min="100" max="101" width="20.28515625" customWidth="1"/>
    <col min="102" max="102" width="15.28515625" customWidth="1"/>
    <col min="103" max="103" width="15.85546875" customWidth="1"/>
    <col min="104" max="104" width="16.28515625" customWidth="1"/>
    <col min="105" max="105" width="15.85546875" customWidth="1"/>
  </cols>
  <sheetData>
    <row r="1" spans="1:105" ht="23.25" x14ac:dyDescent="0.25">
      <c r="A1" s="6" t="s">
        <v>128</v>
      </c>
      <c r="B1" s="25" t="s">
        <v>129</v>
      </c>
      <c r="C1" s="5"/>
      <c r="D1" s="5"/>
      <c r="E1" s="5"/>
      <c r="F1" s="5"/>
      <c r="G1" s="5"/>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105" ht="60" x14ac:dyDescent="0.25">
      <c r="A2" s="2" t="s">
        <v>5</v>
      </c>
      <c r="B2" s="20" t="s">
        <v>7</v>
      </c>
      <c r="C2" s="13" t="s">
        <v>7</v>
      </c>
      <c r="D2" s="14" t="s">
        <v>7</v>
      </c>
      <c r="E2" s="14" t="s">
        <v>7</v>
      </c>
      <c r="F2" s="14" t="s">
        <v>7</v>
      </c>
      <c r="G2" s="14" t="s">
        <v>7</v>
      </c>
      <c r="H2" s="14" t="s">
        <v>7</v>
      </c>
      <c r="I2" s="14" t="s">
        <v>7</v>
      </c>
      <c r="J2" s="14" t="s">
        <v>7</v>
      </c>
      <c r="K2" s="14" t="s">
        <v>7</v>
      </c>
      <c r="L2" s="14" t="s">
        <v>7</v>
      </c>
      <c r="M2" s="14" t="s">
        <v>7</v>
      </c>
      <c r="N2" s="14" t="s">
        <v>7</v>
      </c>
      <c r="O2" s="14" t="s">
        <v>7</v>
      </c>
      <c r="P2" s="14" t="s">
        <v>516</v>
      </c>
      <c r="Q2" s="14" t="s">
        <v>516</v>
      </c>
      <c r="R2" s="14" t="s">
        <v>516</v>
      </c>
      <c r="S2" s="14" t="s">
        <v>516</v>
      </c>
      <c r="T2" s="14" t="s">
        <v>516</v>
      </c>
      <c r="U2" s="14" t="s">
        <v>516</v>
      </c>
      <c r="V2" s="14" t="s">
        <v>516</v>
      </c>
      <c r="W2" s="14" t="s">
        <v>516</v>
      </c>
      <c r="X2" s="14" t="s">
        <v>516</v>
      </c>
      <c r="Y2" s="14" t="s">
        <v>516</v>
      </c>
      <c r="Z2" s="14" t="s">
        <v>516</v>
      </c>
      <c r="AA2" s="14" t="s">
        <v>516</v>
      </c>
      <c r="AB2" s="14" t="s">
        <v>7</v>
      </c>
      <c r="AC2" s="14" t="s">
        <v>7</v>
      </c>
      <c r="AD2" s="14" t="s">
        <v>516</v>
      </c>
      <c r="AE2" s="14" t="s">
        <v>516</v>
      </c>
      <c r="AF2" s="14" t="s">
        <v>516</v>
      </c>
      <c r="AG2" s="14" t="s">
        <v>516</v>
      </c>
      <c r="AH2" s="14" t="s">
        <v>516</v>
      </c>
      <c r="AI2" s="14" t="s">
        <v>516</v>
      </c>
      <c r="AJ2" s="14" t="s">
        <v>516</v>
      </c>
      <c r="AK2" s="14" t="s">
        <v>516</v>
      </c>
      <c r="AL2" s="14" t="s">
        <v>7</v>
      </c>
      <c r="AM2" s="14" t="s">
        <v>7</v>
      </c>
      <c r="AN2" s="14" t="s">
        <v>568</v>
      </c>
      <c r="AO2" s="14" t="s">
        <v>568</v>
      </c>
      <c r="AP2" s="14" t="s">
        <v>568</v>
      </c>
      <c r="AQ2" s="14" t="s">
        <v>568</v>
      </c>
      <c r="AR2" s="14" t="s">
        <v>568</v>
      </c>
      <c r="AS2" s="14" t="s">
        <v>568</v>
      </c>
      <c r="AT2" s="14" t="s">
        <v>568</v>
      </c>
      <c r="AU2" s="14" t="s">
        <v>568</v>
      </c>
      <c r="AV2" s="14" t="s">
        <v>568</v>
      </c>
      <c r="AW2" s="14" t="s">
        <v>568</v>
      </c>
      <c r="AX2" s="14" t="s">
        <v>568</v>
      </c>
      <c r="AY2" s="14" t="s">
        <v>568</v>
      </c>
      <c r="AZ2" s="14" t="s">
        <v>516</v>
      </c>
      <c r="BA2" s="14" t="s">
        <v>516</v>
      </c>
      <c r="BB2" s="14" t="s">
        <v>568</v>
      </c>
      <c r="BC2" s="14" t="s">
        <v>568</v>
      </c>
      <c r="BD2" s="14" t="s">
        <v>568</v>
      </c>
      <c r="BE2" s="14" t="s">
        <v>568</v>
      </c>
      <c r="BF2" s="14" t="s">
        <v>516</v>
      </c>
      <c r="BG2" s="14" t="s">
        <v>516</v>
      </c>
      <c r="BH2" s="14" t="s">
        <v>606</v>
      </c>
      <c r="BI2" s="14" t="s">
        <v>606</v>
      </c>
      <c r="BJ2" s="14" t="s">
        <v>526</v>
      </c>
      <c r="BK2" s="14" t="s">
        <v>526</v>
      </c>
      <c r="BL2" s="14" t="s">
        <v>526</v>
      </c>
      <c r="BM2" s="14" t="s">
        <v>526</v>
      </c>
      <c r="BN2" s="14" t="s">
        <v>526</v>
      </c>
      <c r="BO2" s="14" t="s">
        <v>526</v>
      </c>
      <c r="BP2" s="14" t="s">
        <v>526</v>
      </c>
      <c r="BQ2" s="14" t="s">
        <v>526</v>
      </c>
      <c r="BR2" s="14" t="s">
        <v>526</v>
      </c>
      <c r="BS2" s="14" t="s">
        <v>526</v>
      </c>
      <c r="BT2" s="14" t="s">
        <v>526</v>
      </c>
      <c r="BU2" s="14" t="s">
        <v>526</v>
      </c>
      <c r="BV2" s="14" t="s">
        <v>7</v>
      </c>
      <c r="BW2" s="14" t="s">
        <v>7</v>
      </c>
      <c r="BX2" s="14" t="s">
        <v>7</v>
      </c>
      <c r="BY2" s="14" t="s">
        <v>7</v>
      </c>
      <c r="BZ2" s="14" t="s">
        <v>7</v>
      </c>
      <c r="CA2" s="14" t="s">
        <v>7</v>
      </c>
      <c r="CB2" s="14" t="s">
        <v>7</v>
      </c>
      <c r="CC2" s="14" t="s">
        <v>7</v>
      </c>
      <c r="CD2" s="14" t="s">
        <v>7</v>
      </c>
      <c r="CE2" s="14" t="s">
        <v>7</v>
      </c>
      <c r="CF2" s="14" t="s">
        <v>7</v>
      </c>
      <c r="CG2" s="14" t="s">
        <v>7</v>
      </c>
      <c r="CH2" s="14" t="s">
        <v>7</v>
      </c>
      <c r="CI2" s="14" t="s">
        <v>7</v>
      </c>
      <c r="CJ2" s="14" t="s">
        <v>612</v>
      </c>
      <c r="CK2" s="14" t="s">
        <v>612</v>
      </c>
      <c r="CL2" s="14" t="s">
        <v>612</v>
      </c>
      <c r="CM2" s="14" t="s">
        <v>612</v>
      </c>
      <c r="CN2" s="14" t="s">
        <v>7</v>
      </c>
      <c r="CO2" s="14" t="s">
        <v>7</v>
      </c>
      <c r="CP2" s="14" t="s">
        <v>628</v>
      </c>
      <c r="CQ2" s="14" t="s">
        <v>628</v>
      </c>
      <c r="CR2" s="14" t="s">
        <v>628</v>
      </c>
      <c r="CS2" s="14" t="s">
        <v>628</v>
      </c>
      <c r="CT2" s="14" t="s">
        <v>612</v>
      </c>
      <c r="CU2" s="14" t="s">
        <v>612</v>
      </c>
      <c r="CV2" s="14" t="s">
        <v>612</v>
      </c>
      <c r="CW2" s="14" t="s">
        <v>612</v>
      </c>
      <c r="CX2" s="14" t="s">
        <v>7</v>
      </c>
      <c r="CY2" s="14" t="s">
        <v>7</v>
      </c>
      <c r="CZ2" s="14" t="s">
        <v>7</v>
      </c>
      <c r="DA2" s="14" t="s">
        <v>7</v>
      </c>
    </row>
    <row r="3" spans="1:105" ht="30" x14ac:dyDescent="0.25">
      <c r="A3" s="3" t="s">
        <v>9</v>
      </c>
      <c r="B3" s="21" t="s">
        <v>130</v>
      </c>
      <c r="C3" s="15" t="s">
        <v>12</v>
      </c>
      <c r="D3" s="14" t="s">
        <v>13</v>
      </c>
      <c r="E3" s="14" t="s">
        <v>13</v>
      </c>
      <c r="F3" s="14" t="s">
        <v>13</v>
      </c>
      <c r="G3" s="14" t="s">
        <v>13</v>
      </c>
      <c r="H3" s="14" t="s">
        <v>39</v>
      </c>
      <c r="I3" s="14" t="s">
        <v>39</v>
      </c>
      <c r="J3" s="14" t="s">
        <v>39</v>
      </c>
      <c r="K3" s="14" t="s">
        <v>39</v>
      </c>
      <c r="L3" s="14" t="s">
        <v>39</v>
      </c>
      <c r="M3" s="14" t="s">
        <v>39</v>
      </c>
      <c r="N3" s="14" t="s">
        <v>39</v>
      </c>
      <c r="O3" s="14" t="s">
        <v>39</v>
      </c>
      <c r="P3" t="s">
        <v>13</v>
      </c>
      <c r="Q3" s="17" t="s">
        <v>13</v>
      </c>
      <c r="R3" s="17" t="s">
        <v>13</v>
      </c>
      <c r="S3" s="17" t="s">
        <v>13</v>
      </c>
      <c r="T3" s="17" t="s">
        <v>13</v>
      </c>
      <c r="U3" s="17" t="s">
        <v>13</v>
      </c>
      <c r="V3" s="17" t="s">
        <v>13</v>
      </c>
      <c r="W3" s="17" t="s">
        <v>13</v>
      </c>
      <c r="X3" s="17" t="s">
        <v>13</v>
      </c>
      <c r="Y3" s="17" t="s">
        <v>13</v>
      </c>
      <c r="Z3" s="17" t="s">
        <v>13</v>
      </c>
      <c r="AA3" s="17" t="s">
        <v>13</v>
      </c>
      <c r="AB3" s="17" t="s">
        <v>390</v>
      </c>
      <c r="AC3" s="17" t="s">
        <v>390</v>
      </c>
      <c r="AD3" s="17" t="s">
        <v>168</v>
      </c>
      <c r="AE3" s="17" t="s">
        <v>168</v>
      </c>
      <c r="AF3" s="17" t="s">
        <v>168</v>
      </c>
      <c r="AG3" s="17" t="s">
        <v>168</v>
      </c>
      <c r="AH3" s="17" t="s">
        <v>168</v>
      </c>
      <c r="AI3" s="17" t="s">
        <v>168</v>
      </c>
      <c r="AJ3" s="17" t="s">
        <v>168</v>
      </c>
      <c r="AK3" s="17" t="s">
        <v>168</v>
      </c>
      <c r="AL3" s="17" t="s">
        <v>390</v>
      </c>
      <c r="AM3" s="17" t="s">
        <v>390</v>
      </c>
      <c r="AN3" s="17" t="s">
        <v>13</v>
      </c>
      <c r="AO3" s="17" t="s">
        <v>13</v>
      </c>
      <c r="AP3" s="17" t="s">
        <v>13</v>
      </c>
      <c r="AQ3" s="17" t="s">
        <v>13</v>
      </c>
      <c r="AR3" s="17" t="s">
        <v>13</v>
      </c>
      <c r="AS3" s="17" t="s">
        <v>13</v>
      </c>
      <c r="AT3" s="17" t="s">
        <v>13</v>
      </c>
      <c r="AU3" s="17" t="s">
        <v>13</v>
      </c>
      <c r="AV3" s="17" t="s">
        <v>13</v>
      </c>
      <c r="AW3" s="17" t="s">
        <v>13</v>
      </c>
      <c r="AX3" s="17" t="s">
        <v>13</v>
      </c>
      <c r="AY3" s="17" t="s">
        <v>13</v>
      </c>
      <c r="AZ3" s="17" t="s">
        <v>391</v>
      </c>
      <c r="BA3" s="17" t="s">
        <v>391</v>
      </c>
      <c r="BB3" s="17" t="s">
        <v>393</v>
      </c>
      <c r="BC3" s="17" t="s">
        <v>393</v>
      </c>
      <c r="BD3" s="17" t="s">
        <v>393</v>
      </c>
      <c r="BE3" s="17" t="s">
        <v>393</v>
      </c>
      <c r="BF3" s="17" t="s">
        <v>391</v>
      </c>
      <c r="BG3" s="17" t="s">
        <v>391</v>
      </c>
      <c r="BH3" s="17" t="s">
        <v>393</v>
      </c>
      <c r="BI3" s="17" t="s">
        <v>393</v>
      </c>
      <c r="BJ3" t="s">
        <v>13</v>
      </c>
      <c r="BK3" s="17" t="s">
        <v>13</v>
      </c>
      <c r="BL3" s="17" t="s">
        <v>13</v>
      </c>
      <c r="BM3" s="17" t="s">
        <v>13</v>
      </c>
      <c r="BN3" s="17" t="s">
        <v>13</v>
      </c>
      <c r="BO3" s="17" t="s">
        <v>13</v>
      </c>
      <c r="BP3" s="17" t="s">
        <v>13</v>
      </c>
      <c r="BQ3" s="17" t="s">
        <v>13</v>
      </c>
      <c r="BR3" s="17" t="s">
        <v>13</v>
      </c>
      <c r="BS3" s="17" t="s">
        <v>13</v>
      </c>
      <c r="BT3" s="17" t="s">
        <v>13</v>
      </c>
      <c r="BU3" s="17" t="s">
        <v>13</v>
      </c>
      <c r="BV3" s="14" t="s">
        <v>131</v>
      </c>
      <c r="BW3" s="14" t="s">
        <v>132</v>
      </c>
      <c r="BX3" s="14" t="s">
        <v>133</v>
      </c>
      <c r="BY3" s="14" t="s">
        <v>131</v>
      </c>
      <c r="BZ3" s="14" t="s">
        <v>132</v>
      </c>
      <c r="CA3" s="14" t="s">
        <v>133</v>
      </c>
      <c r="CB3" s="14" t="s">
        <v>131</v>
      </c>
      <c r="CC3" s="14" t="s">
        <v>132</v>
      </c>
      <c r="CD3" s="14" t="s">
        <v>133</v>
      </c>
      <c r="CE3" s="14" t="s">
        <v>134</v>
      </c>
      <c r="CF3" s="14" t="s">
        <v>135</v>
      </c>
      <c r="CG3" s="14" t="s">
        <v>136</v>
      </c>
      <c r="CH3" s="14" t="s">
        <v>137</v>
      </c>
      <c r="CI3" s="14" t="s">
        <v>137</v>
      </c>
      <c r="CJ3" s="14" t="s">
        <v>39</v>
      </c>
      <c r="CK3" s="14" t="s">
        <v>39</v>
      </c>
      <c r="CL3" s="14" t="s">
        <v>39</v>
      </c>
      <c r="CM3" s="14" t="s">
        <v>39</v>
      </c>
      <c r="CN3" s="14" t="s">
        <v>619</v>
      </c>
      <c r="CO3" s="14" t="s">
        <v>619</v>
      </c>
      <c r="CP3" s="14" t="s">
        <v>13</v>
      </c>
      <c r="CQ3" s="14" t="s">
        <v>13</v>
      </c>
      <c r="CR3" s="14" t="s">
        <v>13</v>
      </c>
      <c r="CS3" s="14" t="s">
        <v>13</v>
      </c>
      <c r="CT3" s="14" t="s">
        <v>637</v>
      </c>
      <c r="CU3" s="17" t="s">
        <v>637</v>
      </c>
      <c r="CV3" s="17" t="s">
        <v>632</v>
      </c>
      <c r="CW3" s="17" t="s">
        <v>632</v>
      </c>
      <c r="CX3" s="14" t="s">
        <v>138</v>
      </c>
      <c r="CY3" s="14" t="s">
        <v>138</v>
      </c>
      <c r="CZ3" s="14" t="s">
        <v>138</v>
      </c>
      <c r="DA3" s="14" t="s">
        <v>138</v>
      </c>
    </row>
    <row r="4" spans="1:105" ht="30" x14ac:dyDescent="0.25">
      <c r="A4" s="3" t="s">
        <v>15</v>
      </c>
      <c r="B4" s="22" t="s">
        <v>139</v>
      </c>
      <c r="C4" s="16" t="s">
        <v>16</v>
      </c>
      <c r="D4" s="14" t="s">
        <v>16</v>
      </c>
      <c r="E4" s="14" t="s">
        <v>16</v>
      </c>
      <c r="F4" s="14" t="s">
        <v>16</v>
      </c>
      <c r="G4" s="14" t="s">
        <v>16</v>
      </c>
      <c r="H4" s="14" t="s">
        <v>16</v>
      </c>
      <c r="I4" s="14" t="s">
        <v>16</v>
      </c>
      <c r="J4" s="14" t="s">
        <v>16</v>
      </c>
      <c r="K4" s="14" t="s">
        <v>16</v>
      </c>
      <c r="L4" s="14" t="s">
        <v>16</v>
      </c>
      <c r="M4" s="14" t="s">
        <v>16</v>
      </c>
      <c r="N4" s="14" t="s">
        <v>16</v>
      </c>
      <c r="O4" s="14" t="s">
        <v>16</v>
      </c>
      <c r="P4" s="14" t="s">
        <v>482</v>
      </c>
      <c r="Q4" s="14" t="s">
        <v>482</v>
      </c>
      <c r="R4" s="14" t="s">
        <v>482</v>
      </c>
      <c r="S4" s="14" t="s">
        <v>482</v>
      </c>
      <c r="T4" s="14" t="s">
        <v>482</v>
      </c>
      <c r="U4" s="14" t="s">
        <v>482</v>
      </c>
      <c r="V4" s="14" t="s">
        <v>482</v>
      </c>
      <c r="W4" s="14" t="s">
        <v>482</v>
      </c>
      <c r="X4" s="14" t="s">
        <v>482</v>
      </c>
      <c r="Y4" s="14" t="s">
        <v>482</v>
      </c>
      <c r="Z4" s="14" t="s">
        <v>482</v>
      </c>
      <c r="AA4" s="14" t="s">
        <v>482</v>
      </c>
      <c r="AB4" s="14" t="s">
        <v>16</v>
      </c>
      <c r="AC4" s="14" t="s">
        <v>16</v>
      </c>
      <c r="AD4" s="14" t="s">
        <v>482</v>
      </c>
      <c r="AE4" s="14" t="s">
        <v>482</v>
      </c>
      <c r="AF4" s="14" t="s">
        <v>482</v>
      </c>
      <c r="AG4" s="14" t="s">
        <v>482</v>
      </c>
      <c r="AH4" s="14" t="s">
        <v>482</v>
      </c>
      <c r="AI4" s="14" t="s">
        <v>482</v>
      </c>
      <c r="AJ4" s="14" t="s">
        <v>482</v>
      </c>
      <c r="AK4" s="14" t="s">
        <v>482</v>
      </c>
      <c r="AL4" s="14" t="s">
        <v>16</v>
      </c>
      <c r="AM4" s="14" t="s">
        <v>16</v>
      </c>
      <c r="AN4" s="14" t="s">
        <v>482</v>
      </c>
      <c r="AO4" s="14" t="s">
        <v>482</v>
      </c>
      <c r="AP4" s="14" t="s">
        <v>482</v>
      </c>
      <c r="AQ4" s="14" t="s">
        <v>482</v>
      </c>
      <c r="AR4" s="14" t="s">
        <v>482</v>
      </c>
      <c r="AS4" s="14" t="s">
        <v>482</v>
      </c>
      <c r="AT4" s="14" t="s">
        <v>482</v>
      </c>
      <c r="AU4" s="14" t="s">
        <v>482</v>
      </c>
      <c r="AV4" s="14" t="s">
        <v>482</v>
      </c>
      <c r="AW4" s="14" t="s">
        <v>482</v>
      </c>
      <c r="AX4" s="14" t="s">
        <v>482</v>
      </c>
      <c r="AY4" s="14" t="s">
        <v>482</v>
      </c>
      <c r="AZ4" s="14" t="s">
        <v>482</v>
      </c>
      <c r="BA4" s="14" t="s">
        <v>482</v>
      </c>
      <c r="BB4" s="14" t="s">
        <v>482</v>
      </c>
      <c r="BC4" s="14" t="s">
        <v>482</v>
      </c>
      <c r="BD4" s="14" t="s">
        <v>482</v>
      </c>
      <c r="BE4" s="14" t="s">
        <v>482</v>
      </c>
      <c r="BF4" s="14" t="s">
        <v>482</v>
      </c>
      <c r="BG4" s="14" t="s">
        <v>482</v>
      </c>
      <c r="BH4" s="14" t="s">
        <v>482</v>
      </c>
      <c r="BI4" s="14" t="s">
        <v>482</v>
      </c>
      <c r="BJ4" s="14" t="s">
        <v>482</v>
      </c>
      <c r="BK4" s="14" t="s">
        <v>482</v>
      </c>
      <c r="BL4" s="14" t="s">
        <v>482</v>
      </c>
      <c r="BM4" s="14" t="s">
        <v>482</v>
      </c>
      <c r="BN4" s="14" t="s">
        <v>482</v>
      </c>
      <c r="BO4" s="14" t="s">
        <v>482</v>
      </c>
      <c r="BP4" s="14" t="s">
        <v>482</v>
      </c>
      <c r="BQ4" s="14" t="s">
        <v>482</v>
      </c>
      <c r="BR4" s="14" t="s">
        <v>482</v>
      </c>
      <c r="BS4" s="14" t="s">
        <v>482</v>
      </c>
      <c r="BT4" s="14" t="s">
        <v>482</v>
      </c>
      <c r="BU4" s="14" t="s">
        <v>482</v>
      </c>
      <c r="BV4" s="14" t="s">
        <v>16</v>
      </c>
      <c r="BW4" s="14" t="s">
        <v>16</v>
      </c>
      <c r="BX4" s="14" t="s">
        <v>16</v>
      </c>
      <c r="BY4" s="14" t="s">
        <v>16</v>
      </c>
      <c r="BZ4" s="14" t="s">
        <v>16</v>
      </c>
      <c r="CA4" s="14" t="s">
        <v>16</v>
      </c>
      <c r="CB4" s="14" t="s">
        <v>16</v>
      </c>
      <c r="CC4" s="14" t="s">
        <v>16</v>
      </c>
      <c r="CD4" s="14" t="s">
        <v>16</v>
      </c>
      <c r="CE4" s="14" t="s">
        <v>16</v>
      </c>
      <c r="CF4" s="14" t="s">
        <v>396</v>
      </c>
      <c r="CG4" s="14" t="s">
        <v>16</v>
      </c>
      <c r="CH4" s="14" t="s">
        <v>16</v>
      </c>
      <c r="CI4" s="14" t="s">
        <v>16</v>
      </c>
      <c r="CJ4" s="14" t="s">
        <v>482</v>
      </c>
      <c r="CK4" s="14" t="s">
        <v>482</v>
      </c>
      <c r="CL4" s="14" t="s">
        <v>482</v>
      </c>
      <c r="CM4" s="14" t="s">
        <v>482</v>
      </c>
      <c r="CN4" s="156" t="s">
        <v>16</v>
      </c>
      <c r="CO4" s="156" t="s">
        <v>16</v>
      </c>
      <c r="CP4" s="14" t="s">
        <v>482</v>
      </c>
      <c r="CQ4" s="14" t="s">
        <v>482</v>
      </c>
      <c r="CR4" s="14" t="s">
        <v>482</v>
      </c>
      <c r="CS4" s="14" t="s">
        <v>482</v>
      </c>
      <c r="CT4" s="158" t="s">
        <v>482</v>
      </c>
      <c r="CU4" s="158" t="s">
        <v>482</v>
      </c>
      <c r="CV4" s="158" t="s">
        <v>482</v>
      </c>
      <c r="CW4" s="158" t="s">
        <v>482</v>
      </c>
      <c r="CX4" s="14" t="s">
        <v>16</v>
      </c>
      <c r="CY4" s="14" t="s">
        <v>16</v>
      </c>
      <c r="CZ4" s="14" t="s">
        <v>16</v>
      </c>
      <c r="DA4" s="14" t="s">
        <v>16</v>
      </c>
    </row>
    <row r="5" spans="1:105" ht="30" x14ac:dyDescent="0.25">
      <c r="A5" s="3" t="s">
        <v>21</v>
      </c>
      <c r="B5" s="23"/>
      <c r="C5" s="3" t="s">
        <v>22</v>
      </c>
      <c r="D5" s="3" t="s">
        <v>23</v>
      </c>
      <c r="E5" s="3" t="s">
        <v>24</v>
      </c>
      <c r="F5" s="3" t="s">
        <v>23</v>
      </c>
      <c r="G5" s="3" t="s">
        <v>24</v>
      </c>
      <c r="H5" s="3" t="s">
        <v>42</v>
      </c>
      <c r="I5" s="17" t="s">
        <v>24</v>
      </c>
      <c r="J5" s="17" t="s">
        <v>24</v>
      </c>
      <c r="K5" s="17" t="s">
        <v>24</v>
      </c>
      <c r="L5" s="3" t="s">
        <v>42</v>
      </c>
      <c r="M5" s="17" t="s">
        <v>24</v>
      </c>
      <c r="N5" s="17" t="s">
        <v>24</v>
      </c>
      <c r="O5" s="17" t="s">
        <v>24</v>
      </c>
      <c r="P5" s="17" t="s">
        <v>24</v>
      </c>
      <c r="Q5" s="17" t="s">
        <v>397</v>
      </c>
      <c r="R5" s="17" t="s">
        <v>499</v>
      </c>
      <c r="S5" s="17" t="s">
        <v>23</v>
      </c>
      <c r="T5" s="17" t="s">
        <v>299</v>
      </c>
      <c r="U5" s="17" t="s">
        <v>299</v>
      </c>
      <c r="V5" s="17" t="s">
        <v>24</v>
      </c>
      <c r="W5" s="17" t="s">
        <v>397</v>
      </c>
      <c r="X5" s="17" t="s">
        <v>499</v>
      </c>
      <c r="Y5" s="17" t="s">
        <v>23</v>
      </c>
      <c r="Z5" s="17" t="s">
        <v>299</v>
      </c>
      <c r="AA5" s="17" t="s">
        <v>299</v>
      </c>
      <c r="AB5" s="17" t="s">
        <v>167</v>
      </c>
      <c r="AC5" s="17" t="s">
        <v>167</v>
      </c>
      <c r="AD5" s="17" t="s">
        <v>24</v>
      </c>
      <c r="AE5" s="17" t="s">
        <v>547</v>
      </c>
      <c r="AF5" s="17" t="s">
        <v>211</v>
      </c>
      <c r="AG5" s="17" t="s">
        <v>142</v>
      </c>
      <c r="AH5" s="17" t="s">
        <v>24</v>
      </c>
      <c r="AI5" s="17" t="s">
        <v>547</v>
      </c>
      <c r="AJ5" s="17" t="s">
        <v>211</v>
      </c>
      <c r="AK5" s="17" t="s">
        <v>142</v>
      </c>
      <c r="AL5" s="17" t="s">
        <v>64</v>
      </c>
      <c r="AM5" s="17" t="s">
        <v>64</v>
      </c>
      <c r="AN5" s="17" t="s">
        <v>24</v>
      </c>
      <c r="AO5" s="17" t="s">
        <v>397</v>
      </c>
      <c r="AP5" s="17" t="s">
        <v>499</v>
      </c>
      <c r="AQ5" s="17" t="s">
        <v>23</v>
      </c>
      <c r="AR5" s="17" t="s">
        <v>299</v>
      </c>
      <c r="AS5" s="17" t="s">
        <v>299</v>
      </c>
      <c r="AT5" s="17" t="s">
        <v>24</v>
      </c>
      <c r="AU5" s="17" t="s">
        <v>397</v>
      </c>
      <c r="AV5" s="17" t="s">
        <v>499</v>
      </c>
      <c r="AW5" s="17" t="s">
        <v>23</v>
      </c>
      <c r="AX5" s="17" t="s">
        <v>299</v>
      </c>
      <c r="AY5" s="17" t="s">
        <v>299</v>
      </c>
      <c r="AZ5" s="17" t="s">
        <v>392</v>
      </c>
      <c r="BA5" s="17" t="s">
        <v>392</v>
      </c>
      <c r="BB5" s="17" t="s">
        <v>24</v>
      </c>
      <c r="BC5" s="17" t="s">
        <v>547</v>
      </c>
      <c r="BD5" s="17" t="s">
        <v>211</v>
      </c>
      <c r="BE5" s="17" t="s">
        <v>142</v>
      </c>
      <c r="BF5" s="17" t="s">
        <v>392</v>
      </c>
      <c r="BG5" s="17" t="s">
        <v>392</v>
      </c>
      <c r="BH5" s="17" t="s">
        <v>24</v>
      </c>
      <c r="BI5" s="17" t="s">
        <v>211</v>
      </c>
      <c r="BJ5" s="17" t="s">
        <v>24</v>
      </c>
      <c r="BK5" s="17" t="s">
        <v>397</v>
      </c>
      <c r="BL5" s="17" t="s">
        <v>499</v>
      </c>
      <c r="BM5" s="17" t="s">
        <v>23</v>
      </c>
      <c r="BN5" s="17" t="s">
        <v>299</v>
      </c>
      <c r="BO5" s="17" t="s">
        <v>299</v>
      </c>
      <c r="BP5" s="17" t="s">
        <v>24</v>
      </c>
      <c r="BQ5" s="17" t="s">
        <v>397</v>
      </c>
      <c r="BR5" s="17" t="s">
        <v>499</v>
      </c>
      <c r="BS5" s="17" t="s">
        <v>23</v>
      </c>
      <c r="BT5" s="17" t="s">
        <v>299</v>
      </c>
      <c r="BU5" s="17" t="s">
        <v>299</v>
      </c>
      <c r="BV5" s="17" t="s">
        <v>24</v>
      </c>
      <c r="BW5" s="17" t="s">
        <v>24</v>
      </c>
      <c r="BX5" s="17" t="s">
        <v>24</v>
      </c>
      <c r="BY5" s="17" t="s">
        <v>24</v>
      </c>
      <c r="BZ5" s="17" t="s">
        <v>24</v>
      </c>
      <c r="CA5" s="17" t="s">
        <v>24</v>
      </c>
      <c r="CB5" s="17" t="s">
        <v>24</v>
      </c>
      <c r="CC5" s="17" t="s">
        <v>24</v>
      </c>
      <c r="CD5" s="17" t="s">
        <v>24</v>
      </c>
      <c r="CF5" s="14" t="s">
        <v>141</v>
      </c>
      <c r="CG5" s="17" t="s">
        <v>142</v>
      </c>
      <c r="CH5" s="17" t="s">
        <v>142</v>
      </c>
      <c r="CI5" s="17" t="s">
        <v>142</v>
      </c>
      <c r="CJ5" s="17"/>
      <c r="CK5" s="17"/>
      <c r="CL5" s="17"/>
      <c r="CM5" s="17"/>
      <c r="CN5" s="14" t="s">
        <v>64</v>
      </c>
      <c r="CO5" s="14" t="s">
        <v>64</v>
      </c>
      <c r="CP5" s="14" t="s">
        <v>24</v>
      </c>
      <c r="CQ5" s="14" t="s">
        <v>23</v>
      </c>
      <c r="CR5" s="17" t="s">
        <v>299</v>
      </c>
      <c r="CS5" s="17" t="s">
        <v>299</v>
      </c>
      <c r="CT5" s="17" t="s">
        <v>130</v>
      </c>
      <c r="CU5" s="17" t="s">
        <v>130</v>
      </c>
      <c r="CV5" s="17" t="s">
        <v>130</v>
      </c>
      <c r="CW5" s="17" t="s">
        <v>130</v>
      </c>
      <c r="CX5" s="17" t="s">
        <v>24</v>
      </c>
      <c r="CY5" s="17" t="s">
        <v>24</v>
      </c>
      <c r="CZ5" s="17" t="s">
        <v>24</v>
      </c>
      <c r="DA5" s="17" t="s">
        <v>24</v>
      </c>
    </row>
    <row r="6" spans="1:105" x14ac:dyDescent="0.25">
      <c r="A6" s="3" t="s">
        <v>25</v>
      </c>
      <c r="B6" s="23"/>
      <c r="C6" s="3"/>
      <c r="D6" s="3">
        <v>1</v>
      </c>
      <c r="E6" s="3">
        <v>1</v>
      </c>
      <c r="F6" s="3">
        <v>2</v>
      </c>
      <c r="G6" s="3">
        <v>2</v>
      </c>
      <c r="H6" s="3">
        <v>1</v>
      </c>
      <c r="I6" s="3">
        <v>1</v>
      </c>
      <c r="J6" s="3">
        <v>1</v>
      </c>
      <c r="K6" s="3">
        <v>1</v>
      </c>
      <c r="L6" s="3">
        <v>2</v>
      </c>
      <c r="M6" s="3">
        <v>2</v>
      </c>
      <c r="N6" s="3">
        <v>2</v>
      </c>
      <c r="O6" s="3">
        <v>2</v>
      </c>
      <c r="P6" s="3">
        <v>1</v>
      </c>
      <c r="Q6" s="3">
        <v>1</v>
      </c>
      <c r="R6" s="3">
        <v>1</v>
      </c>
      <c r="S6" s="3">
        <v>1</v>
      </c>
      <c r="T6" s="3">
        <v>1</v>
      </c>
      <c r="U6" s="3">
        <v>1</v>
      </c>
      <c r="V6" s="3">
        <v>2</v>
      </c>
      <c r="W6" s="3">
        <v>2</v>
      </c>
      <c r="X6" s="3">
        <v>2</v>
      </c>
      <c r="Y6" s="3">
        <v>2</v>
      </c>
      <c r="Z6" s="3">
        <v>2</v>
      </c>
      <c r="AA6" s="3">
        <v>2</v>
      </c>
      <c r="AB6" s="3">
        <v>1</v>
      </c>
      <c r="AC6" s="3">
        <v>1</v>
      </c>
      <c r="AD6" s="3">
        <v>1</v>
      </c>
      <c r="AE6" s="3">
        <v>1</v>
      </c>
      <c r="AF6" s="3">
        <v>1</v>
      </c>
      <c r="AG6" s="3">
        <v>1</v>
      </c>
      <c r="AH6" s="3">
        <v>2</v>
      </c>
      <c r="AI6" s="3">
        <v>2</v>
      </c>
      <c r="AJ6" s="3">
        <v>2</v>
      </c>
      <c r="AK6" s="3">
        <v>2</v>
      </c>
      <c r="AL6" s="3">
        <v>1</v>
      </c>
      <c r="AM6" s="3">
        <v>1</v>
      </c>
      <c r="AN6" s="3">
        <v>1</v>
      </c>
      <c r="AO6" s="3">
        <v>1</v>
      </c>
      <c r="AP6" s="3">
        <v>1</v>
      </c>
      <c r="AQ6" s="3">
        <v>1</v>
      </c>
      <c r="AR6" s="3">
        <v>1</v>
      </c>
      <c r="AS6" s="3">
        <v>1</v>
      </c>
      <c r="AT6" s="3">
        <v>2</v>
      </c>
      <c r="AU6" s="3">
        <v>2</v>
      </c>
      <c r="AV6" s="3">
        <v>2</v>
      </c>
      <c r="AW6" s="3">
        <v>2</v>
      </c>
      <c r="AX6" s="3">
        <v>2</v>
      </c>
      <c r="AY6" s="3">
        <v>2</v>
      </c>
      <c r="AZ6" s="3">
        <v>1</v>
      </c>
      <c r="BA6" s="3">
        <v>1</v>
      </c>
      <c r="BB6" s="3"/>
      <c r="BC6" s="3"/>
      <c r="BD6" s="3"/>
      <c r="BE6" s="3"/>
      <c r="BF6" s="3">
        <v>2</v>
      </c>
      <c r="BG6" s="3">
        <v>2</v>
      </c>
      <c r="BH6" s="3"/>
      <c r="BI6" s="3"/>
      <c r="BJ6" s="3">
        <v>1</v>
      </c>
      <c r="BK6" s="3">
        <v>1</v>
      </c>
      <c r="BL6" s="3">
        <v>1</v>
      </c>
      <c r="BM6" s="3">
        <v>1</v>
      </c>
      <c r="BN6" s="3">
        <v>1</v>
      </c>
      <c r="BO6" s="3">
        <v>1</v>
      </c>
      <c r="BP6" s="3">
        <v>2</v>
      </c>
      <c r="BQ6" s="3">
        <v>2</v>
      </c>
      <c r="BR6" s="3">
        <v>2</v>
      </c>
      <c r="BS6" s="3">
        <v>2</v>
      </c>
      <c r="BT6" s="3">
        <v>2</v>
      </c>
      <c r="BU6" s="3">
        <v>2</v>
      </c>
      <c r="CF6">
        <v>12</v>
      </c>
      <c r="CH6">
        <v>1</v>
      </c>
      <c r="CI6">
        <v>2</v>
      </c>
      <c r="CJ6">
        <v>1</v>
      </c>
      <c r="CK6">
        <v>1</v>
      </c>
      <c r="CL6">
        <v>2</v>
      </c>
      <c r="CM6">
        <v>2</v>
      </c>
      <c r="CN6">
        <v>1</v>
      </c>
      <c r="CO6">
        <v>1</v>
      </c>
      <c r="CP6">
        <v>1</v>
      </c>
      <c r="CQ6">
        <v>1</v>
      </c>
      <c r="CR6">
        <v>1</v>
      </c>
      <c r="CS6">
        <v>1</v>
      </c>
      <c r="CT6">
        <v>1</v>
      </c>
      <c r="CU6">
        <v>2</v>
      </c>
      <c r="CV6">
        <v>1</v>
      </c>
      <c r="CW6">
        <v>2</v>
      </c>
      <c r="CX6">
        <v>1</v>
      </c>
      <c r="CY6">
        <v>1</v>
      </c>
      <c r="CZ6">
        <v>2</v>
      </c>
      <c r="DA6">
        <v>2</v>
      </c>
    </row>
    <row r="7" spans="1:105" x14ac:dyDescent="0.25">
      <c r="A7" s="3" t="s">
        <v>26</v>
      </c>
      <c r="B7" s="23"/>
      <c r="C7" s="1"/>
      <c r="D7" s="1"/>
      <c r="E7" s="1"/>
      <c r="F7" s="1"/>
      <c r="G7" s="1"/>
      <c r="H7" s="1"/>
      <c r="I7" s="1" t="s">
        <v>43</v>
      </c>
      <c r="J7" s="1" t="s">
        <v>45</v>
      </c>
      <c r="K7" s="1" t="s">
        <v>46</v>
      </c>
      <c r="L7" s="1"/>
      <c r="M7" s="1" t="s">
        <v>43</v>
      </c>
      <c r="N7" s="1" t="s">
        <v>45</v>
      </c>
      <c r="O7" s="1" t="s">
        <v>46</v>
      </c>
      <c r="P7" s="1"/>
      <c r="Q7" s="1"/>
      <c r="R7" s="1"/>
      <c r="S7" s="1"/>
      <c r="T7" s="1"/>
      <c r="U7" s="1"/>
      <c r="V7" s="1"/>
      <c r="W7" s="1"/>
      <c r="X7" s="1"/>
      <c r="Y7" s="1"/>
      <c r="Z7" s="1"/>
      <c r="AA7" s="1"/>
      <c r="AB7" s="1" t="s">
        <v>43</v>
      </c>
      <c r="AC7" s="1" t="s">
        <v>46</v>
      </c>
      <c r="AD7" s="1"/>
      <c r="AE7" s="1"/>
      <c r="AF7" s="1"/>
      <c r="AG7" s="1"/>
      <c r="AH7" s="1"/>
      <c r="AI7" s="1"/>
      <c r="AJ7" s="1"/>
      <c r="AK7" s="1"/>
      <c r="AL7" s="1" t="s">
        <v>43</v>
      </c>
      <c r="AM7" s="1" t="s">
        <v>46</v>
      </c>
      <c r="AN7" s="1"/>
      <c r="AO7" s="1"/>
      <c r="AP7" s="1"/>
      <c r="AQ7" s="1"/>
      <c r="AR7" s="1"/>
      <c r="AS7" s="1"/>
      <c r="AT7" s="1"/>
      <c r="AU7" s="1"/>
      <c r="AV7" s="1"/>
      <c r="AW7" s="1"/>
      <c r="AX7" s="1"/>
      <c r="AY7" s="1"/>
      <c r="AZ7" s="1" t="s">
        <v>46</v>
      </c>
      <c r="BA7" s="1" t="s">
        <v>43</v>
      </c>
      <c r="BB7" s="1"/>
      <c r="BC7" s="1"/>
      <c r="BD7" s="1"/>
      <c r="BE7" s="1"/>
      <c r="BF7" s="1" t="s">
        <v>46</v>
      </c>
      <c r="BG7" s="1" t="s">
        <v>43</v>
      </c>
      <c r="BH7" s="1"/>
      <c r="BI7" s="1"/>
      <c r="BJ7" s="1"/>
      <c r="BK7" s="1"/>
      <c r="BL7" s="1"/>
      <c r="BM7" s="1"/>
      <c r="BN7" s="1"/>
      <c r="BO7" s="1"/>
      <c r="BP7" s="1"/>
      <c r="BQ7" s="1"/>
      <c r="BR7" s="1"/>
      <c r="BS7" s="1"/>
      <c r="BT7" s="1"/>
      <c r="BU7" s="1"/>
      <c r="BV7" s="17" t="s">
        <v>472</v>
      </c>
      <c r="BW7" s="17" t="s">
        <v>472</v>
      </c>
      <c r="BX7" s="17" t="s">
        <v>472</v>
      </c>
      <c r="BY7" s="17" t="s">
        <v>473</v>
      </c>
      <c r="BZ7" s="17" t="s">
        <v>473</v>
      </c>
      <c r="CA7" s="17" t="s">
        <v>473</v>
      </c>
      <c r="CB7" s="17" t="s">
        <v>474</v>
      </c>
      <c r="CC7" s="17" t="s">
        <v>474</v>
      </c>
      <c r="CD7" s="17" t="s">
        <v>474</v>
      </c>
      <c r="CJ7" s="17" t="s">
        <v>46</v>
      </c>
      <c r="CK7" t="s">
        <v>43</v>
      </c>
      <c r="CL7" s="17" t="s">
        <v>46</v>
      </c>
      <c r="CM7" t="s">
        <v>43</v>
      </c>
      <c r="CN7" s="17" t="s">
        <v>43</v>
      </c>
      <c r="CO7" s="17" t="s">
        <v>46</v>
      </c>
      <c r="CP7" s="17"/>
      <c r="CQ7" s="17"/>
      <c r="CR7" s="17"/>
      <c r="CS7" s="17"/>
      <c r="CT7" s="17"/>
      <c r="CU7" s="17"/>
      <c r="CV7" s="17"/>
      <c r="CW7" s="17"/>
      <c r="CX7" s="17" t="s">
        <v>45</v>
      </c>
      <c r="CY7" s="17" t="s">
        <v>43</v>
      </c>
      <c r="CZ7" s="17" t="s">
        <v>45</v>
      </c>
      <c r="DA7" s="17" t="s">
        <v>43</v>
      </c>
    </row>
    <row r="8" spans="1:105" s="36" customFormat="1" x14ac:dyDescent="0.25">
      <c r="A8" s="26" t="s">
        <v>27</v>
      </c>
      <c r="B8" s="34"/>
      <c r="C8" s="27"/>
      <c r="D8" s="27"/>
      <c r="E8" s="27"/>
      <c r="F8" s="27"/>
      <c r="G8" s="27"/>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row>
    <row r="9" spans="1:105" s="36" customFormat="1" x14ac:dyDescent="0.25">
      <c r="A9" s="28" t="s">
        <v>28</v>
      </c>
      <c r="B9" s="37"/>
      <c r="C9" s="29"/>
      <c r="D9" s="29"/>
      <c r="E9" s="30"/>
      <c r="F9" s="29"/>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0"/>
      <c r="BH9" s="30"/>
      <c r="BI9" s="30"/>
      <c r="BJ9" s="30"/>
      <c r="BK9" s="30"/>
      <c r="BL9" s="30"/>
      <c r="BM9" s="30"/>
      <c r="BN9" s="30"/>
      <c r="BO9" s="30"/>
      <c r="BP9" s="30"/>
      <c r="BQ9" s="30"/>
      <c r="BR9" s="30"/>
      <c r="BS9" s="30"/>
      <c r="BT9" s="30"/>
      <c r="BU9" s="30"/>
    </row>
    <row r="10" spans="1:105" s="36" customFormat="1" ht="15.75" thickBot="1" x14ac:dyDescent="0.3">
      <c r="A10" s="31" t="s">
        <v>26</v>
      </c>
      <c r="B10" s="38"/>
      <c r="C10" s="32"/>
      <c r="D10" s="32"/>
      <c r="E10" s="33"/>
      <c r="F10" s="32"/>
      <c r="G10" s="33"/>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row>
    <row r="11" spans="1:105" s="36" customFormat="1" x14ac:dyDescent="0.25">
      <c r="A11" s="65" t="s">
        <v>121</v>
      </c>
      <c r="B11" s="78"/>
      <c r="C11" s="79"/>
      <c r="D11" s="79"/>
      <c r="E11" s="35"/>
      <c r="F11" s="79"/>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row>
    <row r="12" spans="1:105" x14ac:dyDescent="0.25">
      <c r="A12" s="3"/>
      <c r="B12" t="s">
        <v>318</v>
      </c>
      <c r="C12" t="s">
        <v>319</v>
      </c>
      <c r="D12" t="s">
        <v>320</v>
      </c>
      <c r="E12" t="s">
        <v>321</v>
      </c>
      <c r="F12" t="s">
        <v>322</v>
      </c>
      <c r="G12" t="s">
        <v>323</v>
      </c>
      <c r="H12" t="s">
        <v>324</v>
      </c>
      <c r="I12" t="s">
        <v>325</v>
      </c>
      <c r="J12" t="s">
        <v>326</v>
      </c>
      <c r="K12" t="s">
        <v>327</v>
      </c>
      <c r="L12" t="s">
        <v>328</v>
      </c>
      <c r="M12" t="s">
        <v>329</v>
      </c>
      <c r="N12" t="s">
        <v>330</v>
      </c>
      <c r="O12" t="s">
        <v>331</v>
      </c>
      <c r="P12" t="s">
        <v>497</v>
      </c>
      <c r="Q12" t="s">
        <v>496</v>
      </c>
      <c r="R12" t="s">
        <v>495</v>
      </c>
      <c r="S12" t="s">
        <v>498</v>
      </c>
      <c r="T12" t="s">
        <v>517</v>
      </c>
      <c r="U12" t="s">
        <v>518</v>
      </c>
      <c r="V12" t="s">
        <v>500</v>
      </c>
      <c r="W12" t="s">
        <v>501</v>
      </c>
      <c r="X12" t="s">
        <v>502</v>
      </c>
      <c r="Y12" t="s">
        <v>503</v>
      </c>
      <c r="Z12" t="s">
        <v>520</v>
      </c>
      <c r="AA12" t="s">
        <v>521</v>
      </c>
      <c r="AB12" t="s">
        <v>541</v>
      </c>
      <c r="AC12" t="s">
        <v>540</v>
      </c>
      <c r="AD12" t="s">
        <v>546</v>
      </c>
      <c r="AE12" t="s">
        <v>545</v>
      </c>
      <c r="AF12" t="s">
        <v>544</v>
      </c>
      <c r="AG12" t="s">
        <v>548</v>
      </c>
      <c r="AH12" t="s">
        <v>549</v>
      </c>
      <c r="AI12" t="s">
        <v>552</v>
      </c>
      <c r="AJ12" t="s">
        <v>551</v>
      </c>
      <c r="AK12" t="s">
        <v>550</v>
      </c>
      <c r="AL12" t="s">
        <v>562</v>
      </c>
      <c r="AM12" t="s">
        <v>561</v>
      </c>
      <c r="AN12" t="s">
        <v>567</v>
      </c>
      <c r="AO12" t="s">
        <v>566</v>
      </c>
      <c r="AP12" t="s">
        <v>569</v>
      </c>
      <c r="AQ12" t="s">
        <v>565</v>
      </c>
      <c r="AR12" t="s">
        <v>571</v>
      </c>
      <c r="AS12" t="s">
        <v>570</v>
      </c>
      <c r="AT12" t="s">
        <v>577</v>
      </c>
      <c r="AU12" t="s">
        <v>576</v>
      </c>
      <c r="AV12" t="s">
        <v>575</v>
      </c>
      <c r="AW12" t="s">
        <v>574</v>
      </c>
      <c r="AX12" t="s">
        <v>573</v>
      </c>
      <c r="AY12" t="s">
        <v>572</v>
      </c>
      <c r="AZ12" t="s">
        <v>589</v>
      </c>
      <c r="BA12" t="s">
        <v>588</v>
      </c>
      <c r="BB12" t="s">
        <v>593</v>
      </c>
      <c r="BC12" t="s">
        <v>592</v>
      </c>
      <c r="BD12" t="s">
        <v>595</v>
      </c>
      <c r="BE12" t="s">
        <v>594</v>
      </c>
      <c r="BF12" t="s">
        <v>603</v>
      </c>
      <c r="BG12" t="s">
        <v>602</v>
      </c>
      <c r="BH12" t="s">
        <v>601</v>
      </c>
      <c r="BI12" t="s">
        <v>600</v>
      </c>
      <c r="BJ12" t="s">
        <v>525</v>
      </c>
      <c r="BK12" t="s">
        <v>524</v>
      </c>
      <c r="BL12" t="s">
        <v>528</v>
      </c>
      <c r="BM12" t="s">
        <v>536</v>
      </c>
      <c r="BN12" t="s">
        <v>532</v>
      </c>
      <c r="BO12" t="s">
        <v>535</v>
      </c>
      <c r="BP12" t="s">
        <v>534</v>
      </c>
      <c r="BQ12" t="s">
        <v>533</v>
      </c>
      <c r="BR12" t="s">
        <v>531</v>
      </c>
      <c r="BS12" t="s">
        <v>530</v>
      </c>
      <c r="BT12" t="s">
        <v>527</v>
      </c>
      <c r="BU12" t="s">
        <v>529</v>
      </c>
      <c r="BV12" t="s">
        <v>332</v>
      </c>
      <c r="BW12" t="s">
        <v>333</v>
      </c>
      <c r="BX12" t="s">
        <v>334</v>
      </c>
      <c r="BY12" t="s">
        <v>335</v>
      </c>
      <c r="BZ12" t="s">
        <v>336</v>
      </c>
      <c r="CA12" t="s">
        <v>337</v>
      </c>
      <c r="CB12" t="s">
        <v>471</v>
      </c>
      <c r="CC12" t="s">
        <v>470</v>
      </c>
      <c r="CD12" t="s">
        <v>469</v>
      </c>
      <c r="CE12" t="s">
        <v>338</v>
      </c>
      <c r="CF12" t="s">
        <v>339</v>
      </c>
      <c r="CG12" t="s">
        <v>340</v>
      </c>
      <c r="CH12" t="s">
        <v>341</v>
      </c>
      <c r="CI12" t="s">
        <v>342</v>
      </c>
      <c r="CJ12" t="s">
        <v>611</v>
      </c>
      <c r="CK12" t="s">
        <v>610</v>
      </c>
      <c r="CL12" t="s">
        <v>609</v>
      </c>
      <c r="CM12" t="s">
        <v>615</v>
      </c>
      <c r="CN12" t="s">
        <v>618</v>
      </c>
      <c r="CO12" t="s">
        <v>620</v>
      </c>
      <c r="CP12" t="s">
        <v>624</v>
      </c>
      <c r="CQ12" t="s">
        <v>623</v>
      </c>
      <c r="CR12" t="s">
        <v>627</v>
      </c>
      <c r="CS12" t="s">
        <v>626</v>
      </c>
      <c r="CT12" t="s">
        <v>636</v>
      </c>
      <c r="CU12" t="s">
        <v>638</v>
      </c>
      <c r="CV12" t="s">
        <v>625</v>
      </c>
      <c r="CW12" t="s">
        <v>634</v>
      </c>
      <c r="CX12" t="s">
        <v>343</v>
      </c>
      <c r="CY12" t="s">
        <v>344</v>
      </c>
      <c r="CZ12" t="s">
        <v>345</v>
      </c>
      <c r="DA12" t="s">
        <v>346</v>
      </c>
    </row>
    <row r="13" spans="1:105" x14ac:dyDescent="0.25">
      <c r="A13" s="7" t="s">
        <v>29</v>
      </c>
      <c r="B13" s="24"/>
      <c r="C13" s="8" t="s">
        <v>30</v>
      </c>
      <c r="D13" s="8">
        <v>43806</v>
      </c>
      <c r="E13" s="4" t="s">
        <v>31</v>
      </c>
      <c r="F13" s="8">
        <v>44173</v>
      </c>
      <c r="G13" s="4" t="s">
        <v>143</v>
      </c>
      <c r="H13" s="4" t="s">
        <v>144</v>
      </c>
      <c r="I13" s="4" t="s">
        <v>145</v>
      </c>
      <c r="J13" s="4" t="s">
        <v>146</v>
      </c>
      <c r="K13" s="4" t="s">
        <v>147</v>
      </c>
      <c r="L13" s="4" t="s">
        <v>148</v>
      </c>
      <c r="M13" s="4" t="s">
        <v>149</v>
      </c>
      <c r="N13" s="4" t="s">
        <v>150</v>
      </c>
      <c r="O13" s="4" t="s">
        <v>151</v>
      </c>
      <c r="P13" s="4" t="s">
        <v>504</v>
      </c>
      <c r="Q13" s="4" t="s">
        <v>505</v>
      </c>
      <c r="R13" s="4" t="s">
        <v>506</v>
      </c>
      <c r="S13" s="8">
        <v>32874</v>
      </c>
      <c r="T13" s="8" t="s">
        <v>519</v>
      </c>
      <c r="U13" s="8" t="s">
        <v>519</v>
      </c>
      <c r="V13" s="4" t="s">
        <v>507</v>
      </c>
      <c r="W13" s="4" t="s">
        <v>508</v>
      </c>
      <c r="X13" s="4" t="s">
        <v>509</v>
      </c>
      <c r="Y13" s="8">
        <v>398149</v>
      </c>
      <c r="Z13" s="8" t="s">
        <v>523</v>
      </c>
      <c r="AA13" s="8" t="s">
        <v>522</v>
      </c>
      <c r="AB13" s="8" t="s">
        <v>542</v>
      </c>
      <c r="AC13" s="8" t="s">
        <v>543</v>
      </c>
      <c r="AD13" s="8" t="s">
        <v>553</v>
      </c>
      <c r="AE13" s="8" t="s">
        <v>554</v>
      </c>
      <c r="AF13" s="8" t="s">
        <v>555</v>
      </c>
      <c r="AG13" s="8" t="s">
        <v>556</v>
      </c>
      <c r="AH13" s="8" t="s">
        <v>557</v>
      </c>
      <c r="AI13" s="8" t="s">
        <v>558</v>
      </c>
      <c r="AJ13" s="8" t="s">
        <v>559</v>
      </c>
      <c r="AK13" s="8" t="s">
        <v>560</v>
      </c>
      <c r="AL13" s="8" t="s">
        <v>563</v>
      </c>
      <c r="AM13" s="8" t="s">
        <v>564</v>
      </c>
      <c r="AN13" s="8" t="s">
        <v>578</v>
      </c>
      <c r="AO13" s="8" t="s">
        <v>579</v>
      </c>
      <c r="AP13" s="8" t="s">
        <v>580</v>
      </c>
      <c r="AQ13" s="8">
        <v>7621</v>
      </c>
      <c r="AR13" s="8" t="s">
        <v>581</v>
      </c>
      <c r="AS13" s="8" t="s">
        <v>582</v>
      </c>
      <c r="AT13" s="8" t="s">
        <v>583</v>
      </c>
      <c r="AU13" s="8" t="s">
        <v>584</v>
      </c>
      <c r="AV13" s="8" t="s">
        <v>585</v>
      </c>
      <c r="AW13" s="8">
        <v>66102</v>
      </c>
      <c r="AX13" s="8" t="s">
        <v>586</v>
      </c>
      <c r="AY13" s="8" t="s">
        <v>587</v>
      </c>
      <c r="AZ13" s="8" t="s">
        <v>590</v>
      </c>
      <c r="BA13" s="8" t="s">
        <v>591</v>
      </c>
      <c r="BB13" s="8" t="s">
        <v>596</v>
      </c>
      <c r="BC13" s="8" t="s">
        <v>597</v>
      </c>
      <c r="BD13" s="8" t="s">
        <v>598</v>
      </c>
      <c r="BE13" s="8" t="s">
        <v>599</v>
      </c>
      <c r="BF13" s="8" t="s">
        <v>604</v>
      </c>
      <c r="BG13" s="8" t="s">
        <v>605</v>
      </c>
      <c r="BH13" s="8" t="s">
        <v>607</v>
      </c>
      <c r="BI13" s="8" t="s">
        <v>608</v>
      </c>
      <c r="BJ13" s="8" t="s">
        <v>507</v>
      </c>
      <c r="BK13" s="8" t="s">
        <v>508</v>
      </c>
      <c r="BL13" s="8" t="s">
        <v>509</v>
      </c>
      <c r="BM13" s="8">
        <v>32874</v>
      </c>
      <c r="BN13" s="8" t="s">
        <v>537</v>
      </c>
      <c r="BO13" s="8" t="s">
        <v>538</v>
      </c>
      <c r="BP13" s="8" t="s">
        <v>507</v>
      </c>
      <c r="BQ13" s="8" t="s">
        <v>508</v>
      </c>
      <c r="BR13" s="8" t="s">
        <v>509</v>
      </c>
      <c r="BS13" s="8">
        <v>398149</v>
      </c>
      <c r="BT13" s="8" t="s">
        <v>539</v>
      </c>
      <c r="BU13" s="8" t="s">
        <v>539</v>
      </c>
      <c r="BV13" s="18" t="s">
        <v>61</v>
      </c>
      <c r="BW13" s="18" t="s">
        <v>152</v>
      </c>
      <c r="BX13" s="18" t="s">
        <v>153</v>
      </c>
      <c r="BY13" s="18" t="s">
        <v>154</v>
      </c>
      <c r="BZ13" s="18" t="s">
        <v>155</v>
      </c>
      <c r="CA13" s="18" t="s">
        <v>156</v>
      </c>
      <c r="CB13" s="18" t="s">
        <v>61</v>
      </c>
      <c r="CC13" s="18" t="s">
        <v>475</v>
      </c>
      <c r="CD13" s="18" t="s">
        <v>153</v>
      </c>
      <c r="CE13" s="10">
        <v>32125</v>
      </c>
      <c r="CF13" s="18" t="s">
        <v>157</v>
      </c>
      <c r="CG13" s="18" t="s">
        <v>158</v>
      </c>
      <c r="CH13" s="18" t="s">
        <v>159</v>
      </c>
      <c r="CI13" s="18" t="s">
        <v>160</v>
      </c>
      <c r="CJ13" s="18" t="s">
        <v>613</v>
      </c>
      <c r="CK13" s="18" t="s">
        <v>614</v>
      </c>
      <c r="CL13" s="18" t="s">
        <v>616</v>
      </c>
      <c r="CM13" s="18" t="s">
        <v>617</v>
      </c>
      <c r="CN13" s="18" t="s">
        <v>621</v>
      </c>
      <c r="CO13" s="18" t="s">
        <v>622</v>
      </c>
      <c r="CP13" s="18" t="s">
        <v>629</v>
      </c>
      <c r="CQ13" s="18"/>
      <c r="CR13" s="18" t="s">
        <v>630</v>
      </c>
      <c r="CS13" s="18" t="s">
        <v>631</v>
      </c>
      <c r="CT13" s="157" t="s">
        <v>663</v>
      </c>
      <c r="CU13" s="157" t="s">
        <v>664</v>
      </c>
      <c r="CV13" s="157" t="s">
        <v>633</v>
      </c>
      <c r="CW13" s="157" t="s">
        <v>635</v>
      </c>
      <c r="CX13" s="18" t="s">
        <v>161</v>
      </c>
      <c r="CY13" s="18" t="s">
        <v>162</v>
      </c>
      <c r="CZ13" s="18" t="s">
        <v>163</v>
      </c>
      <c r="DA13" s="18" t="s">
        <v>164</v>
      </c>
    </row>
    <row r="14" spans="1:105" x14ac:dyDescent="0.25">
      <c r="B14" s="80"/>
      <c r="C14" s="81"/>
      <c r="D14" s="81"/>
      <c r="E14" s="1"/>
      <c r="F14" s="8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88" t="s">
        <v>348</v>
      </c>
      <c r="BW14" s="88"/>
      <c r="BX14" s="88"/>
      <c r="BY14" s="88"/>
      <c r="BZ14" s="88"/>
      <c r="CA14" s="88"/>
      <c r="CB14" s="88"/>
      <c r="CC14" s="88"/>
      <c r="CD14" s="88"/>
      <c r="CE14" s="10"/>
      <c r="CF14" s="88"/>
      <c r="CG14" s="88"/>
      <c r="CH14" s="88"/>
      <c r="CI14" s="88"/>
      <c r="CJ14" s="88"/>
      <c r="CK14" s="88"/>
      <c r="CL14" s="88"/>
      <c r="CM14" s="88"/>
      <c r="CN14" s="88"/>
      <c r="CO14" s="88"/>
      <c r="CP14" s="88"/>
      <c r="CQ14" s="88"/>
      <c r="CR14" s="88"/>
      <c r="CS14" s="88"/>
      <c r="CT14" s="88"/>
      <c r="CU14" s="88"/>
      <c r="CV14" s="88"/>
      <c r="CW14" s="88"/>
      <c r="CX14" s="88"/>
      <c r="CY14" s="88"/>
      <c r="CZ14" s="88"/>
      <c r="DA14" s="88"/>
    </row>
    <row r="15" spans="1:105" x14ac:dyDescent="0.25">
      <c r="B15" s="80"/>
      <c r="C15" s="81"/>
      <c r="D15" s="81"/>
      <c r="E15" s="1"/>
      <c r="F15" s="8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88"/>
      <c r="BW15" s="88" t="s">
        <v>380</v>
      </c>
      <c r="BX15" s="88" t="s">
        <v>381</v>
      </c>
      <c r="BY15" s="88"/>
      <c r="BZ15" s="88"/>
      <c r="CA15" s="88"/>
      <c r="CB15" s="88"/>
      <c r="CC15" s="88"/>
      <c r="CD15" s="88"/>
      <c r="CE15" s="10">
        <v>28060</v>
      </c>
      <c r="CF15" s="88"/>
      <c r="CG15" s="88"/>
      <c r="CH15" s="88"/>
      <c r="CI15" s="88"/>
      <c r="CJ15" s="88"/>
      <c r="CK15" s="88"/>
      <c r="CL15" s="88"/>
      <c r="CM15" s="88"/>
      <c r="CN15" s="88"/>
      <c r="CO15" s="88"/>
      <c r="CP15" s="88"/>
      <c r="CQ15" s="88"/>
      <c r="CR15" s="88"/>
      <c r="CS15" s="88"/>
      <c r="CT15" s="88"/>
      <c r="CU15" s="88"/>
      <c r="CV15" s="88"/>
      <c r="CW15" s="88"/>
      <c r="CX15" s="88"/>
      <c r="CY15" s="88"/>
      <c r="CZ15" s="88"/>
      <c r="DA15" s="88"/>
    </row>
  </sheetData>
  <hyperlinks>
    <hyperlink ref="CV13" r:id="rId1"/>
    <hyperlink ref="CW13" r:id="rId2"/>
    <hyperlink ref="CT13" r:id="rId3"/>
    <hyperlink ref="CU13" r:id="rId4"/>
  </hyperlinks>
  <pageMargins left="0.7" right="0.7" top="0.75" bottom="0.75" header="0.3" footer="0.3"/>
  <pageSetup paperSize="9" orientation="portrait" horizontalDpi="300" verticalDpi="300" r:id="rId5"/>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Y18"/>
  <sheetViews>
    <sheetView tabSelected="1" topLeftCell="AB1" zoomScale="70" zoomScaleNormal="70" workbookViewId="0">
      <selection activeCell="BF22" sqref="BF22"/>
    </sheetView>
  </sheetViews>
  <sheetFormatPr baseColWidth="10" defaultColWidth="9.140625" defaultRowHeight="15" x14ac:dyDescent="0.25"/>
  <cols>
    <col min="1" max="1" width="16.7109375" bestFit="1" customWidth="1"/>
    <col min="2" max="2" width="38.85546875" customWidth="1"/>
    <col min="3" max="3" width="17.5703125" hidden="1" customWidth="1"/>
    <col min="4" max="4" width="17.28515625" hidden="1" customWidth="1"/>
    <col min="5" max="5" width="18.140625" hidden="1" customWidth="1"/>
    <col min="6" max="6" width="17.28515625" hidden="1" customWidth="1"/>
    <col min="7" max="7" width="0" hidden="1" customWidth="1"/>
    <col min="8" max="8" width="50.140625" customWidth="1"/>
    <col min="9" max="10" width="0" hidden="1" customWidth="1"/>
    <col min="11" max="11" width="38.7109375" customWidth="1"/>
    <col min="12" max="27" width="0" hidden="1" customWidth="1"/>
    <col min="28" max="28" width="20.85546875" customWidth="1"/>
    <col min="29" max="33" width="17.5703125" hidden="1" customWidth="1"/>
    <col min="34" max="34" width="22.28515625" customWidth="1"/>
    <col min="35" max="36" width="17.5703125" hidden="1" customWidth="1"/>
    <col min="37" max="37" width="20" customWidth="1"/>
    <col min="38" max="53" width="17.5703125" hidden="1" customWidth="1"/>
    <col min="54" max="54" width="23.140625" customWidth="1"/>
    <col min="55" max="55" width="20.5703125" customWidth="1"/>
    <col min="56" max="58" width="22.42578125" customWidth="1"/>
    <col min="59" max="65" width="17.5703125" customWidth="1"/>
    <col min="67" max="67" width="19.7109375" customWidth="1"/>
    <col min="69" max="69" width="23.5703125" customWidth="1"/>
    <col min="70" max="70" width="16.28515625" customWidth="1"/>
    <col min="71" max="71" width="45" customWidth="1"/>
    <col min="72" max="72" width="33.42578125" customWidth="1"/>
    <col min="73" max="73" width="37.28515625" customWidth="1"/>
    <col min="74" max="76" width="34.5703125" customWidth="1"/>
    <col min="77" max="77" width="33.85546875" customWidth="1"/>
    <col min="78" max="78" width="23.28515625" customWidth="1"/>
  </cols>
  <sheetData>
    <row r="1" spans="1:77" s="100" customFormat="1" ht="23.25" x14ac:dyDescent="0.25">
      <c r="A1" s="94" t="s">
        <v>387</v>
      </c>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126"/>
      <c r="BC1" s="126"/>
      <c r="BD1" s="126"/>
      <c r="BE1" s="126"/>
      <c r="BF1" s="126"/>
      <c r="BG1" s="127"/>
      <c r="BH1" s="128"/>
      <c r="BM1" s="129"/>
      <c r="BN1" s="128"/>
      <c r="BO1" s="128"/>
    </row>
    <row r="2" spans="1:77" s="104" customFormat="1" ht="30" x14ac:dyDescent="0.25">
      <c r="A2" s="101" t="s">
        <v>5</v>
      </c>
      <c r="B2" s="103" t="s">
        <v>67</v>
      </c>
      <c r="C2" s="103" t="s">
        <v>67</v>
      </c>
      <c r="D2" s="103" t="s">
        <v>67</v>
      </c>
      <c r="E2" s="103" t="s">
        <v>67</v>
      </c>
      <c r="F2" s="103" t="s">
        <v>67</v>
      </c>
      <c r="G2" s="103" t="s">
        <v>67</v>
      </c>
      <c r="H2" s="103" t="s">
        <v>67</v>
      </c>
      <c r="I2" s="103" t="s">
        <v>67</v>
      </c>
      <c r="J2" s="103" t="s">
        <v>67</v>
      </c>
      <c r="K2" s="103" t="s">
        <v>67</v>
      </c>
      <c r="L2" s="103" t="s">
        <v>67</v>
      </c>
      <c r="M2" s="103" t="s">
        <v>67</v>
      </c>
      <c r="N2" s="103" t="s">
        <v>67</v>
      </c>
      <c r="O2" s="103" t="s">
        <v>67</v>
      </c>
      <c r="P2" s="103" t="s">
        <v>67</v>
      </c>
      <c r="Q2" s="103" t="s">
        <v>67</v>
      </c>
      <c r="R2" s="103" t="s">
        <v>67</v>
      </c>
      <c r="S2" s="103" t="s">
        <v>67</v>
      </c>
      <c r="T2" s="103" t="s">
        <v>67</v>
      </c>
      <c r="U2" s="103" t="s">
        <v>67</v>
      </c>
      <c r="V2" s="103" t="s">
        <v>67</v>
      </c>
      <c r="W2" s="103" t="s">
        <v>67</v>
      </c>
      <c r="X2" s="103" t="s">
        <v>67</v>
      </c>
      <c r="Y2" s="103" t="s">
        <v>67</v>
      </c>
      <c r="Z2" s="103" t="s">
        <v>67</v>
      </c>
      <c r="AA2" s="103" t="s">
        <v>67</v>
      </c>
      <c r="AB2" s="103" t="s">
        <v>67</v>
      </c>
      <c r="AC2" s="103" t="s">
        <v>67</v>
      </c>
      <c r="AD2" s="103" t="s">
        <v>67</v>
      </c>
      <c r="AE2" s="103" t="s">
        <v>67</v>
      </c>
      <c r="AF2" s="103" t="s">
        <v>67</v>
      </c>
      <c r="AG2" s="103" t="s">
        <v>67</v>
      </c>
      <c r="AH2" s="103" t="s">
        <v>67</v>
      </c>
      <c r="AI2" s="103" t="s">
        <v>67</v>
      </c>
      <c r="AJ2" s="103" t="s">
        <v>67</v>
      </c>
      <c r="AK2" s="103" t="s">
        <v>67</v>
      </c>
      <c r="AL2" s="103" t="s">
        <v>67</v>
      </c>
      <c r="AM2" s="103" t="s">
        <v>67</v>
      </c>
      <c r="AN2" s="103" t="s">
        <v>67</v>
      </c>
      <c r="AO2" s="103" t="s">
        <v>67</v>
      </c>
      <c r="AP2" s="103" t="s">
        <v>67</v>
      </c>
      <c r="AQ2" s="103" t="s">
        <v>67</v>
      </c>
      <c r="AR2" s="103" t="s">
        <v>67</v>
      </c>
      <c r="AS2" s="103" t="s">
        <v>67</v>
      </c>
      <c r="AT2" s="103" t="s">
        <v>67</v>
      </c>
      <c r="AU2" s="103" t="s">
        <v>67</v>
      </c>
      <c r="AV2" s="103" t="s">
        <v>67</v>
      </c>
      <c r="AW2" s="103" t="s">
        <v>67</v>
      </c>
      <c r="AX2" s="103" t="s">
        <v>67</v>
      </c>
      <c r="AY2" s="103" t="s">
        <v>67</v>
      </c>
      <c r="AZ2" s="103" t="s">
        <v>67</v>
      </c>
      <c r="BA2" s="103" t="s">
        <v>67</v>
      </c>
      <c r="BB2" s="103" t="s">
        <v>67</v>
      </c>
      <c r="BC2" s="103" t="s">
        <v>67</v>
      </c>
      <c r="BD2" s="103" t="s">
        <v>67</v>
      </c>
      <c r="BE2" s="103" t="s">
        <v>67</v>
      </c>
      <c r="BF2" s="103" t="s">
        <v>514</v>
      </c>
      <c r="BG2" s="103" t="s">
        <v>67</v>
      </c>
      <c r="BH2" s="103" t="s">
        <v>67</v>
      </c>
      <c r="BI2" s="103" t="s">
        <v>67</v>
      </c>
      <c r="BJ2" s="103" t="s">
        <v>67</v>
      </c>
      <c r="BK2" s="103" t="s">
        <v>67</v>
      </c>
      <c r="BL2" s="103" t="s">
        <v>67</v>
      </c>
      <c r="BM2" s="103" t="s">
        <v>67</v>
      </c>
      <c r="BN2" s="103" t="s">
        <v>67</v>
      </c>
      <c r="BO2" s="103" t="s">
        <v>67</v>
      </c>
      <c r="BP2" s="103" t="s">
        <v>67</v>
      </c>
      <c r="BQ2" s="104" t="s">
        <v>642</v>
      </c>
      <c r="BR2" s="104" t="s">
        <v>67</v>
      </c>
      <c r="BS2" s="104" t="s">
        <v>67</v>
      </c>
      <c r="BT2" s="104" t="s">
        <v>649</v>
      </c>
      <c r="BU2" s="104" t="s">
        <v>649</v>
      </c>
      <c r="BV2" s="104" t="s">
        <v>649</v>
      </c>
      <c r="BW2" s="104" t="s">
        <v>67</v>
      </c>
      <c r="BY2" s="104" t="s">
        <v>649</v>
      </c>
    </row>
    <row r="3" spans="1:77" s="100" customFormat="1" ht="30" x14ac:dyDescent="0.25">
      <c r="A3" s="101" t="s">
        <v>9</v>
      </c>
      <c r="B3" s="101" t="s">
        <v>172</v>
      </c>
      <c r="C3" s="101" t="s">
        <v>172</v>
      </c>
      <c r="D3" s="101" t="s">
        <v>172</v>
      </c>
      <c r="E3" s="101" t="s">
        <v>172</v>
      </c>
      <c r="F3" s="101" t="s">
        <v>172</v>
      </c>
      <c r="G3" s="101" t="s">
        <v>172</v>
      </c>
      <c r="H3" s="101" t="s">
        <v>172</v>
      </c>
      <c r="I3" s="101" t="s">
        <v>172</v>
      </c>
      <c r="J3" s="101" t="s">
        <v>172</v>
      </c>
      <c r="K3" s="101" t="s">
        <v>172</v>
      </c>
      <c r="L3" s="101" t="s">
        <v>172</v>
      </c>
      <c r="M3" s="101" t="s">
        <v>172</v>
      </c>
      <c r="N3" s="101" t="s">
        <v>172</v>
      </c>
      <c r="O3" s="101" t="s">
        <v>172</v>
      </c>
      <c r="P3" s="101" t="s">
        <v>172</v>
      </c>
      <c r="Q3" s="101" t="s">
        <v>172</v>
      </c>
      <c r="R3" s="101" t="s">
        <v>172</v>
      </c>
      <c r="S3" s="101" t="s">
        <v>172</v>
      </c>
      <c r="T3" s="101" t="s">
        <v>172</v>
      </c>
      <c r="U3" s="101" t="s">
        <v>172</v>
      </c>
      <c r="V3" s="101" t="s">
        <v>172</v>
      </c>
      <c r="W3" s="101" t="s">
        <v>172</v>
      </c>
      <c r="X3" s="101" t="s">
        <v>172</v>
      </c>
      <c r="Y3" s="101" t="s">
        <v>172</v>
      </c>
      <c r="Z3" s="101" t="s">
        <v>172</v>
      </c>
      <c r="AA3" s="101" t="s">
        <v>172</v>
      </c>
      <c r="AB3" s="101" t="s">
        <v>138</v>
      </c>
      <c r="AC3" s="101" t="s">
        <v>138</v>
      </c>
      <c r="AD3" s="101" t="s">
        <v>138</v>
      </c>
      <c r="AE3" s="101" t="s">
        <v>138</v>
      </c>
      <c r="AF3" s="101" t="s">
        <v>138</v>
      </c>
      <c r="AG3" s="101" t="s">
        <v>138</v>
      </c>
      <c r="AH3" s="101" t="s">
        <v>138</v>
      </c>
      <c r="AI3" s="101" t="s">
        <v>138</v>
      </c>
      <c r="AJ3" s="101" t="s">
        <v>138</v>
      </c>
      <c r="AK3" s="101" t="s">
        <v>138</v>
      </c>
      <c r="AL3" s="101" t="s">
        <v>138</v>
      </c>
      <c r="AM3" s="101" t="s">
        <v>138</v>
      </c>
      <c r="AN3" s="101" t="s">
        <v>138</v>
      </c>
      <c r="AO3" s="101" t="s">
        <v>138</v>
      </c>
      <c r="AP3" s="101" t="s">
        <v>138</v>
      </c>
      <c r="AQ3" s="101" t="s">
        <v>138</v>
      </c>
      <c r="AR3" s="101" t="s">
        <v>138</v>
      </c>
      <c r="AS3" s="101" t="s">
        <v>138</v>
      </c>
      <c r="AT3" s="101" t="s">
        <v>138</v>
      </c>
      <c r="AU3" s="101" t="s">
        <v>138</v>
      </c>
      <c r="AV3" s="101" t="s">
        <v>138</v>
      </c>
      <c r="AW3" s="101" t="s">
        <v>138</v>
      </c>
      <c r="AX3" s="101" t="s">
        <v>138</v>
      </c>
      <c r="AY3" s="101" t="s">
        <v>138</v>
      </c>
      <c r="AZ3" s="101" t="s">
        <v>138</v>
      </c>
      <c r="BA3" s="101" t="s">
        <v>138</v>
      </c>
      <c r="BB3" s="101" t="s">
        <v>138</v>
      </c>
      <c r="BC3" s="101" t="s">
        <v>138</v>
      </c>
      <c r="BD3" s="101" t="s">
        <v>138</v>
      </c>
      <c r="BE3" s="101" t="s">
        <v>395</v>
      </c>
      <c r="BF3" s="101" t="s">
        <v>485</v>
      </c>
      <c r="BG3" s="130" t="s">
        <v>388</v>
      </c>
      <c r="BH3" s="130" t="s">
        <v>388</v>
      </c>
      <c r="BI3" s="101" t="s">
        <v>389</v>
      </c>
      <c r="BJ3" s="101" t="s">
        <v>389</v>
      </c>
      <c r="BK3" s="101" t="s">
        <v>13</v>
      </c>
      <c r="BL3" s="101" t="s">
        <v>13</v>
      </c>
      <c r="BM3" s="131" t="s">
        <v>13</v>
      </c>
      <c r="BN3" s="131" t="s">
        <v>13</v>
      </c>
      <c r="BO3" s="150" t="s">
        <v>390</v>
      </c>
      <c r="BP3" s="150" t="s">
        <v>390</v>
      </c>
      <c r="BQ3" s="100" t="s">
        <v>13</v>
      </c>
      <c r="BR3" s="100" t="s">
        <v>394</v>
      </c>
      <c r="BS3" s="100" t="s">
        <v>394</v>
      </c>
      <c r="BT3" s="100" t="s">
        <v>650</v>
      </c>
      <c r="BU3" s="100" t="s">
        <v>650</v>
      </c>
      <c r="BV3" s="100" t="s">
        <v>650</v>
      </c>
      <c r="BW3" s="100" t="s">
        <v>660</v>
      </c>
      <c r="BY3" s="100" t="s">
        <v>650</v>
      </c>
    </row>
    <row r="4" spans="1:77" s="100" customFormat="1" x14ac:dyDescent="0.25">
      <c r="A4" s="101" t="s">
        <v>15</v>
      </c>
      <c r="B4" s="101" t="s">
        <v>16</v>
      </c>
      <c r="C4" s="101" t="s">
        <v>16</v>
      </c>
      <c r="D4" s="101" t="s">
        <v>16</v>
      </c>
      <c r="E4" s="101" t="s">
        <v>16</v>
      </c>
      <c r="F4" s="101" t="s">
        <v>16</v>
      </c>
      <c r="G4" s="101" t="s">
        <v>16</v>
      </c>
      <c r="H4" s="101" t="s">
        <v>16</v>
      </c>
      <c r="I4" s="101" t="s">
        <v>16</v>
      </c>
      <c r="J4" s="101" t="s">
        <v>16</v>
      </c>
      <c r="K4" s="101" t="s">
        <v>16</v>
      </c>
      <c r="L4" s="101" t="s">
        <v>16</v>
      </c>
      <c r="M4" s="101" t="s">
        <v>16</v>
      </c>
      <c r="N4" s="101" t="s">
        <v>16</v>
      </c>
      <c r="O4" s="101" t="s">
        <v>16</v>
      </c>
      <c r="P4" s="101" t="s">
        <v>16</v>
      </c>
      <c r="Q4" s="101" t="s">
        <v>16</v>
      </c>
      <c r="R4" s="101" t="s">
        <v>16</v>
      </c>
      <c r="S4" s="101" t="s">
        <v>16</v>
      </c>
      <c r="T4" s="101" t="s">
        <v>16</v>
      </c>
      <c r="U4" s="101" t="s">
        <v>16</v>
      </c>
      <c r="V4" s="101" t="s">
        <v>16</v>
      </c>
      <c r="W4" s="101" t="s">
        <v>16</v>
      </c>
      <c r="X4" s="101" t="s">
        <v>16</v>
      </c>
      <c r="Y4" s="101" t="s">
        <v>16</v>
      </c>
      <c r="Z4" s="101" t="s">
        <v>16</v>
      </c>
      <c r="AA4" s="101" t="s">
        <v>16</v>
      </c>
      <c r="AB4" s="101" t="s">
        <v>16</v>
      </c>
      <c r="AC4" s="101" t="s">
        <v>16</v>
      </c>
      <c r="AD4" s="101" t="s">
        <v>16</v>
      </c>
      <c r="AE4" s="101" t="s">
        <v>16</v>
      </c>
      <c r="AF4" s="101" t="s">
        <v>16</v>
      </c>
      <c r="AG4" s="101" t="s">
        <v>16</v>
      </c>
      <c r="AH4" s="101" t="s">
        <v>16</v>
      </c>
      <c r="AI4" s="101" t="s">
        <v>16</v>
      </c>
      <c r="AJ4" s="101" t="s">
        <v>16</v>
      </c>
      <c r="AK4" s="101" t="s">
        <v>16</v>
      </c>
      <c r="AL4" s="101" t="s">
        <v>16</v>
      </c>
      <c r="AM4" s="101" t="s">
        <v>16</v>
      </c>
      <c r="AN4" s="101" t="s">
        <v>16</v>
      </c>
      <c r="AO4" s="101" t="s">
        <v>16</v>
      </c>
      <c r="AP4" s="101" t="s">
        <v>16</v>
      </c>
      <c r="AQ4" s="101" t="s">
        <v>16</v>
      </c>
      <c r="AR4" s="101" t="s">
        <v>16</v>
      </c>
      <c r="AS4" s="101" t="s">
        <v>16</v>
      </c>
      <c r="AT4" s="101" t="s">
        <v>16</v>
      </c>
      <c r="AU4" s="101" t="s">
        <v>16</v>
      </c>
      <c r="AV4" s="101" t="s">
        <v>16</v>
      </c>
      <c r="AW4" s="101" t="s">
        <v>16</v>
      </c>
      <c r="AX4" s="101" t="s">
        <v>16</v>
      </c>
      <c r="AY4" s="101" t="s">
        <v>16</v>
      </c>
      <c r="AZ4" s="101" t="s">
        <v>16</v>
      </c>
      <c r="BA4" s="101" t="s">
        <v>16</v>
      </c>
      <c r="BB4" s="101" t="s">
        <v>16</v>
      </c>
      <c r="BC4" s="101" t="s">
        <v>16</v>
      </c>
      <c r="BD4" s="101" t="s">
        <v>16</v>
      </c>
      <c r="BE4" s="101" t="s">
        <v>16</v>
      </c>
      <c r="BF4" s="101" t="s">
        <v>482</v>
      </c>
      <c r="BG4" s="130" t="s">
        <v>16</v>
      </c>
      <c r="BH4" s="130" t="s">
        <v>16</v>
      </c>
      <c r="BI4" s="101" t="s">
        <v>16</v>
      </c>
      <c r="BJ4" s="101" t="s">
        <v>16</v>
      </c>
      <c r="BK4" s="101" t="s">
        <v>16</v>
      </c>
      <c r="BL4" s="101" t="s">
        <v>16</v>
      </c>
      <c r="BM4" s="131" t="s">
        <v>16</v>
      </c>
      <c r="BN4" s="131" t="s">
        <v>16</v>
      </c>
      <c r="BO4" s="150" t="s">
        <v>16</v>
      </c>
      <c r="BP4" s="150" t="s">
        <v>16</v>
      </c>
      <c r="BQ4" s="100" t="s">
        <v>482</v>
      </c>
      <c r="BR4" s="100" t="s">
        <v>16</v>
      </c>
      <c r="BS4" s="100" t="s">
        <v>16</v>
      </c>
      <c r="BT4" s="100" t="s">
        <v>482</v>
      </c>
      <c r="BU4" s="100" t="s">
        <v>482</v>
      </c>
      <c r="BV4" s="100" t="s">
        <v>482</v>
      </c>
      <c r="BW4" s="101" t="s">
        <v>60</v>
      </c>
      <c r="BX4" s="101"/>
      <c r="BY4" s="100" t="s">
        <v>482</v>
      </c>
    </row>
    <row r="5" spans="1:77" s="100" customFormat="1" ht="30" x14ac:dyDescent="0.25">
      <c r="A5" s="101" t="s">
        <v>21</v>
      </c>
      <c r="B5" s="101" t="s">
        <v>24</v>
      </c>
      <c r="C5" s="101" t="s">
        <v>24</v>
      </c>
      <c r="D5" s="101" t="s">
        <v>24</v>
      </c>
      <c r="E5" s="101" t="s">
        <v>24</v>
      </c>
      <c r="F5" s="101" t="s">
        <v>24</v>
      </c>
      <c r="G5" s="101" t="s">
        <v>24</v>
      </c>
      <c r="H5" s="101" t="s">
        <v>24</v>
      </c>
      <c r="I5" s="101" t="s">
        <v>24</v>
      </c>
      <c r="J5" s="101" t="s">
        <v>24</v>
      </c>
      <c r="K5" s="101" t="s">
        <v>24</v>
      </c>
      <c r="L5" s="101" t="s">
        <v>24</v>
      </c>
      <c r="M5" s="101" t="s">
        <v>24</v>
      </c>
      <c r="N5" s="101" t="s">
        <v>24</v>
      </c>
      <c r="O5" s="101" t="s">
        <v>24</v>
      </c>
      <c r="P5" s="101" t="s">
        <v>24</v>
      </c>
      <c r="Q5" s="101" t="s">
        <v>24</v>
      </c>
      <c r="R5" s="101" t="s">
        <v>24</v>
      </c>
      <c r="S5" s="101" t="s">
        <v>24</v>
      </c>
      <c r="T5" s="101" t="s">
        <v>24</v>
      </c>
      <c r="U5" s="101" t="s">
        <v>24</v>
      </c>
      <c r="V5" s="101" t="s">
        <v>24</v>
      </c>
      <c r="W5" s="101" t="s">
        <v>24</v>
      </c>
      <c r="X5" s="101" t="s">
        <v>24</v>
      </c>
      <c r="Y5" s="101" t="s">
        <v>24</v>
      </c>
      <c r="Z5" s="101" t="s">
        <v>24</v>
      </c>
      <c r="AA5" s="101" t="s">
        <v>24</v>
      </c>
      <c r="AB5" s="101" t="s">
        <v>24</v>
      </c>
      <c r="AC5" s="101" t="s">
        <v>24</v>
      </c>
      <c r="AD5" s="101" t="s">
        <v>24</v>
      </c>
      <c r="AE5" s="101" t="s">
        <v>24</v>
      </c>
      <c r="AF5" s="101" t="s">
        <v>24</v>
      </c>
      <c r="AG5" s="101" t="s">
        <v>24</v>
      </c>
      <c r="AH5" s="101" t="s">
        <v>24</v>
      </c>
      <c r="AI5" s="101" t="s">
        <v>24</v>
      </c>
      <c r="AJ5" s="101" t="s">
        <v>24</v>
      </c>
      <c r="AK5" s="101" t="s">
        <v>24</v>
      </c>
      <c r="AL5" s="101" t="s">
        <v>24</v>
      </c>
      <c r="AM5" s="101" t="s">
        <v>24</v>
      </c>
      <c r="AN5" s="101" t="s">
        <v>24</v>
      </c>
      <c r="AO5" s="101" t="s">
        <v>24</v>
      </c>
      <c r="AP5" s="101" t="s">
        <v>24</v>
      </c>
      <c r="AQ5" s="101" t="s">
        <v>24</v>
      </c>
      <c r="AR5" s="101" t="s">
        <v>24</v>
      </c>
      <c r="AS5" s="101" t="s">
        <v>24</v>
      </c>
      <c r="AT5" s="101" t="s">
        <v>24</v>
      </c>
      <c r="AU5" s="101" t="s">
        <v>24</v>
      </c>
      <c r="AV5" s="101" t="s">
        <v>24</v>
      </c>
      <c r="AW5" s="101" t="s">
        <v>24</v>
      </c>
      <c r="AX5" s="101" t="s">
        <v>24</v>
      </c>
      <c r="AY5" s="101" t="s">
        <v>24</v>
      </c>
      <c r="AZ5" s="101" t="s">
        <v>24</v>
      </c>
      <c r="BA5" s="101" t="s">
        <v>24</v>
      </c>
      <c r="BB5" s="101" t="s">
        <v>24</v>
      </c>
      <c r="BC5" s="101" t="s">
        <v>24</v>
      </c>
      <c r="BD5" s="101" t="s">
        <v>24</v>
      </c>
      <c r="BE5" s="101" t="s">
        <v>398</v>
      </c>
      <c r="BF5" s="101" t="s">
        <v>211</v>
      </c>
      <c r="BG5" s="133" t="s">
        <v>22</v>
      </c>
      <c r="BH5" s="133" t="s">
        <v>22</v>
      </c>
      <c r="BI5" s="133" t="s">
        <v>22</v>
      </c>
      <c r="BJ5" s="133" t="s">
        <v>22</v>
      </c>
      <c r="BK5" s="133" t="s">
        <v>397</v>
      </c>
      <c r="BL5" s="133" t="s">
        <v>397</v>
      </c>
      <c r="BM5" s="131" t="s">
        <v>24</v>
      </c>
      <c r="BN5" s="131" t="s">
        <v>24</v>
      </c>
      <c r="BO5" s="150" t="s">
        <v>64</v>
      </c>
      <c r="BP5" s="150" t="s">
        <v>64</v>
      </c>
      <c r="BQ5" s="100" t="s">
        <v>24</v>
      </c>
      <c r="BR5" s="100" t="s">
        <v>64</v>
      </c>
      <c r="BS5" s="100" t="s">
        <v>64</v>
      </c>
      <c r="BT5" s="100" t="s">
        <v>24</v>
      </c>
      <c r="BU5" s="100" t="s">
        <v>547</v>
      </c>
      <c r="BV5" s="100" t="s">
        <v>211</v>
      </c>
      <c r="BW5" s="100" t="s">
        <v>67</v>
      </c>
      <c r="BY5" s="100" t="s">
        <v>142</v>
      </c>
    </row>
    <row r="6" spans="1:77" s="100" customFormat="1" x14ac:dyDescent="0.25">
      <c r="A6" s="101" t="s">
        <v>25</v>
      </c>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v>1</v>
      </c>
      <c r="AC6" s="101"/>
      <c r="AD6" s="101"/>
      <c r="AE6" s="101"/>
      <c r="AF6" s="101"/>
      <c r="AG6" s="101"/>
      <c r="AH6" s="101">
        <v>1</v>
      </c>
      <c r="AI6" s="101"/>
      <c r="AJ6" s="101"/>
      <c r="AK6" s="101">
        <v>1</v>
      </c>
      <c r="AL6" s="101"/>
      <c r="AM6" s="101"/>
      <c r="AN6" s="101"/>
      <c r="AO6" s="101"/>
      <c r="AP6" s="101"/>
      <c r="AQ6" s="101"/>
      <c r="AR6" s="101"/>
      <c r="AS6" s="101"/>
      <c r="AT6" s="101"/>
      <c r="AU6" s="101"/>
      <c r="AV6" s="101"/>
      <c r="AW6" s="101"/>
      <c r="AX6" s="101"/>
      <c r="AY6" s="101"/>
      <c r="AZ6" s="101"/>
      <c r="BA6" s="101"/>
      <c r="BB6" s="101">
        <v>2</v>
      </c>
      <c r="BC6" s="101">
        <v>2</v>
      </c>
      <c r="BD6" s="101">
        <v>2</v>
      </c>
      <c r="BE6" s="101"/>
      <c r="BF6" s="101"/>
      <c r="BG6" s="127">
        <v>1</v>
      </c>
      <c r="BH6" s="127">
        <v>2</v>
      </c>
      <c r="BI6" s="100">
        <v>1</v>
      </c>
      <c r="BJ6" s="100">
        <v>2</v>
      </c>
      <c r="BK6" s="100">
        <v>1</v>
      </c>
      <c r="BL6" s="100">
        <v>2</v>
      </c>
      <c r="BM6" s="129">
        <v>1</v>
      </c>
      <c r="BN6" s="129">
        <v>2</v>
      </c>
      <c r="BO6" s="128">
        <v>1</v>
      </c>
      <c r="BP6" s="128">
        <v>1</v>
      </c>
      <c r="BQ6" s="100">
        <v>1</v>
      </c>
      <c r="BR6" s="100">
        <v>1</v>
      </c>
      <c r="BS6" s="100">
        <v>1</v>
      </c>
      <c r="BT6" s="100">
        <v>1</v>
      </c>
      <c r="BU6" s="100">
        <v>1</v>
      </c>
      <c r="BV6" s="100">
        <v>1</v>
      </c>
      <c r="BY6" s="100">
        <v>1</v>
      </c>
    </row>
    <row r="7" spans="1:77" s="100" customFormat="1" x14ac:dyDescent="0.25">
      <c r="A7" s="101" t="s">
        <v>26</v>
      </c>
      <c r="B7" s="101" t="s">
        <v>43</v>
      </c>
      <c r="C7" s="101" t="s">
        <v>68</v>
      </c>
      <c r="D7" s="101" t="s">
        <v>69</v>
      </c>
      <c r="E7" s="101" t="s">
        <v>70</v>
      </c>
      <c r="F7" s="101" t="s">
        <v>71</v>
      </c>
      <c r="G7" s="101" t="s">
        <v>72</v>
      </c>
      <c r="H7" s="101" t="s">
        <v>46</v>
      </c>
      <c r="I7" s="101" t="s">
        <v>73</v>
      </c>
      <c r="J7" s="101" t="s">
        <v>74</v>
      </c>
      <c r="K7" s="101" t="s">
        <v>75</v>
      </c>
      <c r="L7" s="101" t="s">
        <v>76</v>
      </c>
      <c r="M7" s="101" t="s">
        <v>77</v>
      </c>
      <c r="N7" s="101" t="s">
        <v>78</v>
      </c>
      <c r="O7" s="101" t="s">
        <v>79</v>
      </c>
      <c r="P7" s="101" t="s">
        <v>80</v>
      </c>
      <c r="Q7" s="101" t="s">
        <v>81</v>
      </c>
      <c r="R7" s="101" t="s">
        <v>82</v>
      </c>
      <c r="S7" s="101" t="s">
        <v>44</v>
      </c>
      <c r="T7" s="101" t="s">
        <v>83</v>
      </c>
      <c r="U7" s="101" t="s">
        <v>84</v>
      </c>
      <c r="V7" s="101" t="s">
        <v>85</v>
      </c>
      <c r="W7" s="101" t="s">
        <v>86</v>
      </c>
      <c r="X7" s="101" t="s">
        <v>87</v>
      </c>
      <c r="Y7" s="101" t="s">
        <v>88</v>
      </c>
      <c r="Z7" s="101" t="s">
        <v>89</v>
      </c>
      <c r="AA7" s="101" t="s">
        <v>90</v>
      </c>
      <c r="AB7" s="101" t="s">
        <v>43</v>
      </c>
      <c r="AC7" s="101" t="s">
        <v>68</v>
      </c>
      <c r="AD7" s="101" t="s">
        <v>69</v>
      </c>
      <c r="AE7" s="101" t="s">
        <v>70</v>
      </c>
      <c r="AF7" s="101" t="s">
        <v>71</v>
      </c>
      <c r="AG7" s="101" t="s">
        <v>72</v>
      </c>
      <c r="AH7" s="101" t="s">
        <v>46</v>
      </c>
      <c r="AI7" s="101" t="s">
        <v>73</v>
      </c>
      <c r="AJ7" s="101" t="s">
        <v>74</v>
      </c>
      <c r="AK7" s="101" t="s">
        <v>75</v>
      </c>
      <c r="AL7" s="101" t="s">
        <v>76</v>
      </c>
      <c r="AM7" s="101" t="s">
        <v>77</v>
      </c>
      <c r="AN7" s="101" t="s">
        <v>78</v>
      </c>
      <c r="AO7" s="101" t="s">
        <v>79</v>
      </c>
      <c r="AP7" s="101" t="s">
        <v>80</v>
      </c>
      <c r="AQ7" s="101" t="s">
        <v>81</v>
      </c>
      <c r="AR7" s="101" t="s">
        <v>82</v>
      </c>
      <c r="AS7" s="101" t="s">
        <v>44</v>
      </c>
      <c r="AT7" s="101" t="s">
        <v>83</v>
      </c>
      <c r="AU7" s="101" t="s">
        <v>84</v>
      </c>
      <c r="AV7" s="101" t="s">
        <v>85</v>
      </c>
      <c r="AW7" s="101" t="s">
        <v>86</v>
      </c>
      <c r="AX7" s="101" t="s">
        <v>87</v>
      </c>
      <c r="AY7" s="101" t="s">
        <v>88</v>
      </c>
      <c r="AZ7" s="101" t="s">
        <v>89</v>
      </c>
      <c r="BA7" s="101" t="s">
        <v>90</v>
      </c>
      <c r="BB7" s="101" t="s">
        <v>43</v>
      </c>
      <c r="BC7" s="101" t="s">
        <v>46</v>
      </c>
      <c r="BD7" s="101" t="s">
        <v>75</v>
      </c>
      <c r="BE7" s="101"/>
      <c r="BF7" s="101"/>
      <c r="BG7" s="127"/>
      <c r="BH7" s="127"/>
      <c r="BM7" s="129"/>
      <c r="BN7" s="128"/>
      <c r="BO7" s="128" t="s">
        <v>46</v>
      </c>
      <c r="BP7" s="128" t="s">
        <v>43</v>
      </c>
      <c r="BR7" s="100" t="s">
        <v>43</v>
      </c>
      <c r="BS7" s="100" t="s">
        <v>46</v>
      </c>
    </row>
    <row r="8" spans="1:77" s="105" customFormat="1" ht="30" x14ac:dyDescent="0.25">
      <c r="A8" s="105" t="s">
        <v>27</v>
      </c>
      <c r="B8" s="105" t="s">
        <v>399</v>
      </c>
      <c r="AB8" s="105" t="s">
        <v>400</v>
      </c>
      <c r="BB8" s="105" t="s">
        <v>400</v>
      </c>
      <c r="BG8" s="134" t="s">
        <v>401</v>
      </c>
      <c r="BH8" s="134" t="s">
        <v>401</v>
      </c>
      <c r="BI8" s="105" t="s">
        <v>402</v>
      </c>
      <c r="BJ8" s="105" t="s">
        <v>402</v>
      </c>
      <c r="BK8" s="105" t="s">
        <v>403</v>
      </c>
      <c r="BL8" s="105" t="s">
        <v>403</v>
      </c>
      <c r="BM8" s="135" t="s">
        <v>404</v>
      </c>
    </row>
    <row r="9" spans="1:77" s="108" customFormat="1" ht="48.75" customHeight="1" x14ac:dyDescent="0.25">
      <c r="A9" s="107" t="s">
        <v>28</v>
      </c>
      <c r="B9" s="108" t="s">
        <v>405</v>
      </c>
      <c r="BG9" s="136" t="s">
        <v>406</v>
      </c>
      <c r="BH9" s="136" t="s">
        <v>406</v>
      </c>
      <c r="BI9" s="108" t="s">
        <v>406</v>
      </c>
      <c r="BJ9" s="108" t="s">
        <v>406</v>
      </c>
      <c r="BK9" s="108" t="s">
        <v>407</v>
      </c>
      <c r="BL9" s="108" t="s">
        <v>407</v>
      </c>
      <c r="BM9" s="137"/>
      <c r="BN9" s="138"/>
      <c r="BO9" s="138"/>
    </row>
    <row r="10" spans="1:77" s="111" customFormat="1" ht="30.75" thickBot="1" x14ac:dyDescent="0.3">
      <c r="A10" s="110" t="s">
        <v>26</v>
      </c>
      <c r="B10" s="111" t="s">
        <v>95</v>
      </c>
      <c r="C10" s="111" t="s">
        <v>96</v>
      </c>
      <c r="D10" s="111" t="s">
        <v>97</v>
      </c>
      <c r="E10" s="111" t="s">
        <v>98</v>
      </c>
      <c r="F10" s="111" t="s">
        <v>99</v>
      </c>
      <c r="G10" s="111" t="s">
        <v>100</v>
      </c>
      <c r="H10" s="111" t="s">
        <v>101</v>
      </c>
      <c r="I10" s="111" t="s">
        <v>102</v>
      </c>
      <c r="J10" s="111" t="s">
        <v>103</v>
      </c>
      <c r="K10" s="111" t="s">
        <v>104</v>
      </c>
      <c r="L10" s="111" t="s">
        <v>105</v>
      </c>
      <c r="M10" s="111" t="s">
        <v>106</v>
      </c>
      <c r="N10" s="111" t="s">
        <v>107</v>
      </c>
      <c r="O10" s="111" t="s">
        <v>108</v>
      </c>
      <c r="P10" s="111" t="s">
        <v>109</v>
      </c>
      <c r="Q10" s="111" t="s">
        <v>110</v>
      </c>
      <c r="R10" s="111" t="s">
        <v>111</v>
      </c>
      <c r="S10" s="111" t="s">
        <v>112</v>
      </c>
      <c r="T10" s="111" t="s">
        <v>113</v>
      </c>
      <c r="U10" s="111" t="s">
        <v>114</v>
      </c>
      <c r="V10" s="111" t="s">
        <v>115</v>
      </c>
      <c r="W10" s="111" t="s">
        <v>116</v>
      </c>
      <c r="X10" s="111" t="s">
        <v>117</v>
      </c>
      <c r="Y10" s="111" t="s">
        <v>118</v>
      </c>
      <c r="Z10" s="111" t="s">
        <v>119</v>
      </c>
      <c r="AA10" s="111" t="s">
        <v>120</v>
      </c>
      <c r="AB10" s="111" t="s">
        <v>95</v>
      </c>
      <c r="AC10" s="111" t="s">
        <v>96</v>
      </c>
      <c r="AD10" s="111" t="s">
        <v>97</v>
      </c>
      <c r="AE10" s="111" t="s">
        <v>98</v>
      </c>
      <c r="AF10" s="111" t="s">
        <v>99</v>
      </c>
      <c r="AG10" s="111" t="s">
        <v>100</v>
      </c>
      <c r="AH10" s="111" t="s">
        <v>101</v>
      </c>
      <c r="AI10" s="111" t="s">
        <v>102</v>
      </c>
      <c r="AJ10" s="111" t="s">
        <v>103</v>
      </c>
      <c r="AK10" s="111" t="s">
        <v>104</v>
      </c>
      <c r="AL10" s="111" t="s">
        <v>105</v>
      </c>
      <c r="AM10" s="111" t="s">
        <v>106</v>
      </c>
      <c r="AN10" s="111" t="s">
        <v>107</v>
      </c>
      <c r="AO10" s="111" t="s">
        <v>108</v>
      </c>
      <c r="AP10" s="111" t="s">
        <v>109</v>
      </c>
      <c r="AQ10" s="111" t="s">
        <v>110</v>
      </c>
      <c r="AR10" s="111" t="s">
        <v>111</v>
      </c>
      <c r="AS10" s="111" t="s">
        <v>112</v>
      </c>
      <c r="AT10" s="111" t="s">
        <v>113</v>
      </c>
      <c r="AU10" s="111" t="s">
        <v>114</v>
      </c>
      <c r="AV10" s="111" t="s">
        <v>115</v>
      </c>
      <c r="AW10" s="111" t="s">
        <v>116</v>
      </c>
      <c r="AX10" s="111" t="s">
        <v>117</v>
      </c>
      <c r="AY10" s="111" t="s">
        <v>118</v>
      </c>
      <c r="AZ10" s="111" t="s">
        <v>119</v>
      </c>
      <c r="BA10" s="111" t="s">
        <v>120</v>
      </c>
      <c r="BB10" s="111" t="s">
        <v>95</v>
      </c>
      <c r="BC10" s="111" t="s">
        <v>101</v>
      </c>
      <c r="BD10" s="111" t="s">
        <v>104</v>
      </c>
      <c r="BG10" s="139"/>
      <c r="BH10" s="139"/>
      <c r="BM10" s="140"/>
    </row>
    <row r="11" spans="1:77" s="114" customFormat="1" x14ac:dyDescent="0.25">
      <c r="A11" s="116"/>
      <c r="B11" s="116"/>
      <c r="C11" s="116"/>
      <c r="D11" s="116"/>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row>
    <row r="12" spans="1:77" s="100" customFormat="1" ht="90" x14ac:dyDescent="0.25">
      <c r="B12" s="141" t="s">
        <v>241</v>
      </c>
      <c r="C12" s="142" t="s">
        <v>242</v>
      </c>
      <c r="D12" s="142" t="s">
        <v>243</v>
      </c>
      <c r="E12" s="142" t="s">
        <v>244</v>
      </c>
      <c r="F12" s="142" t="s">
        <v>245</v>
      </c>
      <c r="G12" s="142" t="s">
        <v>246</v>
      </c>
      <c r="H12" s="142" t="s">
        <v>247</v>
      </c>
      <c r="I12" s="142" t="s">
        <v>248</v>
      </c>
      <c r="J12" s="142" t="s">
        <v>249</v>
      </c>
      <c r="K12" s="142" t="s">
        <v>250</v>
      </c>
      <c r="L12" s="142" t="s">
        <v>251</v>
      </c>
      <c r="M12" s="142" t="s">
        <v>252</v>
      </c>
      <c r="N12" s="142" t="s">
        <v>253</v>
      </c>
      <c r="O12" s="142" t="s">
        <v>254</v>
      </c>
      <c r="P12" s="142" t="s">
        <v>255</v>
      </c>
      <c r="Q12" s="142" t="s">
        <v>122</v>
      </c>
      <c r="R12" s="142" t="s">
        <v>123</v>
      </c>
      <c r="S12" s="142" t="s">
        <v>124</v>
      </c>
      <c r="T12" s="142" t="s">
        <v>125</v>
      </c>
      <c r="U12" s="142" t="s">
        <v>408</v>
      </c>
      <c r="V12" s="142" t="s">
        <v>409</v>
      </c>
      <c r="W12" s="142" t="s">
        <v>410</v>
      </c>
      <c r="X12" s="142" t="s">
        <v>411</v>
      </c>
      <c r="Y12" s="142" t="s">
        <v>412</v>
      </c>
      <c r="Z12" s="142" t="s">
        <v>413</v>
      </c>
      <c r="AA12" s="143" t="s">
        <v>414</v>
      </c>
      <c r="AB12" s="100" t="s">
        <v>415</v>
      </c>
      <c r="AC12" s="100" t="s">
        <v>416</v>
      </c>
      <c r="AD12" s="100" t="s">
        <v>417</v>
      </c>
      <c r="AE12" s="100" t="s">
        <v>418</v>
      </c>
      <c r="AF12" s="100" t="s">
        <v>419</v>
      </c>
      <c r="AG12" s="100" t="s">
        <v>420</v>
      </c>
      <c r="AH12" s="100" t="s">
        <v>421</v>
      </c>
      <c r="AI12" s="100" t="s">
        <v>422</v>
      </c>
      <c r="AJ12" s="100" t="s">
        <v>423</v>
      </c>
      <c r="AK12" s="100" t="s">
        <v>424</v>
      </c>
      <c r="AL12" s="100" t="s">
        <v>425</v>
      </c>
      <c r="AM12" s="100" t="s">
        <v>426</v>
      </c>
      <c r="AN12" s="100" t="s">
        <v>427</v>
      </c>
      <c r="AO12" s="100" t="s">
        <v>428</v>
      </c>
      <c r="AP12" s="100" t="s">
        <v>429</v>
      </c>
      <c r="AQ12" s="100" t="s">
        <v>430</v>
      </c>
      <c r="AR12" s="100" t="s">
        <v>431</v>
      </c>
      <c r="AS12" s="100" t="s">
        <v>432</v>
      </c>
      <c r="AT12" s="100" t="s">
        <v>433</v>
      </c>
      <c r="AU12" s="100" t="s">
        <v>434</v>
      </c>
      <c r="AV12" s="100" t="s">
        <v>435</v>
      </c>
      <c r="AW12" s="100" t="s">
        <v>436</v>
      </c>
      <c r="AX12" s="100" t="s">
        <v>437</v>
      </c>
      <c r="AY12" s="100" t="s">
        <v>438</v>
      </c>
      <c r="AZ12" s="100" t="s">
        <v>439</v>
      </c>
      <c r="BA12" s="100" t="s">
        <v>440</v>
      </c>
      <c r="BB12" s="100" t="s">
        <v>441</v>
      </c>
      <c r="BC12" s="100" t="s">
        <v>442</v>
      </c>
      <c r="BD12" s="100" t="s">
        <v>443</v>
      </c>
      <c r="BE12" s="100" t="s">
        <v>513</v>
      </c>
      <c r="BF12" s="100" t="s">
        <v>512</v>
      </c>
      <c r="BG12" s="127" t="s">
        <v>444</v>
      </c>
      <c r="BH12" s="127" t="s">
        <v>445</v>
      </c>
      <c r="BI12" s="100" t="s">
        <v>446</v>
      </c>
      <c r="BJ12" s="100" t="s">
        <v>447</v>
      </c>
      <c r="BK12" s="100" t="s">
        <v>448</v>
      </c>
      <c r="BL12" s="100" t="s">
        <v>449</v>
      </c>
      <c r="BM12" s="129" t="s">
        <v>450</v>
      </c>
      <c r="BN12" s="128" t="s">
        <v>451</v>
      </c>
      <c r="BO12" s="128" t="s">
        <v>639</v>
      </c>
      <c r="BP12" s="100" t="s">
        <v>641</v>
      </c>
      <c r="BQ12" s="100" t="s">
        <v>644</v>
      </c>
      <c r="BR12" s="100" t="s">
        <v>645</v>
      </c>
      <c r="BS12" s="100" t="s">
        <v>646</v>
      </c>
      <c r="BT12" s="100" t="s">
        <v>652</v>
      </c>
      <c r="BU12" s="100" t="s">
        <v>653</v>
      </c>
      <c r="BV12" s="100" t="s">
        <v>654</v>
      </c>
      <c r="BW12" s="100" t="s">
        <v>661</v>
      </c>
      <c r="BX12" s="100" t="s">
        <v>662</v>
      </c>
      <c r="BY12" s="100" t="s">
        <v>655</v>
      </c>
    </row>
    <row r="13" spans="1:77" s="144" customFormat="1" ht="30" x14ac:dyDescent="0.25">
      <c r="B13" s="145" t="s">
        <v>452</v>
      </c>
      <c r="C13" s="146"/>
      <c r="D13" s="146"/>
      <c r="E13" s="146"/>
      <c r="F13" s="146"/>
      <c r="G13" s="146"/>
      <c r="H13" s="145" t="s">
        <v>453</v>
      </c>
      <c r="I13" s="146"/>
      <c r="J13" s="146"/>
      <c r="K13" s="145" t="s">
        <v>454</v>
      </c>
      <c r="L13" s="146"/>
      <c r="M13" s="146"/>
      <c r="N13" s="146"/>
      <c r="O13" s="146"/>
      <c r="P13" s="146"/>
      <c r="Q13" s="146"/>
      <c r="R13" s="146"/>
      <c r="S13" s="146"/>
      <c r="T13" s="146"/>
      <c r="U13" s="146"/>
      <c r="V13" s="146"/>
      <c r="W13" s="146"/>
      <c r="X13" s="146"/>
      <c r="Y13" s="146"/>
      <c r="Z13" s="146"/>
      <c r="AA13" s="147"/>
      <c r="AB13" s="144" t="s">
        <v>455</v>
      </c>
      <c r="AH13" s="144" t="s">
        <v>456</v>
      </c>
      <c r="AK13" s="144" t="s">
        <v>457</v>
      </c>
      <c r="BB13" s="144" t="s">
        <v>458</v>
      </c>
      <c r="BC13" s="144" t="s">
        <v>459</v>
      </c>
      <c r="BD13" s="144" t="s">
        <v>460</v>
      </c>
      <c r="BE13" s="155" t="s">
        <v>668</v>
      </c>
      <c r="BF13" s="144" t="s">
        <v>515</v>
      </c>
      <c r="BG13" s="145" t="s">
        <v>461</v>
      </c>
      <c r="BH13" s="145" t="s">
        <v>462</v>
      </c>
      <c r="BI13" s="145" t="s">
        <v>463</v>
      </c>
      <c r="BJ13" s="145" t="s">
        <v>464</v>
      </c>
      <c r="BK13" s="133" t="s">
        <v>465</v>
      </c>
      <c r="BL13" s="133" t="s">
        <v>466</v>
      </c>
      <c r="BM13" s="148" t="s">
        <v>467</v>
      </c>
      <c r="BN13" s="149" t="s">
        <v>468</v>
      </c>
      <c r="BO13" s="149" t="s">
        <v>564</v>
      </c>
      <c r="BP13" s="144" t="s">
        <v>640</v>
      </c>
      <c r="BQ13" s="144" t="s">
        <v>643</v>
      </c>
      <c r="BR13" s="144" t="s">
        <v>647</v>
      </c>
      <c r="BS13" s="144" t="s">
        <v>648</v>
      </c>
      <c r="BT13" s="144" t="s">
        <v>651</v>
      </c>
      <c r="BU13" s="144" t="s">
        <v>656</v>
      </c>
      <c r="BV13" s="144" t="s">
        <v>657</v>
      </c>
      <c r="BW13" s="144">
        <v>14</v>
      </c>
      <c r="BY13" s="144" t="s">
        <v>658</v>
      </c>
    </row>
    <row r="14" spans="1:77" s="144" customFormat="1" ht="30" x14ac:dyDescent="0.25">
      <c r="B14" s="145" t="s">
        <v>659</v>
      </c>
      <c r="C14" s="146"/>
      <c r="D14" s="146"/>
      <c r="E14" s="146"/>
      <c r="F14" s="146"/>
      <c r="G14" s="146"/>
      <c r="H14" s="145" t="s">
        <v>659</v>
      </c>
      <c r="I14" s="146"/>
      <c r="J14" s="146"/>
      <c r="K14" s="145" t="s">
        <v>659</v>
      </c>
      <c r="L14" s="146"/>
      <c r="M14" s="146"/>
      <c r="N14" s="146"/>
      <c r="O14" s="146"/>
      <c r="P14" s="146"/>
      <c r="Q14" s="146"/>
      <c r="R14" s="146"/>
      <c r="S14" s="146"/>
      <c r="T14" s="146"/>
      <c r="U14" s="146"/>
      <c r="V14" s="146"/>
      <c r="W14" s="146"/>
      <c r="X14" s="146"/>
      <c r="Y14" s="146"/>
      <c r="Z14" s="146"/>
      <c r="AA14" s="147"/>
      <c r="AB14" s="144" t="s">
        <v>455</v>
      </c>
      <c r="AH14" s="144" t="s">
        <v>456</v>
      </c>
      <c r="AK14" s="144" t="s">
        <v>457</v>
      </c>
      <c r="BB14" s="144" t="s">
        <v>458</v>
      </c>
      <c r="BC14" s="144" t="s">
        <v>459</v>
      </c>
      <c r="BD14" s="144" t="s">
        <v>460</v>
      </c>
      <c r="BE14" s="155" t="s">
        <v>668</v>
      </c>
      <c r="BF14" s="144" t="s">
        <v>515</v>
      </c>
      <c r="BG14" s="145" t="s">
        <v>461</v>
      </c>
      <c r="BH14" s="145" t="s">
        <v>462</v>
      </c>
      <c r="BI14" s="145" t="s">
        <v>463</v>
      </c>
      <c r="BJ14" s="145" t="s">
        <v>464</v>
      </c>
      <c r="BK14" s="133" t="s">
        <v>465</v>
      </c>
      <c r="BL14" s="133" t="s">
        <v>466</v>
      </c>
      <c r="BM14" s="148" t="s">
        <v>467</v>
      </c>
      <c r="BN14" s="149" t="s">
        <v>468</v>
      </c>
      <c r="BO14" s="149" t="s">
        <v>564</v>
      </c>
      <c r="BP14" s="144" t="s">
        <v>640</v>
      </c>
      <c r="BQ14" s="144" t="s">
        <v>643</v>
      </c>
      <c r="BR14" s="144" t="s">
        <v>647</v>
      </c>
      <c r="BS14" s="144" t="s">
        <v>648</v>
      </c>
      <c r="BT14" s="144" t="s">
        <v>651</v>
      </c>
      <c r="BU14" s="144" t="s">
        <v>656</v>
      </c>
      <c r="BV14" s="144" t="s">
        <v>657</v>
      </c>
      <c r="BY14" s="144" t="s">
        <v>658</v>
      </c>
    </row>
    <row r="15" spans="1:77" s="100" customFormat="1" x14ac:dyDescent="0.25">
      <c r="BG15" s="127"/>
      <c r="BH15" s="128"/>
      <c r="BM15" s="129"/>
      <c r="BN15" s="128"/>
      <c r="BO15" s="128"/>
      <c r="BP15" s="144"/>
    </row>
    <row r="16" spans="1:77" s="100" customFormat="1" x14ac:dyDescent="0.25">
      <c r="BG16" s="127"/>
      <c r="BH16" s="128"/>
      <c r="BM16" s="129"/>
      <c r="BN16" s="128"/>
      <c r="BO16" s="128"/>
    </row>
    <row r="17" spans="2:68" s="100" customFormat="1" x14ac:dyDescent="0.25">
      <c r="BG17" s="127"/>
      <c r="BH17" s="128"/>
      <c r="BM17" s="129"/>
      <c r="BN17" s="128"/>
      <c r="BO17" s="128"/>
    </row>
    <row r="18" spans="2:68" x14ac:dyDescent="0.25">
      <c r="B18" s="100"/>
      <c r="C18" s="100"/>
      <c r="D18" s="100"/>
      <c r="E18" s="100"/>
      <c r="F18" s="100"/>
      <c r="G18" s="100"/>
      <c r="H18" s="100"/>
      <c r="I18" s="100"/>
      <c r="J18" s="100"/>
      <c r="K18" s="100"/>
      <c r="L18" s="100"/>
      <c r="M18" s="100"/>
      <c r="N18" s="100"/>
      <c r="O18" s="100"/>
      <c r="P18" s="100"/>
      <c r="Q18" s="100"/>
      <c r="R18" s="100"/>
      <c r="S18" s="100"/>
      <c r="T18" s="100"/>
      <c r="U18" s="100"/>
      <c r="V18" s="100"/>
      <c r="W18" s="100"/>
      <c r="X18" s="100"/>
      <c r="Y18" s="100"/>
      <c r="Z18" s="100"/>
      <c r="AA18" s="100"/>
      <c r="AB18" s="100"/>
      <c r="AC18" s="100"/>
      <c r="AD18" s="100"/>
      <c r="AE18" s="100"/>
      <c r="AF18" s="100"/>
      <c r="AG18" s="100"/>
      <c r="AH18" s="100"/>
      <c r="AI18" s="100"/>
      <c r="AJ18" s="100"/>
      <c r="AK18" s="100"/>
      <c r="AL18" s="100"/>
      <c r="AM18" s="100"/>
      <c r="AN18" s="100"/>
      <c r="AO18" s="100"/>
      <c r="AP18" s="100"/>
      <c r="AQ18" s="100"/>
      <c r="AR18" s="100"/>
      <c r="AS18" s="100"/>
      <c r="AT18" s="100"/>
      <c r="AU18" s="100"/>
      <c r="AV18" s="100"/>
      <c r="AW18" s="100"/>
      <c r="AX18" s="100"/>
      <c r="AY18" s="100"/>
      <c r="AZ18" s="100"/>
      <c r="BA18" s="100"/>
      <c r="BB18" s="100"/>
      <c r="BC18" s="100"/>
      <c r="BD18" s="100"/>
      <c r="BE18" s="100"/>
      <c r="BF18" s="100"/>
      <c r="BG18" s="127"/>
      <c r="BH18" s="128"/>
      <c r="BI18" s="100"/>
      <c r="BJ18" s="100"/>
      <c r="BK18" s="100"/>
      <c r="BL18" s="100"/>
      <c r="BM18" s="129"/>
      <c r="BN18" s="128"/>
      <c r="BO18" s="128"/>
      <c r="BP18" s="100"/>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14"/>
  <sheetViews>
    <sheetView zoomScale="85" zoomScaleNormal="85" workbookViewId="0">
      <selection activeCell="E22" sqref="E22"/>
    </sheetView>
  </sheetViews>
  <sheetFormatPr baseColWidth="10" defaultColWidth="10.85546875" defaultRowHeight="15" x14ac:dyDescent="0.25"/>
  <cols>
    <col min="2" max="2" width="15.85546875" customWidth="1"/>
    <col min="3" max="3" width="19.28515625" customWidth="1"/>
    <col min="4" max="4" width="26.7109375" customWidth="1"/>
    <col min="5" max="5" width="17.5703125" customWidth="1"/>
    <col min="6" max="6" width="22.42578125" customWidth="1"/>
    <col min="8" max="8" width="26.85546875" customWidth="1"/>
    <col min="9" max="9" width="10.85546875" customWidth="1"/>
    <col min="11" max="11" width="23.7109375" customWidth="1"/>
  </cols>
  <sheetData>
    <row r="1" spans="1:12" ht="30" x14ac:dyDescent="0.25">
      <c r="A1" s="6" t="s">
        <v>171</v>
      </c>
      <c r="B1" s="77" t="s">
        <v>166</v>
      </c>
      <c r="C1" s="5"/>
      <c r="D1" s="5"/>
      <c r="E1" s="5"/>
      <c r="F1" s="5"/>
    </row>
    <row r="2" spans="1:12" x14ac:dyDescent="0.25">
      <c r="A2" s="2" t="s">
        <v>5</v>
      </c>
      <c r="B2" s="20" t="s">
        <v>173</v>
      </c>
      <c r="C2" s="2" t="s">
        <v>173</v>
      </c>
      <c r="D2" s="2" t="s">
        <v>173</v>
      </c>
      <c r="E2" s="2" t="s">
        <v>173</v>
      </c>
      <c r="F2" s="2" t="s">
        <v>173</v>
      </c>
      <c r="G2" s="2" t="s">
        <v>173</v>
      </c>
      <c r="H2" s="2" t="s">
        <v>173</v>
      </c>
      <c r="I2" s="2" t="s">
        <v>173</v>
      </c>
      <c r="J2" s="2" t="s">
        <v>173</v>
      </c>
      <c r="K2" s="2" t="s">
        <v>173</v>
      </c>
      <c r="L2" s="2" t="s">
        <v>173</v>
      </c>
    </row>
    <row r="3" spans="1:12" x14ac:dyDescent="0.25">
      <c r="A3" s="3" t="s">
        <v>9</v>
      </c>
      <c r="B3" s="21" t="s">
        <v>130</v>
      </c>
      <c r="C3" s="3" t="s">
        <v>13</v>
      </c>
      <c r="D3" s="3" t="s">
        <v>38</v>
      </c>
      <c r="E3" s="3" t="s">
        <v>38</v>
      </c>
      <c r="F3" s="3" t="s">
        <v>38</v>
      </c>
      <c r="G3" s="3" t="s">
        <v>38</v>
      </c>
      <c r="H3" s="3" t="s">
        <v>64</v>
      </c>
      <c r="I3" s="3" t="s">
        <v>64</v>
      </c>
      <c r="J3" s="3" t="s">
        <v>64</v>
      </c>
      <c r="K3" s="3" t="s">
        <v>64</v>
      </c>
      <c r="L3" s="3" t="s">
        <v>64</v>
      </c>
    </row>
    <row r="4" spans="1:12" x14ac:dyDescent="0.25">
      <c r="A4" s="3" t="s">
        <v>15</v>
      </c>
      <c r="B4" s="22" t="s">
        <v>139</v>
      </c>
      <c r="C4" t="s">
        <v>16</v>
      </c>
      <c r="D4" t="s">
        <v>16</v>
      </c>
      <c r="E4" t="s">
        <v>16</v>
      </c>
      <c r="F4" t="s">
        <v>16</v>
      </c>
      <c r="G4" t="s">
        <v>16</v>
      </c>
      <c r="H4" t="s">
        <v>16</v>
      </c>
      <c r="I4" t="s">
        <v>16</v>
      </c>
      <c r="J4" t="s">
        <v>16</v>
      </c>
      <c r="K4" t="s">
        <v>16</v>
      </c>
      <c r="L4" t="s">
        <v>16</v>
      </c>
    </row>
    <row r="5" spans="1:12" x14ac:dyDescent="0.25">
      <c r="A5" s="3" t="s">
        <v>21</v>
      </c>
      <c r="B5" s="23"/>
      <c r="C5" t="s">
        <v>24</v>
      </c>
      <c r="D5" t="s">
        <v>24</v>
      </c>
      <c r="E5" t="s">
        <v>41</v>
      </c>
      <c r="F5" t="s">
        <v>24</v>
      </c>
      <c r="G5" t="s">
        <v>41</v>
      </c>
      <c r="H5" t="s">
        <v>24</v>
      </c>
      <c r="I5" t="s">
        <v>41</v>
      </c>
      <c r="J5" t="s">
        <v>42</v>
      </c>
      <c r="K5" t="s">
        <v>24</v>
      </c>
      <c r="L5" t="s">
        <v>41</v>
      </c>
    </row>
    <row r="6" spans="1:12" x14ac:dyDescent="0.25">
      <c r="A6" s="3" t="s">
        <v>25</v>
      </c>
      <c r="B6" s="23"/>
      <c r="C6" s="3">
        <v>1</v>
      </c>
      <c r="D6" s="3"/>
      <c r="E6" s="3"/>
      <c r="F6" s="3"/>
      <c r="G6" s="3"/>
      <c r="H6" s="3"/>
      <c r="I6" s="3"/>
      <c r="J6" s="3"/>
      <c r="K6" s="3"/>
      <c r="L6" s="3"/>
    </row>
    <row r="7" spans="1:12" x14ac:dyDescent="0.25">
      <c r="A7" s="3" t="s">
        <v>26</v>
      </c>
      <c r="B7" s="23"/>
      <c r="C7" s="1"/>
      <c r="D7" s="1" t="s">
        <v>43</v>
      </c>
      <c r="E7" s="1" t="s">
        <v>43</v>
      </c>
      <c r="F7" s="1" t="s">
        <v>44</v>
      </c>
      <c r="G7" s="1" t="s">
        <v>44</v>
      </c>
      <c r="H7" s="1" t="s">
        <v>43</v>
      </c>
      <c r="I7" s="1" t="s">
        <v>43</v>
      </c>
      <c r="J7" s="1"/>
      <c r="K7" s="1" t="s">
        <v>44</v>
      </c>
      <c r="L7" s="1" t="s">
        <v>44</v>
      </c>
    </row>
    <row r="8" spans="1:12" x14ac:dyDescent="0.25">
      <c r="A8" s="26" t="s">
        <v>27</v>
      </c>
      <c r="B8" s="34"/>
      <c r="C8" s="27"/>
      <c r="D8" s="27"/>
      <c r="E8" s="27"/>
      <c r="F8" s="27"/>
      <c r="G8" s="36"/>
      <c r="H8" s="36"/>
      <c r="I8" s="36"/>
      <c r="J8" s="36"/>
      <c r="K8" s="36"/>
      <c r="L8" s="36"/>
    </row>
    <row r="9" spans="1:12" x14ac:dyDescent="0.25">
      <c r="A9" s="28" t="s">
        <v>28</v>
      </c>
      <c r="B9" s="37"/>
      <c r="C9" s="29"/>
      <c r="D9" s="30"/>
      <c r="E9" s="30"/>
      <c r="F9" s="30"/>
      <c r="G9" s="36"/>
      <c r="H9" s="36"/>
      <c r="I9" s="36"/>
      <c r="J9" s="36"/>
      <c r="K9" s="36"/>
      <c r="L9" s="36"/>
    </row>
    <row r="10" spans="1:12" ht="15.75" thickBot="1" x14ac:dyDescent="0.3">
      <c r="A10" s="31" t="s">
        <v>26</v>
      </c>
      <c r="B10" s="38"/>
      <c r="C10" s="32"/>
      <c r="D10" s="33"/>
      <c r="E10" s="33"/>
      <c r="F10" s="33"/>
      <c r="G10" s="36"/>
      <c r="H10" s="36"/>
      <c r="I10" s="36"/>
      <c r="J10" s="36"/>
      <c r="K10" s="36"/>
      <c r="L10" s="36"/>
    </row>
    <row r="11" spans="1:12" x14ac:dyDescent="0.25">
      <c r="A11" s="65" t="s">
        <v>121</v>
      </c>
      <c r="B11" s="78"/>
      <c r="C11" s="79"/>
      <c r="D11" s="35"/>
      <c r="E11" s="35"/>
      <c r="F11" s="35"/>
      <c r="G11" s="36"/>
      <c r="H11" s="36"/>
      <c r="I11" s="36"/>
      <c r="J11" s="36"/>
      <c r="K11" s="36"/>
      <c r="L11" s="36"/>
    </row>
    <row r="12" spans="1:12" x14ac:dyDescent="0.25">
      <c r="A12" s="65"/>
      <c r="B12" s="78"/>
      <c r="C12" s="79"/>
      <c r="D12" s="35"/>
      <c r="E12" s="35"/>
      <c r="F12" s="35"/>
      <c r="G12" s="36"/>
      <c r="H12" s="36"/>
      <c r="I12" s="36"/>
      <c r="J12" s="36"/>
      <c r="K12" s="36"/>
      <c r="L12" s="36"/>
    </row>
    <row r="13" spans="1:12" x14ac:dyDescent="0.25">
      <c r="A13" s="7" t="s">
        <v>29</v>
      </c>
      <c r="B13" s="24" t="s">
        <v>175</v>
      </c>
      <c r="C13" t="s">
        <v>176</v>
      </c>
      <c r="D13" t="s">
        <v>177</v>
      </c>
      <c r="F13" t="s">
        <v>178</v>
      </c>
      <c r="H13" t="s">
        <v>179</v>
      </c>
      <c r="J13" t="s">
        <v>180</v>
      </c>
      <c r="K13" t="s">
        <v>181</v>
      </c>
    </row>
    <row r="14" spans="1:12" x14ac:dyDescent="0.25">
      <c r="A14" s="7" t="s">
        <v>29</v>
      </c>
      <c r="B14" s="23"/>
      <c r="D14" t="s">
        <v>182</v>
      </c>
      <c r="F14" t="s">
        <v>183</v>
      </c>
      <c r="H14" t="s">
        <v>184</v>
      </c>
      <c r="J14" t="s">
        <v>185</v>
      </c>
      <c r="K14" t="s">
        <v>186</v>
      </c>
    </row>
  </sheetData>
  <pageMargins left="0.7" right="0.7" top="0.75" bottom="0.75" header="0.3" footer="0.3"/>
  <pageSetup paperSize="9" orientation="portrait" horizontalDpi="90" verticalDpi="9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33"/>
  <sheetViews>
    <sheetView workbookViewId="0">
      <selection activeCell="E11" sqref="E11"/>
    </sheetView>
  </sheetViews>
  <sheetFormatPr baseColWidth="10" defaultColWidth="9.140625" defaultRowHeight="15" x14ac:dyDescent="0.25"/>
  <cols>
    <col min="1" max="1" width="14.140625" bestFit="1" customWidth="1"/>
    <col min="2" max="2" width="14.140625" customWidth="1"/>
    <col min="3" max="3" width="61.42578125" bestFit="1" customWidth="1"/>
  </cols>
  <sheetData>
    <row r="1" spans="1:3" x14ac:dyDescent="0.25">
      <c r="A1" s="9" t="s">
        <v>211</v>
      </c>
      <c r="B1" s="9" t="s">
        <v>14</v>
      </c>
      <c r="C1" s="9" t="s">
        <v>140</v>
      </c>
    </row>
    <row r="2" spans="1:3" x14ac:dyDescent="0.25">
      <c r="A2" t="s">
        <v>96</v>
      </c>
      <c r="B2" t="s">
        <v>68</v>
      </c>
      <c r="C2" t="s">
        <v>212</v>
      </c>
    </row>
    <row r="3" spans="1:3" x14ac:dyDescent="0.25">
      <c r="A3" t="s">
        <v>97</v>
      </c>
      <c r="B3" t="s">
        <v>69</v>
      </c>
      <c r="C3" t="s">
        <v>213</v>
      </c>
    </row>
    <row r="4" spans="1:3" x14ac:dyDescent="0.25">
      <c r="A4" t="s">
        <v>98</v>
      </c>
      <c r="B4" t="s">
        <v>70</v>
      </c>
      <c r="C4" t="s">
        <v>214</v>
      </c>
    </row>
    <row r="5" spans="1:3" x14ac:dyDescent="0.25">
      <c r="A5" t="s">
        <v>99</v>
      </c>
      <c r="B5" t="s">
        <v>71</v>
      </c>
      <c r="C5" t="s">
        <v>215</v>
      </c>
    </row>
    <row r="6" spans="1:3" x14ac:dyDescent="0.25">
      <c r="A6" t="s">
        <v>100</v>
      </c>
      <c r="B6" t="s">
        <v>72</v>
      </c>
      <c r="C6" t="s">
        <v>216</v>
      </c>
    </row>
    <row r="7" spans="1:3" x14ac:dyDescent="0.25">
      <c r="A7" t="s">
        <v>95</v>
      </c>
      <c r="B7" t="s">
        <v>43</v>
      </c>
      <c r="C7" s="90" t="s">
        <v>217</v>
      </c>
    </row>
    <row r="8" spans="1:3" x14ac:dyDescent="0.25">
      <c r="A8" t="s">
        <v>101</v>
      </c>
      <c r="B8" t="s">
        <v>46</v>
      </c>
      <c r="C8" s="90" t="s">
        <v>218</v>
      </c>
    </row>
    <row r="9" spans="1:3" x14ac:dyDescent="0.25">
      <c r="A9" t="s">
        <v>102</v>
      </c>
      <c r="B9" t="s">
        <v>73</v>
      </c>
      <c r="C9" t="s">
        <v>219</v>
      </c>
    </row>
    <row r="10" spans="1:3" x14ac:dyDescent="0.25">
      <c r="A10" t="s">
        <v>103</v>
      </c>
      <c r="B10" t="s">
        <v>74</v>
      </c>
      <c r="C10" t="s">
        <v>220</v>
      </c>
    </row>
    <row r="11" spans="1:3" x14ac:dyDescent="0.25">
      <c r="A11" t="s">
        <v>104</v>
      </c>
      <c r="B11" t="s">
        <v>75</v>
      </c>
      <c r="C11" t="s">
        <v>221</v>
      </c>
    </row>
    <row r="12" spans="1:3" x14ac:dyDescent="0.25">
      <c r="A12" t="s">
        <v>105</v>
      </c>
      <c r="B12" t="s">
        <v>76</v>
      </c>
      <c r="C12" t="s">
        <v>222</v>
      </c>
    </row>
    <row r="13" spans="1:3" x14ac:dyDescent="0.25">
      <c r="A13" t="s">
        <v>106</v>
      </c>
      <c r="B13" t="s">
        <v>77</v>
      </c>
      <c r="C13" t="s">
        <v>223</v>
      </c>
    </row>
    <row r="14" spans="1:3" x14ac:dyDescent="0.25">
      <c r="A14" t="s">
        <v>107</v>
      </c>
      <c r="B14" t="s">
        <v>78</v>
      </c>
      <c r="C14" t="s">
        <v>224</v>
      </c>
    </row>
    <row r="15" spans="1:3" x14ac:dyDescent="0.25">
      <c r="A15" t="s">
        <v>108</v>
      </c>
      <c r="B15" t="s">
        <v>79</v>
      </c>
      <c r="C15" t="s">
        <v>225</v>
      </c>
    </row>
    <row r="16" spans="1:3" x14ac:dyDescent="0.25">
      <c r="A16" t="s">
        <v>109</v>
      </c>
      <c r="B16" t="s">
        <v>80</v>
      </c>
      <c r="C16" t="s">
        <v>226</v>
      </c>
    </row>
    <row r="17" spans="1:3" x14ac:dyDescent="0.25">
      <c r="A17" t="s">
        <v>110</v>
      </c>
      <c r="B17" t="s">
        <v>81</v>
      </c>
      <c r="C17" t="s">
        <v>227</v>
      </c>
    </row>
    <row r="18" spans="1:3" x14ac:dyDescent="0.25">
      <c r="A18" t="s">
        <v>111</v>
      </c>
      <c r="B18" t="s">
        <v>82</v>
      </c>
      <c r="C18" t="s">
        <v>228</v>
      </c>
    </row>
    <row r="19" spans="1:3" x14ac:dyDescent="0.25">
      <c r="A19" t="s">
        <v>112</v>
      </c>
      <c r="B19" t="s">
        <v>44</v>
      </c>
      <c r="C19" t="s">
        <v>229</v>
      </c>
    </row>
    <row r="20" spans="1:3" x14ac:dyDescent="0.25">
      <c r="A20" t="s">
        <v>113</v>
      </c>
      <c r="B20" t="s">
        <v>83</v>
      </c>
      <c r="C20" t="s">
        <v>230</v>
      </c>
    </row>
    <row r="21" spans="1:3" x14ac:dyDescent="0.25">
      <c r="A21" t="s">
        <v>114</v>
      </c>
      <c r="B21" t="s">
        <v>84</v>
      </c>
      <c r="C21" t="s">
        <v>231</v>
      </c>
    </row>
    <row r="22" spans="1:3" x14ac:dyDescent="0.25">
      <c r="A22" t="s">
        <v>115</v>
      </c>
      <c r="B22" t="s">
        <v>85</v>
      </c>
      <c r="C22" t="s">
        <v>232</v>
      </c>
    </row>
    <row r="23" spans="1:3" x14ac:dyDescent="0.25">
      <c r="A23" t="s">
        <v>116</v>
      </c>
      <c r="B23" t="s">
        <v>86</v>
      </c>
      <c r="C23" t="s">
        <v>233</v>
      </c>
    </row>
    <row r="24" spans="1:3" x14ac:dyDescent="0.25">
      <c r="A24" t="s">
        <v>117</v>
      </c>
      <c r="B24" t="s">
        <v>87</v>
      </c>
      <c r="C24" t="s">
        <v>234</v>
      </c>
    </row>
    <row r="25" spans="1:3" x14ac:dyDescent="0.25">
      <c r="A25" t="s">
        <v>118</v>
      </c>
      <c r="B25" t="s">
        <v>88</v>
      </c>
      <c r="C25" t="s">
        <v>235</v>
      </c>
    </row>
    <row r="26" spans="1:3" x14ac:dyDescent="0.25">
      <c r="A26" t="s">
        <v>119</v>
      </c>
      <c r="B26" t="s">
        <v>89</v>
      </c>
      <c r="C26" t="s">
        <v>236</v>
      </c>
    </row>
    <row r="27" spans="1:3" x14ac:dyDescent="0.25">
      <c r="A27" t="s">
        <v>120</v>
      </c>
      <c r="B27" t="s">
        <v>90</v>
      </c>
      <c r="C27" t="s">
        <v>237</v>
      </c>
    </row>
    <row r="29" spans="1:3" x14ac:dyDescent="0.25">
      <c r="A29" s="9" t="s">
        <v>358</v>
      </c>
      <c r="C29" t="s">
        <v>140</v>
      </c>
    </row>
    <row r="30" spans="1:3" x14ac:dyDescent="0.25">
      <c r="A30" t="s">
        <v>211</v>
      </c>
      <c r="B30" t="s">
        <v>122</v>
      </c>
      <c r="C30" t="s">
        <v>140</v>
      </c>
    </row>
    <row r="31" spans="1:3" x14ac:dyDescent="0.25">
      <c r="A31" s="89" t="s">
        <v>353</v>
      </c>
      <c r="C31" t="s">
        <v>352</v>
      </c>
    </row>
    <row r="32" spans="1:3" x14ac:dyDescent="0.25">
      <c r="A32" t="s">
        <v>355</v>
      </c>
      <c r="C32" t="s">
        <v>354</v>
      </c>
    </row>
    <row r="33" spans="1:3" x14ac:dyDescent="0.25">
      <c r="A33" t="s">
        <v>357</v>
      </c>
      <c r="C33" t="s">
        <v>356</v>
      </c>
    </row>
  </sheetData>
  <hyperlinks>
    <hyperlink ref="C3" r:id="rId1"/>
    <hyperlink ref="C19" r:id="rId2"/>
    <hyperlink ref="C24" r:id="rId3"/>
    <hyperlink ref="C20" r:id="rId4"/>
    <hyperlink ref="C21" r:id="rId5"/>
    <hyperlink ref="C31" r:id="rId6"/>
    <hyperlink ref="C32" r:id="rId7"/>
    <hyperlink ref="C33" r:id="rId8"/>
    <hyperlink ref="C7" r:id="rId9"/>
    <hyperlink ref="C8" r:id="rId10"/>
  </hyperlinks>
  <pageMargins left="0.7" right="0.7" top="0.75" bottom="0.75" header="0.3" footer="0.3"/>
  <pageSetup paperSize="9" orientation="portrait" horizontalDpi="300" verticalDpi="300" r:id="rId11"/>
  <tableParts count="2">
    <tablePart r:id="rId12"/>
    <tablePart r:id="rId1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1"/>
  <sheetViews>
    <sheetView workbookViewId="0">
      <selection activeCell="J14" sqref="J14"/>
    </sheetView>
  </sheetViews>
  <sheetFormatPr baseColWidth="10" defaultColWidth="9.140625" defaultRowHeight="15" x14ac:dyDescent="0.25"/>
  <cols>
    <col min="1" max="1" width="16.7109375" bestFit="1" customWidth="1"/>
    <col min="2" max="2" width="17.5703125" bestFit="1" customWidth="1"/>
    <col min="3" max="3" width="17.28515625" customWidth="1"/>
    <col min="4" max="4" width="18.140625" customWidth="1"/>
    <col min="5" max="5" width="0" hidden="1" customWidth="1"/>
    <col min="6" max="6" width="9.140625" customWidth="1"/>
  </cols>
  <sheetData>
    <row r="1" spans="1:6" ht="30" x14ac:dyDescent="0.25">
      <c r="A1" s="6" t="s">
        <v>165</v>
      </c>
      <c r="B1" s="77" t="s">
        <v>166</v>
      </c>
      <c r="C1" s="5"/>
      <c r="D1" s="5"/>
    </row>
    <row r="2" spans="1:6" x14ac:dyDescent="0.25">
      <c r="A2" s="2" t="s">
        <v>5</v>
      </c>
      <c r="B2" s="20" t="s">
        <v>141</v>
      </c>
      <c r="C2" s="13" t="s">
        <v>141</v>
      </c>
      <c r="D2" s="13" t="s">
        <v>141</v>
      </c>
      <c r="E2" s="13" t="s">
        <v>141</v>
      </c>
      <c r="F2" s="13" t="s">
        <v>141</v>
      </c>
    </row>
    <row r="3" spans="1:6" ht="30" x14ac:dyDescent="0.25">
      <c r="A3" s="3" t="s">
        <v>9</v>
      </c>
      <c r="B3" s="21" t="s">
        <v>130</v>
      </c>
      <c r="C3" s="13" t="s">
        <v>167</v>
      </c>
      <c r="D3" s="16" t="s">
        <v>168</v>
      </c>
      <c r="E3" s="13" t="s">
        <v>167</v>
      </c>
      <c r="F3" s="16" t="s">
        <v>168</v>
      </c>
    </row>
    <row r="4" spans="1:6" x14ac:dyDescent="0.25">
      <c r="A4" s="3" t="s">
        <v>15</v>
      </c>
      <c r="B4" s="22" t="s">
        <v>139</v>
      </c>
      <c r="C4" s="16" t="s">
        <v>16</v>
      </c>
      <c r="D4" s="14" t="s">
        <v>16</v>
      </c>
      <c r="E4" s="16" t="s">
        <v>16</v>
      </c>
      <c r="F4" s="14" t="s">
        <v>16</v>
      </c>
    </row>
    <row r="5" spans="1:6" x14ac:dyDescent="0.25">
      <c r="A5" s="3" t="s">
        <v>21</v>
      </c>
      <c r="B5" s="23"/>
      <c r="C5" s="3"/>
      <c r="D5" s="3" t="s">
        <v>24</v>
      </c>
      <c r="E5" s="3"/>
      <c r="F5" s="3" t="s">
        <v>24</v>
      </c>
    </row>
    <row r="6" spans="1:6" x14ac:dyDescent="0.25">
      <c r="A6" s="3" t="s">
        <v>25</v>
      </c>
      <c r="B6" s="23"/>
      <c r="C6" s="3"/>
      <c r="D6" s="3"/>
      <c r="E6" s="3"/>
      <c r="F6" s="3"/>
    </row>
    <row r="7" spans="1:6" x14ac:dyDescent="0.25">
      <c r="A7" s="3" t="s">
        <v>26</v>
      </c>
      <c r="B7" s="23"/>
      <c r="C7" s="1" t="s">
        <v>43</v>
      </c>
      <c r="D7" s="1" t="s">
        <v>43</v>
      </c>
      <c r="E7" s="1" t="s">
        <v>75</v>
      </c>
      <c r="F7" s="1" t="s">
        <v>43</v>
      </c>
    </row>
    <row r="8" spans="1:6" x14ac:dyDescent="0.25">
      <c r="A8" s="26" t="s">
        <v>27</v>
      </c>
      <c r="B8" s="34"/>
      <c r="C8" s="27"/>
      <c r="D8" s="27"/>
      <c r="E8" s="27"/>
      <c r="F8" s="27"/>
    </row>
    <row r="9" spans="1:6" x14ac:dyDescent="0.25">
      <c r="A9" s="28" t="s">
        <v>28</v>
      </c>
      <c r="B9" s="37"/>
      <c r="C9" s="30"/>
      <c r="D9" s="30"/>
      <c r="E9" s="30"/>
      <c r="F9" s="30"/>
    </row>
    <row r="10" spans="1:6" ht="15.75" thickBot="1" x14ac:dyDescent="0.3">
      <c r="A10" s="31" t="s">
        <v>26</v>
      </c>
      <c r="B10" s="38"/>
      <c r="C10" s="33"/>
      <c r="D10" s="33"/>
      <c r="E10" s="33"/>
      <c r="F10" s="33"/>
    </row>
    <row r="11" spans="1:6" x14ac:dyDescent="0.25">
      <c r="A11" s="7" t="s">
        <v>29</v>
      </c>
      <c r="B11" s="24"/>
      <c r="C11" s="4" t="s">
        <v>169</v>
      </c>
      <c r="D11" s="4" t="s">
        <v>157</v>
      </c>
      <c r="E11" s="4" t="s">
        <v>170</v>
      </c>
      <c r="F11" s="4" t="s">
        <v>157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2"/>
  <sheetViews>
    <sheetView zoomScale="85" zoomScaleNormal="85" workbookViewId="0">
      <selection activeCell="F29" sqref="F29"/>
    </sheetView>
  </sheetViews>
  <sheetFormatPr baseColWidth="10" defaultColWidth="10.85546875" defaultRowHeight="15" x14ac:dyDescent="0.25"/>
  <cols>
    <col min="4" max="4" width="19.140625" customWidth="1"/>
    <col min="5" max="5" width="10.85546875" customWidth="1"/>
    <col min="8" max="9" width="10.85546875" hidden="1" customWidth="1"/>
    <col min="13" max="13" width="10.85546875" hidden="1" customWidth="1"/>
    <col min="15" max="16" width="10.85546875" hidden="1" customWidth="1"/>
    <col min="21" max="21" width="0" hidden="1" customWidth="1"/>
    <col min="23" max="24" width="0" hidden="1" customWidth="1"/>
  </cols>
  <sheetData>
    <row r="1" spans="1:24" ht="23.25" x14ac:dyDescent="0.25">
      <c r="A1" s="6" t="s">
        <v>171</v>
      </c>
      <c r="B1" s="6"/>
      <c r="C1" s="6"/>
      <c r="D1" s="5"/>
      <c r="E1" s="5"/>
      <c r="F1" s="5"/>
    </row>
    <row r="2" spans="1:24" x14ac:dyDescent="0.25">
      <c r="A2" s="2" t="s">
        <v>5</v>
      </c>
      <c r="B2" s="2" t="s">
        <v>8</v>
      </c>
      <c r="C2" s="2" t="s">
        <v>8</v>
      </c>
      <c r="D2" s="2" t="s">
        <v>8</v>
      </c>
      <c r="E2" s="2" t="s">
        <v>8</v>
      </c>
      <c r="F2" s="2" t="s">
        <v>8</v>
      </c>
      <c r="G2" s="2" t="s">
        <v>8</v>
      </c>
      <c r="H2" s="2" t="s">
        <v>8</v>
      </c>
      <c r="I2" s="2" t="s">
        <v>8</v>
      </c>
      <c r="J2" s="2" t="s">
        <v>8</v>
      </c>
      <c r="K2" s="2" t="s">
        <v>8</v>
      </c>
      <c r="L2" s="2" t="s">
        <v>8</v>
      </c>
      <c r="M2" s="2" t="s">
        <v>8</v>
      </c>
      <c r="N2" s="2" t="s">
        <v>8</v>
      </c>
      <c r="O2" s="2" t="s">
        <v>8</v>
      </c>
      <c r="P2" s="2" t="s">
        <v>8</v>
      </c>
      <c r="Q2" s="2" t="s">
        <v>8</v>
      </c>
      <c r="R2" s="2" t="s">
        <v>8</v>
      </c>
      <c r="S2" s="2" t="s">
        <v>8</v>
      </c>
      <c r="T2" s="2" t="s">
        <v>8</v>
      </c>
      <c r="U2" s="2" t="s">
        <v>8</v>
      </c>
      <c r="V2" s="2" t="s">
        <v>8</v>
      </c>
      <c r="W2" s="2" t="s">
        <v>8</v>
      </c>
      <c r="X2" s="2" t="s">
        <v>8</v>
      </c>
    </row>
    <row r="3" spans="1:24" x14ac:dyDescent="0.25">
      <c r="A3" s="3" t="s">
        <v>9</v>
      </c>
      <c r="B3" s="3" t="s">
        <v>14</v>
      </c>
      <c r="C3" s="3" t="s">
        <v>14</v>
      </c>
      <c r="D3" s="3" t="s">
        <v>38</v>
      </c>
      <c r="E3" s="3" t="s">
        <v>38</v>
      </c>
      <c r="F3" s="3" t="s">
        <v>38</v>
      </c>
      <c r="G3" s="3" t="s">
        <v>38</v>
      </c>
      <c r="H3" s="3" t="s">
        <v>38</v>
      </c>
      <c r="I3" s="3" t="s">
        <v>38</v>
      </c>
      <c r="J3" s="3" t="s">
        <v>38</v>
      </c>
      <c r="K3" s="3" t="s">
        <v>38</v>
      </c>
      <c r="L3" s="9" t="s">
        <v>23</v>
      </c>
      <c r="M3" s="3" t="s">
        <v>187</v>
      </c>
      <c r="N3" s="3" t="s">
        <v>187</v>
      </c>
      <c r="O3" s="3" t="s">
        <v>187</v>
      </c>
      <c r="P3" s="3" t="s">
        <v>187</v>
      </c>
      <c r="Q3" s="3" t="s">
        <v>187</v>
      </c>
      <c r="R3" s="3" t="s">
        <v>187</v>
      </c>
      <c r="S3" s="3" t="s">
        <v>187</v>
      </c>
      <c r="T3" s="3" t="s">
        <v>187</v>
      </c>
      <c r="U3" s="3" t="s">
        <v>187</v>
      </c>
      <c r="V3" s="3" t="s">
        <v>187</v>
      </c>
      <c r="W3" s="3" t="s">
        <v>187</v>
      </c>
      <c r="X3" s="3" t="s">
        <v>187</v>
      </c>
    </row>
    <row r="4" spans="1:24" x14ac:dyDescent="0.25">
      <c r="A4" s="3" t="s">
        <v>15</v>
      </c>
      <c r="B4" t="s">
        <v>16</v>
      </c>
      <c r="C4" t="s">
        <v>16</v>
      </c>
      <c r="D4" t="s">
        <v>16</v>
      </c>
      <c r="E4" t="s">
        <v>16</v>
      </c>
      <c r="F4" t="s">
        <v>16</v>
      </c>
      <c r="G4" t="s">
        <v>16</v>
      </c>
      <c r="H4" t="s">
        <v>16</v>
      </c>
      <c r="I4" t="s">
        <v>16</v>
      </c>
      <c r="J4" t="s">
        <v>16</v>
      </c>
      <c r="K4" t="s">
        <v>16</v>
      </c>
      <c r="L4" t="s">
        <v>16</v>
      </c>
      <c r="M4" t="s">
        <v>16</v>
      </c>
      <c r="N4" t="s">
        <v>16</v>
      </c>
      <c r="O4" t="s">
        <v>16</v>
      </c>
      <c r="P4" t="s">
        <v>16</v>
      </c>
      <c r="Q4" t="s">
        <v>16</v>
      </c>
      <c r="R4" t="s">
        <v>16</v>
      </c>
      <c r="S4" t="s">
        <v>16</v>
      </c>
      <c r="T4" t="s">
        <v>16</v>
      </c>
      <c r="U4" t="s">
        <v>16</v>
      </c>
      <c r="V4" t="s">
        <v>16</v>
      </c>
      <c r="W4" t="s">
        <v>16</v>
      </c>
      <c r="X4" t="s">
        <v>16</v>
      </c>
    </row>
    <row r="5" spans="1:24" x14ac:dyDescent="0.25">
      <c r="A5" s="3" t="s">
        <v>21</v>
      </c>
      <c r="B5" t="s">
        <v>24</v>
      </c>
      <c r="C5" t="s">
        <v>24</v>
      </c>
      <c r="D5" t="s">
        <v>24</v>
      </c>
      <c r="E5" t="s">
        <v>41</v>
      </c>
      <c r="F5" t="s">
        <v>24</v>
      </c>
      <c r="G5" t="s">
        <v>41</v>
      </c>
      <c r="H5" t="s">
        <v>24</v>
      </c>
      <c r="I5" t="s">
        <v>41</v>
      </c>
      <c r="J5" t="s">
        <v>24</v>
      </c>
      <c r="K5" t="s">
        <v>41</v>
      </c>
      <c r="M5" t="s">
        <v>24</v>
      </c>
      <c r="N5" t="s">
        <v>42</v>
      </c>
      <c r="O5" t="s">
        <v>41</v>
      </c>
      <c r="P5" s="11" t="s">
        <v>188</v>
      </c>
      <c r="Q5" t="s">
        <v>24</v>
      </c>
      <c r="R5" t="s">
        <v>41</v>
      </c>
      <c r="S5" s="11" t="s">
        <v>188</v>
      </c>
      <c r="T5" s="11" t="s">
        <v>42</v>
      </c>
      <c r="U5" t="s">
        <v>24</v>
      </c>
      <c r="V5" t="s">
        <v>42</v>
      </c>
      <c r="W5" t="s">
        <v>41</v>
      </c>
      <c r="X5" s="11" t="s">
        <v>188</v>
      </c>
    </row>
    <row r="6" spans="1:24" x14ac:dyDescent="0.25">
      <c r="A6" s="3" t="s">
        <v>25</v>
      </c>
      <c r="B6" s="3">
        <v>0</v>
      </c>
      <c r="C6" s="3">
        <v>1</v>
      </c>
      <c r="D6" s="3"/>
      <c r="E6" s="3"/>
      <c r="F6" s="3"/>
      <c r="G6" s="3"/>
      <c r="H6" s="3"/>
      <c r="I6" s="3"/>
      <c r="J6" s="3"/>
      <c r="K6" s="3"/>
      <c r="M6" s="3">
        <v>0</v>
      </c>
      <c r="N6" s="3">
        <v>0</v>
      </c>
      <c r="O6" s="3">
        <v>0</v>
      </c>
      <c r="P6" s="3">
        <v>0</v>
      </c>
      <c r="Q6" s="3">
        <v>0</v>
      </c>
      <c r="R6" s="3">
        <v>0</v>
      </c>
      <c r="S6" s="3">
        <v>0</v>
      </c>
      <c r="T6" s="3">
        <v>0</v>
      </c>
      <c r="U6" s="3">
        <v>1</v>
      </c>
      <c r="V6" s="3">
        <v>1</v>
      </c>
      <c r="W6" s="3">
        <v>1</v>
      </c>
      <c r="X6" s="3">
        <v>1</v>
      </c>
    </row>
    <row r="7" spans="1:24" x14ac:dyDescent="0.25">
      <c r="A7" s="3" t="s">
        <v>26</v>
      </c>
      <c r="B7" s="3"/>
      <c r="C7" s="3"/>
      <c r="D7" s="1" t="s">
        <v>43</v>
      </c>
      <c r="E7" s="1" t="s">
        <v>43</v>
      </c>
      <c r="F7" s="1" t="s">
        <v>44</v>
      </c>
      <c r="G7" s="1" t="s">
        <v>44</v>
      </c>
      <c r="H7" s="1" t="s">
        <v>46</v>
      </c>
      <c r="I7" s="1" t="s">
        <v>46</v>
      </c>
      <c r="J7" s="1" t="s">
        <v>45</v>
      </c>
      <c r="K7" s="1" t="s">
        <v>45</v>
      </c>
      <c r="M7" t="s">
        <v>46</v>
      </c>
      <c r="O7" t="s">
        <v>46</v>
      </c>
      <c r="P7" t="s">
        <v>46</v>
      </c>
      <c r="Q7" t="s">
        <v>45</v>
      </c>
      <c r="R7" t="s">
        <v>45</v>
      </c>
      <c r="S7" t="s">
        <v>45</v>
      </c>
      <c r="U7" t="s">
        <v>75</v>
      </c>
      <c r="W7" t="s">
        <v>75</v>
      </c>
      <c r="X7" t="s">
        <v>75</v>
      </c>
    </row>
    <row r="8" spans="1:24" s="36" customFormat="1" x14ac:dyDescent="0.25">
      <c r="A8" s="26" t="s">
        <v>27</v>
      </c>
      <c r="B8" s="26"/>
      <c r="C8" s="26"/>
      <c r="D8" s="27"/>
      <c r="E8" s="27"/>
      <c r="F8" s="27"/>
    </row>
    <row r="9" spans="1:24" s="36" customFormat="1" x14ac:dyDescent="0.25">
      <c r="A9" s="28" t="s">
        <v>28</v>
      </c>
      <c r="B9" s="28"/>
      <c r="C9" s="28"/>
      <c r="D9" s="30"/>
      <c r="E9" s="30"/>
      <c r="F9" s="30"/>
    </row>
    <row r="10" spans="1:24" s="36" customFormat="1" ht="15.75" thickBot="1" x14ac:dyDescent="0.3">
      <c r="A10" s="31" t="s">
        <v>26</v>
      </c>
      <c r="B10" s="31"/>
      <c r="C10" s="31"/>
      <c r="D10" s="33"/>
      <c r="E10" s="33"/>
      <c r="F10" s="33"/>
    </row>
    <row r="11" spans="1:24" x14ac:dyDescent="0.25">
      <c r="A11" s="7" t="s">
        <v>29</v>
      </c>
      <c r="B11" s="12" t="s">
        <v>189</v>
      </c>
      <c r="C11" s="12" t="s">
        <v>190</v>
      </c>
      <c r="D11" t="s">
        <v>191</v>
      </c>
      <c r="F11" t="s">
        <v>192</v>
      </c>
      <c r="H11" t="s">
        <v>193</v>
      </c>
      <c r="J11" t="s">
        <v>194</v>
      </c>
      <c r="L11" s="10">
        <v>43803</v>
      </c>
      <c r="M11" t="s">
        <v>195</v>
      </c>
      <c r="N11" t="s">
        <v>196</v>
      </c>
      <c r="P11" t="s">
        <v>197</v>
      </c>
      <c r="Q11" t="s">
        <v>198</v>
      </c>
      <c r="S11" t="s">
        <v>197</v>
      </c>
      <c r="T11" t="s">
        <v>196</v>
      </c>
      <c r="U11" t="s">
        <v>199</v>
      </c>
      <c r="V11" t="s">
        <v>200</v>
      </c>
      <c r="X11" t="s">
        <v>197</v>
      </c>
    </row>
    <row r="12" spans="1:24" x14ac:dyDescent="0.25">
      <c r="A12" s="7" t="s">
        <v>29</v>
      </c>
      <c r="B12" s="12" t="s">
        <v>201</v>
      </c>
      <c r="C12" s="12" t="s">
        <v>202</v>
      </c>
      <c r="D12" t="s">
        <v>203</v>
      </c>
      <c r="F12" t="s">
        <v>204</v>
      </c>
      <c r="H12" t="s">
        <v>205</v>
      </c>
      <c r="J12" t="s">
        <v>206</v>
      </c>
      <c r="L12" s="10">
        <v>43804</v>
      </c>
      <c r="M12" t="s">
        <v>207</v>
      </c>
      <c r="N12" t="s">
        <v>208</v>
      </c>
      <c r="P12" t="s">
        <v>197</v>
      </c>
      <c r="Q12" t="s">
        <v>209</v>
      </c>
      <c r="S12" t="s">
        <v>197</v>
      </c>
      <c r="T12" t="s">
        <v>208</v>
      </c>
      <c r="U12" t="s">
        <v>210</v>
      </c>
      <c r="X12" t="s">
        <v>197</v>
      </c>
    </row>
  </sheetData>
  <pageMargins left="0.7" right="0.7" top="0.75" bottom="0.75" header="0.3" footer="0.3"/>
  <pageSetup paperSize="9" orientation="portrait" horizontalDpi="300" verticalDpi="300"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
  <sheetViews>
    <sheetView workbookViewId="0">
      <selection activeCell="B3" sqref="B3"/>
    </sheetView>
  </sheetViews>
  <sheetFormatPr baseColWidth="10" defaultColWidth="9.140625" defaultRowHeight="15" x14ac:dyDescent="0.25"/>
  <cols>
    <col min="1" max="1" width="16.140625" bestFit="1" customWidth="1"/>
    <col min="2" max="2" width="26.42578125" bestFit="1" customWidth="1"/>
  </cols>
  <sheetData>
    <row r="1" spans="1:2" x14ac:dyDescent="0.25">
      <c r="A1" s="9" t="s">
        <v>20</v>
      </c>
    </row>
    <row r="2" spans="1:2" x14ac:dyDescent="0.25">
      <c r="A2" s="9" t="s">
        <v>365</v>
      </c>
      <c r="B2" s="90" t="s">
        <v>369</v>
      </c>
    </row>
  </sheetData>
  <hyperlinks>
    <hyperlink ref="B2" r:id="rId1"/>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0" ma:contentTypeDescription="Crear nuevo documento." ma:contentTypeScope="" ma:versionID="6f7d884989618a8400ceae295aa2c3bf">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fd893c905c3e2cf3ffbdda313295f6b9"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25EBC77-0A48-47AB-A1A7-47F2D18680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9E81FE-62E0-4DD3-8F98-326F82935F58}">
  <ds:schemaRefs>
    <ds:schemaRef ds:uri="http://schemas.microsoft.com/sharepoint/v3/contenttype/forms"/>
  </ds:schemaRefs>
</ds:datastoreItem>
</file>

<file path=customXml/itemProps3.xml><?xml version="1.0" encoding="utf-8"?>
<ds:datastoreItem xmlns:ds="http://schemas.openxmlformats.org/officeDocument/2006/customXml" ds:itemID="{ADC53DA2-4444-4C41-A3C2-DF2BB78FF486}">
  <ds:schemaRefs>
    <ds:schemaRef ds:uri="http://purl.org/dc/terms/"/>
    <ds:schemaRef ds:uri="http://www.w3.org/XML/1998/namespace"/>
    <ds:schemaRef ds:uri="http://schemas.microsoft.com/office/2006/documentManagement/types"/>
    <ds:schemaRef ds:uri="http://schemas.microsoft.com/office/2006/metadata/properties"/>
    <ds:schemaRef ds:uri="0c869d80-d99c-4dac-b26b-cbbc56b0e91c"/>
    <ds:schemaRef ds:uri="http://purl.org/dc/elements/1.1/"/>
    <ds:schemaRef ds:uri="4a230dd3-5426-44e9-972e-c86e457e3d31"/>
    <ds:schemaRef ds:uri="http://purl.org/dc/dcmitype/"/>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Instructions</vt:lpstr>
      <vt:lpstr>Language Choice</vt:lpstr>
      <vt:lpstr>Europass Credentials</vt:lpstr>
      <vt:lpstr>Person</vt:lpstr>
      <vt:lpstr>Organization</vt:lpstr>
      <vt:lpstr>Achievements</vt:lpstr>
      <vt:lpstr>References</vt:lpstr>
      <vt:lpstr>Locations</vt:lpstr>
      <vt:lpstr>Entitlement</vt:lpstr>
      <vt:lpstr>Credential Designer</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Enric Sayos LLorente</cp:lastModifiedBy>
  <cp:revision/>
  <dcterms:created xsi:type="dcterms:W3CDTF">2019-11-13T10:30:30Z</dcterms:created>
  <dcterms:modified xsi:type="dcterms:W3CDTF">2020-01-20T10:29:34Z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